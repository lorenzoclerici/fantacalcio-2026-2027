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7fc711bd4442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ta" sheetId="1" r:id="R0b57be03bd784a78"/>
    <x:sheet xmlns:r="http://schemas.openxmlformats.org/officeDocument/2006/relationships" name="Listone" sheetId="2" r:id="Rfb58e73aadb940f9"/>
    <x:sheet xmlns:r="http://schemas.openxmlformats.org/officeDocument/2006/relationships" name="Istruzioni" sheetId="3" r:id="Rb5bdd1cf639f48ee"/>
    <x:sheet xmlns:r="http://schemas.openxmlformats.org/officeDocument/2006/relationships" name="Riepilogo squadre" sheetId="4" r:id="Racece3b92ae243a3"/>
    <x:sheet xmlns:r="http://schemas.openxmlformats.org/officeDocument/2006/relationships" name="Atalanta" sheetId="5" r:id="R9251b671c00a4533"/>
    <x:sheet xmlns:r="http://schemas.openxmlformats.org/officeDocument/2006/relationships" name="Bologna" sheetId="6" r:id="Ra80965b0655a4130"/>
    <x:sheet xmlns:r="http://schemas.openxmlformats.org/officeDocument/2006/relationships" name="Cagliari" sheetId="7" r:id="R5d9f1fb2fb0f4e78"/>
    <x:sheet xmlns:r="http://schemas.openxmlformats.org/officeDocument/2006/relationships" name="Como" sheetId="8" r:id="Ref94b868b1d54983"/>
    <x:sheet xmlns:r="http://schemas.openxmlformats.org/officeDocument/2006/relationships" name="Fiorentina" sheetId="9" r:id="R6718b5c433f640bc"/>
    <x:sheet xmlns:r="http://schemas.openxmlformats.org/officeDocument/2006/relationships" name="Frosinone" sheetId="10" r:id="Reb894473626142eb"/>
    <x:sheet xmlns:r="http://schemas.openxmlformats.org/officeDocument/2006/relationships" name="Genoa" sheetId="11" r:id="R9ce7611cda084048"/>
    <x:sheet xmlns:r="http://schemas.openxmlformats.org/officeDocument/2006/relationships" name="Inter" sheetId="12" r:id="R20e2169d8c2c4288"/>
    <x:sheet xmlns:r="http://schemas.openxmlformats.org/officeDocument/2006/relationships" name="Juventus" sheetId="13" r:id="R8aa6729b287b4281"/>
    <x:sheet xmlns:r="http://schemas.openxmlformats.org/officeDocument/2006/relationships" name="Lazio" sheetId="14" r:id="Rf169194ead574633"/>
    <x:sheet xmlns:r="http://schemas.openxmlformats.org/officeDocument/2006/relationships" name="Lecce" sheetId="15" r:id="R99b2be4f90c743b4"/>
    <x:sheet xmlns:r="http://schemas.openxmlformats.org/officeDocument/2006/relationships" name="Milan" sheetId="16" r:id="Rd3672eda2db045df"/>
    <x:sheet xmlns:r="http://schemas.openxmlformats.org/officeDocument/2006/relationships" name="Monza" sheetId="17" r:id="R2dfb5e9933f843b1"/>
    <x:sheet xmlns:r="http://schemas.openxmlformats.org/officeDocument/2006/relationships" name="Napoli" sheetId="18" r:id="R70a0fc64d0194ed5"/>
    <x:sheet xmlns:r="http://schemas.openxmlformats.org/officeDocument/2006/relationships" name="Parma" sheetId="19" r:id="R8f736df5507245a3"/>
    <x:sheet xmlns:r="http://schemas.openxmlformats.org/officeDocument/2006/relationships" name="Roma" sheetId="20" r:id="R3747aa7124d64f04"/>
    <x:sheet xmlns:r="http://schemas.openxmlformats.org/officeDocument/2006/relationships" name="Sassuolo" sheetId="21" r:id="R04513dd0e8f24aab"/>
    <x:sheet xmlns:r="http://schemas.openxmlformats.org/officeDocument/2006/relationships" name="Torino" sheetId="22" r:id="Rdf6d2373e4334682"/>
    <x:sheet xmlns:r="http://schemas.openxmlformats.org/officeDocument/2006/relationships" name="Udinese" sheetId="23" r:id="Ref6c6761e006433c"/>
    <x:sheet xmlns:r="http://schemas.openxmlformats.org/officeDocument/2006/relationships" name="Venezia" sheetId="24" r:id="R1a9609df2fba42b5"/>
    <x:sheet xmlns:r="http://schemas.openxmlformats.org/officeDocument/2006/relationships" name="_Supporto Listone" sheetId="25" r:id="Rb9f2712654e54b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1"/>
      <x:color rgb="FF1F1F1F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0"/>
      <x:color rgb="FF17324D"/>
      <x:name val="Carlito"/>
    </x:font>
    <x:font>
      <x:b/>
      <x:sz val="10"/>
      <x:color rgb="FF1F1F1F"/>
      <x:name val="Carlito"/>
    </x:font>
    <x:font>
      <x:b/>
      <x:sz val="15"/>
      <x:color rgb="FFFFFFFF"/>
      <x:name val="Carlito"/>
    </x:font>
    <x:font>
      <x:i/>
      <x:sz val="9"/>
      <x:color rgb="FF17324D"/>
      <x:name val="Carlito"/>
    </x:font>
    <x:font>
      <x:b/>
      <x:sz val="9"/>
      <x:color rgb="FFFFFFFF"/>
      <x:name val="Carlito"/>
    </x:font>
    <x:font>
      <x:sz val="9"/>
      <x:name val="Carlito"/>
    </x:font>
    <x:font>
      <x:b/>
      <x:sz val="12"/>
      <x:color rgb="FFFFFFFF"/>
      <x:name val="Carlito"/>
    </x:font>
    <x:font>
      <x:i/>
      <x:sz val="10"/>
      <x:color rgb="FF17324D"/>
      <x:name val="Carlito"/>
    </x:font>
    <x:font>
      <x:i/>
      <x:sz val="8"/>
      <x:name val="Carlito"/>
    </x:font>
    <x:font>
      <x:b/>
      <x:sz val="11"/>
      <x:name val="Carlito"/>
    </x:font>
  </x:fonts>
  <x:fills count="2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F5D7C"/>
      </x:patternFill>
    </x:fill>
    <x:fill>
      <x:patternFill patternType="solid">
        <x:fgColor rgb="FFDCE6EE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D9EAD3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17324D"/>
      </x:patternFill>
    </x:fill>
    <x:fill>
      <x:patternFill patternType="solid">
        <x:fgColor rgb="FFE7EEF4"/>
      </x:patternFill>
    </x:fill>
    <x:fill>
      <x:patternFill patternType="solid">
        <x:fgColor rgb="FF2F5D7C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17324D"/>
      </x:patternFill>
    </x:fill>
    <x:fill>
      <x:patternFill patternType="solid">
        <x:fgColor rgb="FFDCE6EE"/>
      </x:patternFill>
    </x:fill>
    <x:fill>
      <x:patternFill patternType="solid">
        <x:fgColor rgb="FF2F5D7C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D9D9D9"/>
      </x:patternFill>
    </x:fill>
  </x:fills>
  <x:borders count="67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/>
    <x:border/>
    <x:border/>
    <x:border/>
    <x:border>
      <x:right style="medium">
        <x:color rgb="FF000000"/>
      </x:right>
    </x:border>
    <x:border>
      <x:left style="medium">
        <x:color rgb="FF000000"/>
      </x:left>
      <x:right style="medium">
        <x:color rgb="FF000000"/>
      </x:right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/>
    <x:border/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/>
    <x:border/>
    <x:border/>
    <x:border/>
    <x:border/>
    <x:border/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/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</x:border>
    <x:border>
      <x:right style="medium">
        <x:color rgb="FF000000"/>
      </x:right>
      <x:bottom style="medium">
        <x:color rgb="FF000000"/>
      </x:bottom>
    </x:border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24"/>
  </x:cellStyleXfs>
  <x:cellXfs count="756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center"/>
    </x:xf>
    <x:xf numFmtId="0" fontId="1" fillId="2" borderId="0" xfId="0" applyAlignment="1">
      <x:alignment horizontal="center" vertical="center"/>
    </x:xf>
    <x:xf numFmtId="0" fontId="0" fillId="2" borderId="1" xfId="0"/>
    <x:xf numFmtId="0" fontId="1" fillId="2" borderId="1" xfId="0"/>
    <x:xf numFmtId="0" fontId="1" fillId="2" borderId="1" xfId="0" applyAlignment="1">
      <x:alignment horizontal="center"/>
    </x:xf>
    <x:xf numFmtId="0" fontId="1" fillId="2" borderId="1" xfId="0" applyAlignment="1">
      <x:alignment horizontal="center" vertical="center"/>
    </x:xf>
    <x:xf numFmtId="0" fontId="0" fillId="3" borderId="0" xfId="0"/>
    <x:xf numFmtId="0" fontId="2" fillId="3" borderId="0" xfId="0"/>
    <x:xf numFmtId="0" fontId="2" fillId="3" borderId="0" xfId="0" applyAlignment="1">
      <x:alignment horizontal="center"/>
    </x:xf>
    <x:xf numFmtId="0" fontId="2" fillId="3" borderId="0" xfId="0" applyAlignment="1">
      <x:alignment horizontal="center" vertical="center"/>
    </x:xf>
    <x:xf numFmtId="0" fontId="0" fillId="3" borderId="1" xfId="0"/>
    <x:xf numFmtId="0" fontId="2" fillId="3" borderId="1" xfId="0"/>
    <x:xf numFmtId="0" fontId="2" fillId="3" borderId="1" xfId="0" applyAlignment="1">
      <x:alignment horizontal="center"/>
    </x:xf>
    <x:xf numFmtId="0" fontId="2" fillId="3" borderId="1" xfId="0" applyAlignment="1">
      <x:alignment horizontal="center" vertical="center"/>
    </x:xf>
    <x:xf numFmtId="0" fontId="0" fillId="4" borderId="0" xfId="0"/>
    <x:xf numFmtId="0" fontId="3" fillId="4" borderId="0" xfId="0"/>
    <x:xf numFmtId="0" fontId="3" fillId="4" borderId="0" xfId="0" applyAlignment="1">
      <x:alignment horizontal="center"/>
    </x:xf>
    <x:xf numFmtId="0" fontId="0" fillId="4" borderId="1" xfId="0"/>
    <x:xf numFmtId="0" fontId="3" fillId="4" borderId="1" xfId="0"/>
    <x:xf numFmtId="0" fontId="3" fillId="4" borderId="1" xfId="0" applyAlignment="1">
      <x:alignment horizontal="center"/>
    </x:xf>
    <x:xf numFmtId="0" fontId="0" fillId="5" borderId="0" xfId="0"/>
    <x:xf numFmtId="0" fontId="0" fillId="5" borderId="1" xfId="0"/>
    <x:xf numFmtId="0" fontId="0" fillId="6" borderId="0" xfId="0"/>
    <x:xf numFmtId="0" fontId="4" fillId="6" borderId="0" xfId="0"/>
    <x:xf numFmtId="0" fontId="0" fillId="6" borderId="1" xfId="0"/>
    <x:xf numFmtId="0" fontId="4" fillId="6" borderId="1" xfId="0"/>
    <x:xf numFmtId="0" fontId="0" fillId="7" borderId="0" xfId="0"/>
    <x:xf numFmtId="0" fontId="4" fillId="7" borderId="0" xfId="0"/>
    <x:xf numFmtId="0" fontId="0" fillId="7" borderId="1" xfId="0"/>
    <x:xf numFmtId="0" fontId="4" fillId="7" borderId="1" xfId="0"/>
    <x:xf numFmtId="0" fontId="4" fillId="6" borderId="0" xfId="0" applyAlignment="1">
      <x:alignment horizontal="center"/>
    </x:xf>
    <x:xf numFmtId="0" fontId="4" fillId="6" borderId="1" xfId="0" applyAlignment="1">
      <x:alignment horizontal="center"/>
    </x:xf>
    <x:xf numFmtId="0" fontId="4" fillId="7" borderId="0" xfId="0" applyAlignment="1">
      <x:alignment horizontal="center"/>
    </x:xf>
    <x:xf numFmtId="0" fontId="4" fillId="7" borderId="1" xfId="0" applyAlignment="1">
      <x:alignment horizontal="center"/>
    </x:xf>
    <x:xf numFmtId="0" fontId="0" fillId="8" borderId="0" xfId="0"/>
    <x:xf numFmtId="0" fontId="0" fillId="8" borderId="1" xfId="0"/>
    <x:xf numFmtId="0" fontId="0" fillId="9" borderId="0" xfId="0"/>
    <x:xf numFmtId="0" fontId="0" fillId="9" borderId="1" xfId="0"/>
    <x:xf numFmtId="0" fontId="0" fillId="10" borderId="0" xfId="0"/>
    <x:xf numFmtId="0" fontId="0" fillId="10" borderId="1" xfId="0"/>
    <x:xf numFmtId="0" fontId="0" fillId="5" borderId="2" xfId="0"/>
    <x:xf numFmtId="0" fontId="0" fillId="5" borderId="3" xfId="0"/>
    <x:xf numFmtId="0" fontId="0" fillId="5" borderId="4" xfId="0"/>
    <x:xf numFmtId="0" fontId="0" fillId="5" borderId="5" xfId="0"/>
    <x:xf numFmtId="0" fontId="0" fillId="8" borderId="2" xfId="0"/>
    <x:xf numFmtId="0" fontId="0" fillId="8" borderId="3" xfId="0"/>
    <x:xf numFmtId="0" fontId="0" fillId="8" borderId="4" xfId="0"/>
    <x:xf numFmtId="0" fontId="0" fillId="8" borderId="5" xfId="0"/>
    <x:xf numFmtId="0" fontId="0" fillId="9" borderId="2" xfId="0"/>
    <x:xf numFmtId="0" fontId="0" fillId="9" borderId="3" xfId="0"/>
    <x:xf numFmtId="0" fontId="0" fillId="9" borderId="4" xfId="0"/>
    <x:xf numFmtId="0" fontId="0" fillId="9" borderId="5" xfId="0"/>
    <x:xf numFmtId="0" fontId="0" fillId="10" borderId="2" xfId="0"/>
    <x:xf numFmtId="0" fontId="0" fillId="10" borderId="3" xfId="0"/>
    <x:xf numFmtId="0" fontId="0" fillId="10" borderId="4" xfId="0"/>
    <x:xf numFmtId="0" fontId="0" fillId="10" borderId="5" xfId="0"/>
    <x:xf numFmtId="1" fontId="0" fillId="5" borderId="3" xfId="0"/>
    <x:xf numFmtId="1" fontId="4" fillId="6" borderId="0" xfId="0" applyAlignment="1">
      <x:alignment horizontal="center"/>
    </x:xf>
    <x:xf numFmtId="1" fontId="4" fillId="7" borderId="0" xfId="0" applyAlignment="1">
      <x:alignment horizontal="center"/>
    </x:xf>
    <x:xf numFmtId="1" fontId="0" fillId="0" borderId="0" xfId="0"/>
    <x:xf numFmtId="1" fontId="0" fillId="8" borderId="3" xfId="0"/>
    <x:xf numFmtId="1" fontId="0" fillId="9" borderId="3" xfId="0"/>
    <x:xf numFmtId="1" fontId="0" fillId="10" borderId="3" xfId="0"/>
    <x:xf numFmtId="1" fontId="0" fillId="5" borderId="5" xfId="0"/>
    <x:xf numFmtId="1" fontId="4" fillId="6" borderId="1" xfId="0" applyAlignment="1">
      <x:alignment horizontal="center"/>
    </x:xf>
    <x:xf numFmtId="1" fontId="4" fillId="7" borderId="1" xfId="0" applyAlignment="1">
      <x:alignment horizontal="center"/>
    </x:xf>
    <x:xf numFmtId="1" fontId="0" fillId="0" borderId="1" xfId="0"/>
    <x:xf numFmtId="1" fontId="0" fillId="8" borderId="5" xfId="0"/>
    <x:xf numFmtId="1" fontId="0" fillId="9" borderId="5" xfId="0"/>
    <x:xf numFmtId="1" fontId="0" fillId="10" borderId="5" xfId="0"/>
    <x:xf numFmtId="0" fontId="5" fillId="2" borderId="0" xfId="0" applyAlignment="1">
      <x:alignment horizontal="center" vertical="center"/>
    </x:xf>
    <x:xf numFmtId="0" fontId="5" fillId="3" borderId="0" xfId="0" applyAlignment="1">
      <x:alignment horizontal="center" vertical="center"/>
    </x:xf>
    <x:xf numFmtId="0" fontId="6" fillId="0" borderId="0" xfId="0"/>
    <x:xf numFmtId="0" fontId="7" fillId="4" borderId="0" xfId="0" applyAlignment="1">
      <x:alignment horizontal="center"/>
    </x:xf>
    <x:xf numFmtId="0" fontId="6" fillId="5" borderId="0" xfId="0"/>
    <x:xf numFmtId="0" fontId="6" fillId="5" borderId="2" xfId="0"/>
    <x:xf numFmtId="1" fontId="6" fillId="5" borderId="3" xfId="0"/>
    <x:xf numFmtId="0" fontId="8" fillId="6" borderId="0" xfId="0"/>
    <x:xf numFmtId="0" fontId="8" fillId="6" borderId="0" xfId="0" applyAlignment="1">
      <x:alignment horizontal="center"/>
    </x:xf>
    <x:xf numFmtId="1" fontId="8" fillId="6" borderId="0" xfId="0" applyAlignment="1">
      <x:alignment horizontal="center"/>
    </x:xf>
    <x:xf numFmtId="0" fontId="8" fillId="7" borderId="0" xfId="0"/>
    <x:xf numFmtId="0" fontId="8" fillId="7" borderId="0" xfId="0" applyAlignment="1">
      <x:alignment horizontal="center"/>
    </x:xf>
    <x:xf numFmtId="1" fontId="8" fillId="7" borderId="0" xfId="0" applyAlignment="1">
      <x:alignment horizontal="center"/>
    </x:xf>
    <x:xf numFmtId="1" fontId="6" fillId="0" borderId="0" xfId="0"/>
    <x:xf numFmtId="0" fontId="6" fillId="8" borderId="0" xfId="0"/>
    <x:xf numFmtId="0" fontId="6" fillId="8" borderId="2" xfId="0"/>
    <x:xf numFmtId="1" fontId="6" fillId="8" borderId="3" xfId="0"/>
    <x:xf numFmtId="0" fontId="6" fillId="9" borderId="0" xfId="0"/>
    <x:xf numFmtId="0" fontId="6" fillId="9" borderId="2" xfId="0"/>
    <x:xf numFmtId="1" fontId="6" fillId="9" borderId="3" xfId="0"/>
    <x:xf numFmtId="0" fontId="6" fillId="10" borderId="0" xfId="0"/>
    <x:xf numFmtId="0" fontId="6" fillId="10" borderId="2" xfId="0"/>
    <x:xf numFmtId="1" fontId="6" fillId="10" borderId="3" xfId="0"/>
    <x:xf numFmtId="0" fontId="5" fillId="2" borderId="1" xfId="0" applyAlignment="1">
      <x:alignment horizontal="center" vertical="center"/>
    </x:xf>
    <x:xf numFmtId="0" fontId="5" fillId="3" borderId="1" xfId="0" applyAlignment="1">
      <x:alignment horizontal="center" vertical="center"/>
    </x:xf>
    <x:xf numFmtId="0" fontId="6" fillId="0" borderId="1" xfId="0"/>
    <x:xf numFmtId="0" fontId="7" fillId="4" borderId="1" xfId="0" applyAlignment="1">
      <x:alignment horizontal="center"/>
    </x:xf>
    <x:xf numFmtId="0" fontId="6" fillId="5" borderId="1" xfId="0"/>
    <x:xf numFmtId="0" fontId="6" fillId="5" borderId="4" xfId="0"/>
    <x:xf numFmtId="1" fontId="6" fillId="5" borderId="5" xfId="0"/>
    <x:xf numFmtId="0" fontId="8" fillId="6" borderId="1" xfId="0"/>
    <x:xf numFmtId="0" fontId="8" fillId="6" borderId="1" xfId="0" applyAlignment="1">
      <x:alignment horizontal="center"/>
    </x:xf>
    <x:xf numFmtId="1" fontId="8" fillId="6" borderId="1" xfId="0" applyAlignment="1">
      <x:alignment horizontal="center"/>
    </x:xf>
    <x:xf numFmtId="0" fontId="8" fillId="7" borderId="1" xfId="0"/>
    <x:xf numFmtId="0" fontId="8" fillId="7" borderId="1" xfId="0" applyAlignment="1">
      <x:alignment horizontal="center"/>
    </x:xf>
    <x:xf numFmtId="1" fontId="8" fillId="7" borderId="1" xfId="0" applyAlignment="1">
      <x:alignment horizontal="center"/>
    </x:xf>
    <x:xf numFmtId="1" fontId="6" fillId="0" borderId="1" xfId="0"/>
    <x:xf numFmtId="0" fontId="6" fillId="8" borderId="1" xfId="0"/>
    <x:xf numFmtId="0" fontId="6" fillId="8" borderId="4" xfId="0"/>
    <x:xf numFmtId="1" fontId="6" fillId="8" borderId="5" xfId="0"/>
    <x:xf numFmtId="0" fontId="6" fillId="9" borderId="1" xfId="0"/>
    <x:xf numFmtId="0" fontId="6" fillId="9" borderId="4" xfId="0"/>
    <x:xf numFmtId="1" fontId="6" fillId="9" borderId="5" xfId="0"/>
    <x:xf numFmtId="0" fontId="6" fillId="10" borderId="1" xfId="0"/>
    <x:xf numFmtId="0" fontId="6" fillId="10" borderId="4" xfId="0"/>
    <x:xf numFmtId="1" fontId="6" fillId="10" borderId="5" xfId="0"/>
    <x:xf numFmtId="0" fontId="9" fillId="2" borderId="0" xfId="0"/>
    <x:xf numFmtId="0" fontId="9" fillId="2" borderId="0" xfId="0" applyAlignment="1">
      <x:alignment horizontal="center"/>
    </x:xf>
    <x:xf numFmtId="0" fontId="9" fillId="2" borderId="1" xfId="0"/>
    <x:xf numFmtId="0" fontId="9" fillId="2" borderId="1" xfId="0" applyAlignment="1">
      <x:alignment horizontal="center"/>
    </x:xf>
    <x:xf numFmtId="0" fontId="2" fillId="3" borderId="0" xfId="0" applyAlignment="1">
      <x:alignment wrapText="1"/>
    </x:xf>
    <x:xf numFmtId="0" fontId="2" fillId="3" borderId="0" xfId="0" applyAlignment="1">
      <x:alignment horizontal="center" wrapText="1"/>
    </x:xf>
    <x:xf numFmtId="0" fontId="2" fillId="3" borderId="1" xfId="0" applyAlignment="1">
      <x:alignment wrapText="1"/>
    </x:xf>
    <x:xf numFmtId="0" fontId="2" fillId="3" borderId="1" xfId="0" applyAlignment="1">
      <x:alignment horizontal="center" wrapText="1"/>
    </x:xf>
    <x:xf numFmtId="0" fontId="2" fillId="3" borderId="6" xfId="0" applyAlignment="1">
      <x:alignment horizontal="center" wrapText="1"/>
    </x:xf>
    <x:xf numFmtId="0" fontId="0" fillId="0" borderId="0" xfId="0"/>
    <x:xf numFmtId="0" fontId="0" fillId="0" borderId="6" xfId="0"/>
    <x:xf numFmtId="0" fontId="0" fillId="0" borderId="7" xfId="0"/>
    <x:xf numFmtId="0" fontId="0" fillId="0" borderId="8" xfId="0"/>
    <x:xf numFmtId="0" fontId="2" fillId="3" borderId="9" xfId="0" applyAlignment="1">
      <x:alignment horizontal="center" wrapText="1"/>
    </x:xf>
    <x:xf numFmtId="0" fontId="0" fillId="0" borderId="9" xfId="0"/>
    <x:xf numFmtId="0" fontId="0" fillId="0" borderId="10" xfId="0"/>
    <x:xf numFmtId="0" fontId="0" fillId="0" borderId="11" xfId="0"/>
    <x:xf numFmtId="0" fontId="0" fillId="0" borderId="0" xfId="0" applyAlignment="1">
      <x:alignment wrapText="1"/>
    </x:xf>
    <x:xf numFmtId="1" fontId="0" fillId="5" borderId="0" xfId="0"/>
    <x:xf numFmtId="1" fontId="0" fillId="8" borderId="0" xfId="0"/>
    <x:xf numFmtId="1" fontId="0" fillId="9" borderId="0" xfId="0"/>
    <x:xf numFmtId="1" fontId="0" fillId="10" borderId="0" xfId="0"/>
    <x:xf numFmtId="1" fontId="6" fillId="5" borderId="0" xfId="0"/>
    <x:xf numFmtId="1" fontId="6" fillId="8" borderId="0" xfId="0"/>
    <x:xf numFmtId="1" fontId="6" fillId="9" borderId="0" xfId="0"/>
    <x:xf numFmtId="1" fontId="6" fillId="10" borderId="0" xfId="0"/>
    <x:xf numFmtId="0" fontId="5" fillId="3" borderId="12" xfId="0" applyAlignment="1">
      <x:alignment horizontal="center" vertical="center"/>
    </x:xf>
    <x:xf numFmtId="0" fontId="5" fillId="3" borderId="13" xfId="0" applyAlignment="1">
      <x:alignment horizontal="center" vertical="center"/>
    </x:xf>
    <x:xf numFmtId="0" fontId="5" fillId="3" borderId="14" xfId="0" applyAlignment="1">
      <x:alignment horizontal="center" vertical="center"/>
    </x:xf>
    <x:xf numFmtId="0" fontId="6" fillId="0" borderId="15" xfId="0"/>
    <x:xf numFmtId="0" fontId="7" fillId="4" borderId="0" xfId="0" applyAlignment="1">
      <x:alignment horizontal="center"/>
    </x:xf>
    <x:xf numFmtId="0" fontId="7" fillId="4" borderId="16" xfId="0" applyAlignment="1">
      <x:alignment horizontal="center"/>
    </x:xf>
    <x:xf numFmtId="0" fontId="6" fillId="5" borderId="15" xfId="0"/>
    <x:xf numFmtId="1" fontId="6" fillId="5" borderId="17" xfId="0"/>
    <x:xf numFmtId="0" fontId="8" fillId="6" borderId="15" xfId="0"/>
    <x:xf numFmtId="0" fontId="8" fillId="6" borderId="0" xfId="0" applyAlignment="1">
      <x:alignment horizontal="center"/>
    </x:xf>
    <x:xf numFmtId="1" fontId="8" fillId="6" borderId="0" xfId="0" applyAlignment="1">
      <x:alignment horizontal="center"/>
    </x:xf>
    <x:xf numFmtId="1" fontId="8" fillId="6" borderId="16" xfId="0" applyAlignment="1">
      <x:alignment horizontal="center"/>
    </x:xf>
    <x:xf numFmtId="0" fontId="8" fillId="7" borderId="15" xfId="0"/>
    <x:xf numFmtId="0" fontId="8" fillId="7" borderId="0" xfId="0" applyAlignment="1">
      <x:alignment horizontal="center"/>
    </x:xf>
    <x:xf numFmtId="1" fontId="8" fillId="7" borderId="0" xfId="0" applyAlignment="1">
      <x:alignment horizontal="center"/>
    </x:xf>
    <x:xf numFmtId="1" fontId="8" fillId="7" borderId="16" xfId="0" applyAlignment="1">
      <x:alignment horizontal="center"/>
    </x:xf>
    <x:xf numFmtId="0" fontId="6" fillId="0" borderId="0" xfId="0"/>
    <x:xf numFmtId="1" fontId="6" fillId="0" borderId="0" xfId="0"/>
    <x:xf numFmtId="1" fontId="6" fillId="0" borderId="16" xfId="0"/>
    <x:xf numFmtId="0" fontId="6" fillId="8" borderId="15" xfId="0"/>
    <x:xf numFmtId="1" fontId="6" fillId="8" borderId="17" xfId="0"/>
    <x:xf numFmtId="0" fontId="6" fillId="9" borderId="15" xfId="0"/>
    <x:xf numFmtId="1" fontId="6" fillId="9" borderId="17" xfId="0"/>
    <x:xf numFmtId="0" fontId="6" fillId="10" borderId="15" xfId="0"/>
    <x:xf numFmtId="1" fontId="6" fillId="10" borderId="17" xfId="0"/>
    <x:xf numFmtId="0" fontId="8" fillId="6" borderId="16" xfId="0" applyAlignment="1">
      <x:alignment horizontal="center"/>
    </x:xf>
    <x:xf numFmtId="0" fontId="8" fillId="7" borderId="16" xfId="0" applyAlignment="1">
      <x:alignment horizontal="center"/>
    </x:xf>
    <x:xf numFmtId="0" fontId="6" fillId="0" borderId="16" xfId="0"/>
    <x:xf numFmtId="0" fontId="6" fillId="0" borderId="18" xfId="0"/>
    <x:xf numFmtId="0" fontId="6" fillId="0" borderId="19" xfId="0"/>
    <x:xf numFmtId="0" fontId="6" fillId="0" borderId="20" xfId="0"/>
    <x:xf numFmtId="1" fontId="6" fillId="5" borderId="16" xfId="0"/>
    <x:xf numFmtId="1" fontId="6" fillId="8" borderId="16" xfId="0"/>
    <x:xf numFmtId="1" fontId="6" fillId="9" borderId="16" xfId="0"/>
    <x:xf numFmtId="1" fontId="6" fillId="10" borderId="16" xfId="0"/>
    <x:xf numFmtId="0" fontId="2" fillId="3" borderId="12" xfId="0" applyAlignment="1">
      <x:alignment horizontal="center" wrapText="1"/>
    </x:xf>
    <x:xf numFmtId="0" fontId="2" fillId="3" borderId="13" xfId="0" applyAlignment="1">
      <x:alignment horizontal="center" wrapText="1"/>
    </x:xf>
    <x:xf numFmtId="0" fontId="2" fillId="3" borderId="14" xfId="0" applyAlignment="1">
      <x:alignment horizontal="center" wrapText="1"/>
    </x:xf>
    <x:xf numFmtId="0" fontId="0" fillId="0" borderId="15" xfId="0"/>
    <x:xf numFmtId="0" fontId="0" fillId="0" borderId="0" xfId="0"/>
    <x:xf numFmtId="0" fontId="0" fillId="0" borderId="16" xfId="0"/>
    <x:xf numFmtId="0" fontId="0" fillId="0" borderId="18" xfId="0"/>
    <x:xf numFmtId="0" fontId="0" fillId="0" borderId="19" xfId="0"/>
    <x:xf numFmtId="0" fontId="0" fillId="0" borderId="20" xfId="0"/>
    <x:xf numFmtId="0" fontId="2" fillId="3" borderId="12" xfId="0" applyAlignment="1">
      <x:alignment wrapText="1"/>
    </x:xf>
    <x:xf numFmtId="0" fontId="2" fillId="3" borderId="14" xfId="0" applyAlignment="1">
      <x:alignment wrapText="1"/>
    </x:xf>
    <x:xf numFmtId="0" fontId="0" fillId="0" borderId="15" xfId="0" applyAlignment="1">
      <x:alignment wrapText="1"/>
    </x:xf>
    <x:xf numFmtId="0" fontId="0" fillId="0" borderId="16" xfId="0" applyAlignment="1">
      <x:alignment wrapText="1"/>
    </x:xf>
    <x:xf numFmtId="0" fontId="0" fillId="0" borderId="18" xfId="0" applyAlignment="1">
      <x:alignment wrapText="1"/>
    </x:xf>
    <x:xf numFmtId="0" fontId="0" fillId="0" borderId="20" xfId="0" applyAlignment="1">
      <x:alignment wrapText="1"/>
    </x:xf>
    <x:xf numFmtId="0" fontId="5" fillId="2" borderId="12" xfId="0" applyAlignment="1">
      <x:alignment horizontal="center" vertical="center"/>
    </x:xf>
    <x:xf numFmtId="0" fontId="5" fillId="2" borderId="13" xfId="0" applyAlignment="1">
      <x:alignment horizontal="center" vertical="center"/>
    </x:xf>
    <x:xf numFmtId="0" fontId="5" fillId="2" borderId="14" xfId="0" applyAlignment="1">
      <x:alignment horizontal="center" vertical="center"/>
    </x:xf>
    <x:xf numFmtId="0" fontId="7" fillId="4" borderId="19" xfId="0" applyAlignment="1">
      <x:alignment horizontal="center"/>
    </x:xf>
    <x:xf numFmtId="0" fontId="7" fillId="4" borderId="20" xfId="0" applyAlignment="1">
      <x:alignment horizontal="center"/>
    </x:xf>
    <x:xf numFmtId="0" fontId="9" fillId="2" borderId="12" xfId="0" applyAlignment="1">
      <x:alignment horizontal="center"/>
    </x:xf>
    <x:xf numFmtId="0" fontId="9" fillId="2" borderId="13" xfId="0" applyAlignment="1">
      <x:alignment horizontal="center"/>
    </x:xf>
    <x:xf numFmtId="0" fontId="9" fillId="2" borderId="14" xfId="0" applyAlignment="1">
      <x:alignment horizontal="center"/>
    </x:xf>
    <x:xf numFmtId="0" fontId="2" fillId="3" borderId="21" xfId="0" applyAlignment="1">
      <x:alignment horizontal="center" wrapText="1"/>
    </x:xf>
    <x:xf numFmtId="0" fontId="2" fillId="3" borderId="22" xfId="0" applyAlignment="1">
      <x:alignment horizontal="center" wrapText="1"/>
    </x:xf>
    <x:xf numFmtId="0" fontId="2" fillId="3" borderId="23" xfId="0" applyAlignment="1">
      <x:alignment horizontal="center" wrapText="1"/>
    </x:xf>
    <x:xf numFmtId="0" fontId="2" fillId="3" borderId="21" xfId="0" applyAlignment="1">
      <x:alignment wrapText="1"/>
    </x:xf>
    <x:xf numFmtId="0" fontId="2" fillId="3" borderId="23" xfId="0" applyAlignment="1">
      <x:alignment wrapText="1"/>
    </x:xf>
    <x:xf numFmtId="0" fontId="5" fillId="2" borderId="24" xfId="0" applyAlignment="1">
      <x:alignment horizontal="center" vertical="center"/>
    </x:xf>
    <x:xf numFmtId="0" fontId="5" fillId="3" borderId="25" xfId="0" applyAlignment="1">
      <x:alignment horizontal="center" vertical="center"/>
    </x:xf>
    <x:xf numFmtId="0" fontId="0" fillId="0" borderId="25" xfId="0"/>
    <x:xf numFmtId="0" fontId="7" fillId="4" borderId="25" xfId="0" applyAlignment="1">
      <x:alignment horizontal="center"/>
    </x:xf>
    <x:xf numFmtId="0" fontId="6" fillId="5" borderId="25" xfId="0"/>
    <x:xf numFmtId="1" fontId="6" fillId="5" borderId="25" xfId="0"/>
    <x:xf numFmtId="0" fontId="8" fillId="6" borderId="25" xfId="0"/>
    <x:xf numFmtId="0" fontId="8" fillId="6" borderId="25" xfId="0" applyAlignment="1">
      <x:alignment horizontal="center"/>
    </x:xf>
    <x:xf numFmtId="0" fontId="8" fillId="7" borderId="25" xfId="0"/>
    <x:xf numFmtId="0" fontId="8" fillId="7" borderId="25" xfId="0" applyAlignment="1">
      <x:alignment horizontal="center"/>
    </x:xf>
    <x:xf numFmtId="0" fontId="6" fillId="0" borderId="25" xfId="0"/>
    <x:xf numFmtId="1" fontId="6" fillId="0" borderId="25" xfId="0"/>
    <x:xf numFmtId="0" fontId="6" fillId="8" borderId="25" xfId="0"/>
    <x:xf numFmtId="1" fontId="6" fillId="8" borderId="25" xfId="0"/>
    <x:xf numFmtId="0" fontId="6" fillId="9" borderId="25" xfId="0"/>
    <x:xf numFmtId="1" fontId="6" fillId="9" borderId="25" xfId="0"/>
    <x:xf numFmtId="0" fontId="6" fillId="10" borderId="25" xfId="0"/>
    <x:xf numFmtId="1" fontId="6" fillId="10" borderId="25" xfId="0"/>
    <x:xf numFmtId="0" fontId="9" fillId="2" borderId="24" xfId="0" applyAlignment="1">
      <x:alignment horizontal="center"/>
    </x:xf>
    <x:xf numFmtId="0" fontId="2" fillId="3" borderId="25" xfId="0" applyAlignment="1">
      <x:alignment horizontal="center" wrapText="1"/>
    </x:xf>
    <x:xf numFmtId="0" fontId="2" fillId="3" borderId="25" xfId="0" applyAlignment="1">
      <x:alignment wrapText="1"/>
    </x:xf>
    <x:xf numFmtId="0" fontId="0" fillId="0" borderId="25" xfId="0" applyAlignment="1">
      <x:alignment wrapText="1"/>
    </x:xf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horizontal="center"/>
    </x:xf>
    <x:xf numFmtId="0" fontId="1" fillId="2" borderId="0" xfId="0" applyAlignment="1">
      <x:alignment horizontal="center" vertical="center"/>
    </x:xf>
    <x:xf numFmtId="0" fontId="0" fillId="3" borderId="0" xfId="0"/>
    <x:xf numFmtId="0" fontId="2" fillId="3" borderId="0" xfId="0"/>
    <x:xf numFmtId="0" fontId="2" fillId="3" borderId="0" xfId="0" applyAlignment="1">
      <x:alignment horizontal="center"/>
    </x:xf>
    <x:xf numFmtId="0" fontId="2" fillId="3" borderId="0" xfId="0" applyAlignment="1">
      <x:alignment horizontal="center" vertical="center"/>
    </x:xf>
    <x:xf numFmtId="0" fontId="0" fillId="4" borderId="0" xfId="0"/>
    <x:xf numFmtId="0" fontId="3" fillId="4" borderId="0" xfId="0"/>
    <x:xf numFmtId="0" fontId="3" fillId="4" borderId="0" xfId="0" applyAlignment="1">
      <x:alignment horizontal="center"/>
    </x:xf>
    <x:xf numFmtId="0" fontId="0" fillId="5" borderId="0" xfId="0"/>
    <x:xf numFmtId="0" fontId="0" fillId="6" borderId="0" xfId="0"/>
    <x:xf numFmtId="0" fontId="4" fillId="6" borderId="0" xfId="0"/>
    <x:xf numFmtId="0" fontId="0" fillId="7" borderId="0" xfId="0"/>
    <x:xf numFmtId="0" fontId="4" fillId="7" borderId="0" xfId="0"/>
    <x:xf numFmtId="0" fontId="4" fillId="6" borderId="0" xfId="0" applyAlignment="1">
      <x:alignment horizontal="center"/>
    </x:xf>
    <x:xf numFmtId="0" fontId="4" fillId="7" borderId="0" xfId="0" applyAlignment="1">
      <x:alignment horizontal="center"/>
    </x:xf>
    <x:xf numFmtId="0" fontId="0" fillId="8" borderId="0" xfId="0"/>
    <x:xf numFmtId="0" fontId="0" fillId="9" borderId="0" xfId="0"/>
    <x:xf numFmtId="0" fontId="0" fillId="10" borderId="0" xfId="0"/>
    <x:xf numFmtId="1" fontId="0" fillId="5" borderId="0" xfId="0"/>
    <x:xf numFmtId="1" fontId="4" fillId="6" borderId="0" xfId="0" applyAlignment="1">
      <x:alignment horizontal="center"/>
    </x:xf>
    <x:xf numFmtId="1" fontId="4" fillId="7" borderId="0" xfId="0" applyAlignment="1">
      <x:alignment horizontal="center"/>
    </x:xf>
    <x:xf numFmtId="1" fontId="0" fillId="0" borderId="0" xfId="0"/>
    <x:xf numFmtId="1" fontId="0" fillId="8" borderId="0" xfId="0"/>
    <x:xf numFmtId="1" fontId="0" fillId="9" borderId="0" xfId="0"/>
    <x:xf numFmtId="1" fontId="0" fillId="10" borderId="0" xfId="0"/>
    <x:xf numFmtId="0" fontId="5" fillId="2" borderId="0" xfId="0" applyAlignment="1">
      <x:alignment horizontal="center" vertical="center"/>
    </x:xf>
    <x:xf numFmtId="0" fontId="5" fillId="3" borderId="0" xfId="0" applyAlignment="1">
      <x:alignment horizontal="center" vertical="center"/>
    </x:xf>
    <x:xf numFmtId="0" fontId="6" fillId="0" borderId="0" xfId="0"/>
    <x:xf numFmtId="0" fontId="7" fillId="4" borderId="0" xfId="0" applyAlignment="1">
      <x:alignment horizontal="center"/>
    </x:xf>
    <x:xf numFmtId="0" fontId="6" fillId="5" borderId="0" xfId="0"/>
    <x:xf numFmtId="1" fontId="6" fillId="5" borderId="0" xfId="0"/>
    <x:xf numFmtId="0" fontId="8" fillId="6" borderId="0" xfId="0"/>
    <x:xf numFmtId="0" fontId="8" fillId="6" borderId="0" xfId="0" applyAlignment="1">
      <x:alignment horizontal="center"/>
    </x:xf>
    <x:xf numFmtId="1" fontId="8" fillId="6" borderId="0" xfId="0" applyAlignment="1">
      <x:alignment horizontal="center"/>
    </x:xf>
    <x:xf numFmtId="0" fontId="8" fillId="7" borderId="0" xfId="0"/>
    <x:xf numFmtId="0" fontId="8" fillId="7" borderId="0" xfId="0" applyAlignment="1">
      <x:alignment horizontal="center"/>
    </x:xf>
    <x:xf numFmtId="1" fontId="8" fillId="7" borderId="0" xfId="0" applyAlignment="1">
      <x:alignment horizontal="center"/>
    </x:xf>
    <x:xf numFmtId="1" fontId="6" fillId="0" borderId="0" xfId="0"/>
    <x:xf numFmtId="0" fontId="6" fillId="8" borderId="0" xfId="0"/>
    <x:xf numFmtId="1" fontId="6" fillId="8" borderId="0" xfId="0"/>
    <x:xf numFmtId="0" fontId="6" fillId="9" borderId="0" xfId="0"/>
    <x:xf numFmtId="1" fontId="6" fillId="9" borderId="0" xfId="0"/>
    <x:xf numFmtId="0" fontId="6" fillId="10" borderId="0" xfId="0"/>
    <x:xf numFmtId="1" fontId="6" fillId="10" borderId="0" xfId="0"/>
    <x:xf numFmtId="0" fontId="9" fillId="2" borderId="0" xfId="0"/>
    <x:xf numFmtId="0" fontId="9" fillId="2" borderId="0" xfId="0" applyAlignment="1">
      <x:alignment horizontal="center"/>
    </x:xf>
    <x:xf numFmtId="0" fontId="2" fillId="3" borderId="0" xfId="0" applyAlignment="1">
      <x:alignment wrapText="1"/>
    </x:xf>
    <x:xf numFmtId="0" fontId="2" fillId="3" borderId="0" xfId="0" applyAlignment="1">
      <x:alignment horizontal="center" wrapText="1"/>
    </x:xf>
    <x:xf numFmtId="0" fontId="0" fillId="0" borderId="0" xfId="0" applyAlignment="1">
      <x:alignment wrapText="1"/>
    </x:xf>
    <x:xf numFmtId="0" fontId="5" fillId="3" borderId="25" xfId="0" applyAlignment="1">
      <x:alignment horizontal="center" vertical="center"/>
    </x:xf>
    <x:xf numFmtId="0" fontId="0" fillId="0" borderId="25" xfId="0"/>
    <x:xf numFmtId="0" fontId="7" fillId="4" borderId="25" xfId="0" applyAlignment="1">
      <x:alignment horizontal="center"/>
    </x:xf>
    <x:xf numFmtId="0" fontId="6" fillId="5" borderId="25" xfId="0"/>
    <x:xf numFmtId="1" fontId="6" fillId="5" borderId="25" xfId="0"/>
    <x:xf numFmtId="0" fontId="8" fillId="6" borderId="25" xfId="0"/>
    <x:xf numFmtId="0" fontId="8" fillId="6" borderId="25" xfId="0" applyAlignment="1">
      <x:alignment horizontal="center"/>
    </x:xf>
    <x:xf numFmtId="0" fontId="8" fillId="7" borderId="25" xfId="0"/>
    <x:xf numFmtId="0" fontId="8" fillId="7" borderId="25" xfId="0" applyAlignment="1">
      <x:alignment horizontal="center"/>
    </x:xf>
    <x:xf numFmtId="0" fontId="6" fillId="0" borderId="25" xfId="0"/>
    <x:xf numFmtId="1" fontId="6" fillId="0" borderId="25" xfId="0"/>
    <x:xf numFmtId="0" fontId="6" fillId="8" borderId="25" xfId="0"/>
    <x:xf numFmtId="1" fontId="6" fillId="8" borderId="25" xfId="0"/>
    <x:xf numFmtId="0" fontId="6" fillId="9" borderId="25" xfId="0"/>
    <x:xf numFmtId="1" fontId="6" fillId="9" borderId="25" xfId="0"/>
    <x:xf numFmtId="0" fontId="6" fillId="10" borderId="25" xfId="0"/>
    <x:xf numFmtId="1" fontId="6" fillId="10" borderId="25" xfId="0"/>
    <x:xf numFmtId="0" fontId="2" fillId="3" borderId="25" xfId="0" applyAlignment="1">
      <x:alignment horizontal="center" wrapText="1"/>
    </x:xf>
    <x:xf numFmtId="0" fontId="2" fillId="3" borderId="25" xfId="0" applyAlignment="1">
      <x:alignment wrapText="1"/>
    </x:xf>
    <x:xf numFmtId="0" fontId="0" fillId="0" borderId="25" xfId="0" applyAlignment="1">
      <x:alignment wrapText="1"/>
    </x:xf>
    <x:xf numFmtId="0" fontId="9" fillId="11" borderId="24" xfId="0" applyAlignment="1">
      <x:alignment horizontal="center"/>
    </x:xf>
    <x:xf numFmtId="0" fontId="0" fillId="11" borderId="0" xfId="0"/>
    <x:xf numFmtId="0" fontId="1" fillId="11" borderId="24" xfId="0" applyAlignment="1">
      <x:alignment horizontal="center"/>
    </x:xf>
    <x:xf numFmtId="0" fontId="1" fillId="11" borderId="0" xfId="0"/>
    <x:xf numFmtId="0" fontId="1" fillId="11" borderId="26" xfId="0" applyAlignment="1">
      <x:alignment horizontal="center"/>
    </x:xf>
    <x:xf numFmtId="0" fontId="1" fillId="11" borderId="27" xfId="0"/>
    <x:xf numFmtId="0" fontId="1" fillId="11" borderId="28" xfId="0"/>
    <x:xf numFmtId="0" fontId="1" fillId="11" borderId="27" xfId="0" applyAlignment="1">
      <x:alignment horizontal="center"/>
    </x:xf>
    <x:xf numFmtId="0" fontId="1" fillId="11" borderId="28" xfId="0" applyAlignment="1">
      <x:alignment horizontal="center"/>
    </x:xf>
    <x:xf numFmtId="0" fontId="1" fillId="11" borderId="26" xfId="0" applyAlignment="1">
      <x:alignment horizontal="center" vertical="center"/>
    </x:xf>
    <x:xf numFmtId="0" fontId="1" fillId="11" borderId="27" xfId="0" applyAlignment="1">
      <x:alignment horizontal="center" vertical="center"/>
    </x:xf>
    <x:xf numFmtId="0" fontId="1" fillId="11" borderId="28" xfId="0" applyAlignment="1">
      <x:alignment horizontal="center" vertical="center"/>
    </x:xf>
    <x:xf numFmtId="0" fontId="9" fillId="11" borderId="0" xfId="0" applyAlignment="1">
      <x:alignment horizontal="center"/>
    </x:xf>
    <x:xf numFmtId="0" fontId="1" fillId="11" borderId="0" xfId="0" applyAlignment="1">
      <x:alignment horizontal="center"/>
    </x:xf>
    <x:xf numFmtId="0" fontId="1" fillId="11" borderId="29" xfId="0" applyAlignment="1">
      <x:alignment horizontal="center"/>
    </x:xf>
    <x:xf numFmtId="0" fontId="1" fillId="11" borderId="29" xfId="0" applyAlignment="1">
      <x:alignment horizontal="center" vertical="center"/>
    </x:xf>
    <x:xf numFmtId="0" fontId="0" fillId="12" borderId="15" xfId="0"/>
    <x:xf numFmtId="0" fontId="0" fillId="12" borderId="0" xfId="0"/>
    <x:xf numFmtId="0" fontId="0" fillId="12" borderId="16" xfId="0"/>
    <x:xf numFmtId="0" fontId="10" fillId="12" borderId="15" xfId="0"/>
    <x:xf numFmtId="0" fontId="10" fillId="12" borderId="0" xfId="0"/>
    <x:xf numFmtId="0" fontId="10" fillId="12" borderId="16" xfId="0"/>
    <x:xf numFmtId="0" fontId="10" fillId="12" borderId="15" xfId="0" applyAlignment="1">
      <x:alignment wrapText="1"/>
    </x:xf>
    <x:xf numFmtId="0" fontId="10" fillId="12" borderId="0" xfId="0" applyAlignment="1">
      <x:alignment wrapText="1"/>
    </x:xf>
    <x:xf numFmtId="0" fontId="10" fillId="12" borderId="16" xfId="0" applyAlignment="1">
      <x:alignment wrapText="1"/>
    </x:xf>
    <x:xf numFmtId="0" fontId="10" fillId="12" borderId="15" xfId="0" applyAlignment="1">
      <x:alignment vertical="center" wrapText="1"/>
    </x:xf>
    <x:xf numFmtId="0" fontId="10" fillId="12" borderId="0" xfId="0" applyAlignment="1">
      <x:alignment vertical="center" wrapText="1"/>
    </x:xf>
    <x:xf numFmtId="0" fontId="10" fillId="12" borderId="16" xfId="0" applyAlignment="1">
      <x:alignment vertical="center" wrapText="1"/>
    </x:xf>
    <x:xf numFmtId="0" fontId="11" fillId="3" borderId="25" xfId="0" applyAlignment="1">
      <x:alignment horizontal="center" wrapText="1"/>
    </x:xf>
    <x:xf numFmtId="0" fontId="12" fillId="0" borderId="0" xfId="0"/>
    <x:xf numFmtId="0" fontId="12" fillId="0" borderId="0" xfId="0" applyAlignment="1">
      <x:alignment wrapText="1"/>
    </x:xf>
    <x:xf numFmtId="0" fontId="0" fillId="13" borderId="25" xfId="0"/>
    <x:xf numFmtId="0" fontId="0" fillId="13" borderId="0" xfId="0"/>
    <x:xf numFmtId="0" fontId="13" fillId="13" borderId="25" xfId="0"/>
    <x:xf numFmtId="0" fontId="13" fillId="13" borderId="0" xfId="0"/>
    <x:xf numFmtId="0" fontId="13" fillId="13" borderId="30" xfId="0"/>
    <x:xf numFmtId="0" fontId="13" fillId="13" borderId="31" xfId="0"/>
    <x:xf numFmtId="0" fontId="13" fillId="13" borderId="27" xfId="0"/>
    <x:xf numFmtId="0" fontId="13" fillId="13" borderId="28" xfId="0"/>
    <x:xf numFmtId="0" fontId="13" fillId="13" borderId="30" xfId="0" applyAlignment="1">
      <x:alignment horizontal="left"/>
    </x:xf>
    <x:xf numFmtId="0" fontId="13" fillId="13" borderId="31" xfId="0" applyAlignment="1">
      <x:alignment horizontal="left"/>
    </x:xf>
    <x:xf numFmtId="0" fontId="13" fillId="13" borderId="27" xfId="0" applyAlignment="1">
      <x:alignment horizontal="left"/>
    </x:xf>
    <x:xf numFmtId="0" fontId="13" fillId="13" borderId="28" xfId="0" applyAlignment="1">
      <x:alignment horizontal="left"/>
    </x:xf>
    <x:xf numFmtId="0" fontId="0" fillId="11" borderId="25" xfId="0"/>
    <x:xf numFmtId="0" fontId="2" fillId="11" borderId="25" xfId="0"/>
    <x:xf numFmtId="0" fontId="2" fillId="11" borderId="0" xfId="0"/>
    <x:xf numFmtId="0" fontId="2" fillId="11" borderId="25" xfId="0" applyAlignment="1">
      <x:alignment wrapText="1"/>
    </x:xf>
    <x:xf numFmtId="0" fontId="2" fillId="11" borderId="0" xfId="0" applyAlignment="1">
      <x:alignment wrapText="1"/>
    </x:xf>
    <x:xf numFmtId="0" fontId="2" fillId="11" borderId="25" xfId="0" applyAlignment="1">
      <x:alignment horizontal="center" wrapText="1"/>
    </x:xf>
    <x:xf numFmtId="0" fontId="2" fillId="11" borderId="0" xfId="0" applyAlignment="1">
      <x:alignment horizontal="center" wrapText="1"/>
    </x:xf>
    <x:xf numFmtId="0" fontId="2" fillId="11" borderId="25" xfId="0" applyAlignment="1">
      <x:alignment horizontal="center" vertical="center" wrapText="1"/>
    </x:xf>
    <x:xf numFmtId="0" fontId="2" fillId="11" borderId="0" xfId="0" applyAlignment="1">
      <x:alignment horizontal="center" vertical="center" wrapText="1"/>
    </x:xf>
    <x:xf numFmtId="0" fontId="2" fillId="11" borderId="32" xfId="0" applyAlignment="1">
      <x:alignment horizontal="center" vertical="center" wrapText="1"/>
    </x:xf>
    <x:xf numFmtId="0" fontId="2" fillId="11" borderId="33" xfId="0" applyAlignment="1">
      <x:alignment horizontal="center" vertical="center" wrapText="1"/>
    </x:xf>
    <x:xf numFmtId="0" fontId="2" fillId="11" borderId="34" xfId="0" applyAlignment="1">
      <x:alignment horizontal="center" vertical="center" wrapText="1"/>
    </x:xf>
    <x:xf numFmtId="0" fontId="2" fillId="11" borderId="35" xfId="0" applyAlignment="1">
      <x:alignment horizontal="center" vertical="center" wrapText="1"/>
    </x:xf>
    <x:xf numFmtId="0" fontId="0" fillId="0" borderId="36" xfId="0"/>
    <x:xf numFmtId="0" fontId="0" fillId="0" borderId="0" xfId="0"/>
    <x:xf numFmtId="0" fontId="0" fillId="0" borderId="37" xfId="0"/>
    <x:xf numFmtId="0" fontId="0" fillId="0" borderId="38" xfId="0"/>
    <x:xf numFmtId="0" fontId="0" fillId="0" borderId="39" xfId="0"/>
    <x:xf numFmtId="0" fontId="0" fillId="0" borderId="40" xfId="0"/>
    <x:xf numFmtId="0" fontId="0" fillId="0" borderId="41" xfId="0"/>
    <x:xf numFmtId="0" fontId="0" fillId="14" borderId="36" xfId="0"/>
    <x:xf numFmtId="0" fontId="0" fillId="14" borderId="25" xfId="0"/>
    <x:xf numFmtId="0" fontId="0" fillId="14" borderId="0" xfId="0"/>
    <x:xf numFmtId="0" fontId="0" fillId="14" borderId="37" xfId="0"/>
    <x:xf numFmtId="0" fontId="0" fillId="14" borderId="38" xfId="0"/>
    <x:xf numFmtId="0" fontId="0" fillId="14" borderId="39" xfId="0"/>
    <x:xf numFmtId="0" fontId="0" fillId="14" borderId="40" xfId="0"/>
    <x:xf numFmtId="0" fontId="0" fillId="14" borderId="41" xfId="0"/>
    <x:xf numFmtId="0" fontId="0" fillId="14" borderId="0" xfId="0" applyAlignment="1">
      <x:alignment wrapText="1"/>
    </x:xf>
    <x:xf numFmtId="0" fontId="0" fillId="14" borderId="40" xfId="0" applyAlignment="1">
      <x:alignment wrapText="1"/>
    </x:xf>
    <x:xf numFmtId="0" fontId="13" fillId="13" borderId="29" xfId="0"/>
    <x:xf numFmtId="0" fontId="13" fillId="13" borderId="29" xfId="0" applyAlignment="1">
      <x:alignment horizontal="left"/>
    </x:xf>
    <x:xf numFmtId="0" fontId="2" fillId="11" borderId="42" xfId="0" applyAlignment="1">
      <x:alignment horizontal="center" vertical="center" wrapText="1"/>
    </x:xf>
    <x:xf numFmtId="0" fontId="0" fillId="15" borderId="38" xfId="0"/>
    <x:xf numFmtId="0" fontId="0" fillId="15" borderId="0" xfId="0"/>
    <x:xf numFmtId="0" fontId="0" fillId="15" borderId="37" xfId="0"/>
    <x:xf numFmtId="0" fontId="0" fillId="15" borderId="39" xfId="0"/>
    <x:xf numFmtId="0" fontId="0" fillId="15" borderId="40" xfId="0"/>
    <x:xf numFmtId="0" fontId="0" fillId="15" borderId="41" xfId="0"/>
    <x:xf numFmtId="0" fontId="0" fillId="15" borderId="0" xfId="0" applyAlignment="1">
      <x:alignment wrapText="1"/>
    </x:xf>
    <x:xf numFmtId="0" fontId="0" fillId="15" borderId="40" xfId="0" applyAlignment="1">
      <x:alignment wrapText="1"/>
    </x:xf>
    <x:xf numFmtId="0" fontId="0" fillId="16" borderId="38" xfId="0"/>
    <x:xf numFmtId="0" fontId="0" fillId="16" borderId="0" xfId="0"/>
    <x:xf numFmtId="0" fontId="0" fillId="16" borderId="37" xfId="0"/>
    <x:xf numFmtId="0" fontId="0" fillId="16" borderId="39" xfId="0"/>
    <x:xf numFmtId="0" fontId="0" fillId="16" borderId="40" xfId="0"/>
    <x:xf numFmtId="0" fontId="0" fillId="16" borderId="41" xfId="0"/>
    <x:xf numFmtId="0" fontId="0" fillId="16" borderId="0" xfId="0" applyAlignment="1">
      <x:alignment wrapText="1"/>
    </x:xf>
    <x:xf numFmtId="0" fontId="0" fillId="16" borderId="40" xfId="0" applyAlignment="1">
      <x:alignment wrapText="1"/>
    </x:xf>
    <x:xf numFmtId="0" fontId="0" fillId="17" borderId="38" xfId="0"/>
    <x:xf numFmtId="0" fontId="0" fillId="17" borderId="0" xfId="0"/>
    <x:xf numFmtId="0" fontId="0" fillId="17" borderId="37" xfId="0"/>
    <x:xf numFmtId="0" fontId="0" fillId="17" borderId="39" xfId="0"/>
    <x:xf numFmtId="0" fontId="0" fillId="17" borderId="40" xfId="0"/>
    <x:xf numFmtId="0" fontId="0" fillId="17" borderId="41" xfId="0"/>
    <x:xf numFmtId="0" fontId="0" fillId="17" borderId="0" xfId="0" applyAlignment="1">
      <x:alignment wrapText="1"/>
    </x:xf>
    <x:xf numFmtId="0" fontId="0" fillId="17" borderId="40" xfId="0" applyAlignment="1">
      <x:alignment wrapText="1"/>
    </x:xf>
    <x:xf numFmtId="0" fontId="5" fillId="11" borderId="26" xfId="0" applyAlignment="1">
      <x:alignment horizontal="center" vertical="center"/>
    </x:xf>
    <x:xf numFmtId="0" fontId="5" fillId="11" borderId="27" xfId="0" applyAlignment="1">
      <x:alignment horizontal="center" vertical="center"/>
    </x:xf>
    <x:xf numFmtId="0" fontId="5" fillId="11" borderId="28" xfId="0" applyAlignment="1">
      <x:alignment horizontal="center" vertical="center"/>
    </x:xf>
    <x:xf numFmtId="0" fontId="14" fillId="12" borderId="15" xfId="0" applyAlignment="1">
      <x:alignment vertical="center" wrapText="1"/>
    </x:xf>
    <x:xf numFmtId="0" fontId="14" fillId="12" borderId="0" xfId="0" applyAlignment="1">
      <x:alignment vertical="center" wrapText="1"/>
    </x:xf>
    <x:xf numFmtId="0" fontId="14" fillId="12" borderId="16" xfId="0" applyAlignment="1">
      <x:alignment vertical="center" wrapText="1"/>
    </x:xf>
    <x:xf numFmtId="0" fontId="5" fillId="3" borderId="25" xfId="0" applyAlignment="1">
      <x:alignment horizontal="center" wrapText="1"/>
    </x:xf>
    <x:xf numFmtId="0" fontId="6" fillId="0" borderId="0" xfId="0" applyAlignment="1">
      <x:alignment wrapText="1"/>
    </x:xf>
    <x:xf numFmtId="0" fontId="5" fillId="13" borderId="30" xfId="0" applyAlignment="1">
      <x:alignment horizontal="left"/>
    </x:xf>
    <x:xf numFmtId="0" fontId="5" fillId="13" borderId="31" xfId="0" applyAlignment="1">
      <x:alignment horizontal="left"/>
    </x:xf>
    <x:xf numFmtId="0" fontId="5" fillId="13" borderId="27" xfId="0" applyAlignment="1">
      <x:alignment horizontal="left"/>
    </x:xf>
    <x:xf numFmtId="0" fontId="5" fillId="13" borderId="28" xfId="0" applyAlignment="1">
      <x:alignment horizontal="left"/>
    </x:xf>
    <x:xf numFmtId="0" fontId="5" fillId="11" borderId="32" xfId="0" applyAlignment="1">
      <x:alignment horizontal="center" vertical="center" wrapText="1"/>
    </x:xf>
    <x:xf numFmtId="0" fontId="5" fillId="11" borderId="33" xfId="0" applyAlignment="1">
      <x:alignment horizontal="center" vertical="center" wrapText="1"/>
    </x:xf>
    <x:xf numFmtId="0" fontId="5" fillId="11" borderId="34" xfId="0" applyAlignment="1">
      <x:alignment horizontal="center" vertical="center" wrapText="1"/>
    </x:xf>
    <x:xf numFmtId="0" fontId="5" fillId="11" borderId="35" xfId="0" applyAlignment="1">
      <x:alignment horizontal="center" vertical="center" wrapText="1"/>
    </x:xf>
    <x:xf numFmtId="0" fontId="6" fillId="14" borderId="36" xfId="0"/>
    <x:xf numFmtId="0" fontId="6" fillId="14" borderId="25" xfId="0"/>
    <x:xf numFmtId="0" fontId="6" fillId="14" borderId="0" xfId="0" applyAlignment="1">
      <x:alignment wrapText="1"/>
    </x:xf>
    <x:xf numFmtId="0" fontId="6" fillId="14" borderId="0" xfId="0"/>
    <x:xf numFmtId="0" fontId="6" fillId="14" borderId="37" xfId="0"/>
    <x:xf numFmtId="0" fontId="6" fillId="14" borderId="38" xfId="0"/>
    <x:xf numFmtId="0" fontId="6" fillId="14" borderId="39" xfId="0"/>
    <x:xf numFmtId="0" fontId="6" fillId="14" borderId="40" xfId="0"/>
    <x:xf numFmtId="0" fontId="6" fillId="14" borderId="40" xfId="0" applyAlignment="1">
      <x:alignment wrapText="1"/>
    </x:xf>
    <x:xf numFmtId="0" fontId="6" fillId="14" borderId="41" xfId="0"/>
    <x:xf numFmtId="0" fontId="5" fillId="13" borderId="29" xfId="0" applyAlignment="1">
      <x:alignment horizontal="left"/>
    </x:xf>
    <x:xf numFmtId="0" fontId="5" fillId="11" borderId="42" xfId="0" applyAlignment="1">
      <x:alignment horizontal="center" vertical="center" wrapText="1"/>
    </x:xf>
    <x:xf numFmtId="0" fontId="6" fillId="15" borderId="38" xfId="0"/>
    <x:xf numFmtId="0" fontId="6" fillId="15" borderId="0" xfId="0"/>
    <x:xf numFmtId="0" fontId="6" fillId="15" borderId="0" xfId="0" applyAlignment="1">
      <x:alignment wrapText="1"/>
    </x:xf>
    <x:xf numFmtId="0" fontId="6" fillId="15" borderId="37" xfId="0"/>
    <x:xf numFmtId="0" fontId="6" fillId="15" borderId="39" xfId="0"/>
    <x:xf numFmtId="0" fontId="6" fillId="15" borderId="40" xfId="0"/>
    <x:xf numFmtId="0" fontId="6" fillId="15" borderId="40" xfId="0" applyAlignment="1">
      <x:alignment wrapText="1"/>
    </x:xf>
    <x:xf numFmtId="0" fontId="6" fillId="15" borderId="41" xfId="0"/>
    <x:xf numFmtId="0" fontId="6" fillId="16" borderId="38" xfId="0"/>
    <x:xf numFmtId="0" fontId="6" fillId="16" borderId="0" xfId="0"/>
    <x:xf numFmtId="0" fontId="6" fillId="16" borderId="0" xfId="0" applyAlignment="1">
      <x:alignment wrapText="1"/>
    </x:xf>
    <x:xf numFmtId="0" fontId="6" fillId="16" borderId="37" xfId="0"/>
    <x:xf numFmtId="0" fontId="6" fillId="16" borderId="39" xfId="0"/>
    <x:xf numFmtId="0" fontId="6" fillId="16" borderId="40" xfId="0"/>
    <x:xf numFmtId="0" fontId="6" fillId="16" borderId="40" xfId="0" applyAlignment="1">
      <x:alignment wrapText="1"/>
    </x:xf>
    <x:xf numFmtId="0" fontId="6" fillId="16" borderId="41" xfId="0"/>
    <x:xf numFmtId="0" fontId="6" fillId="17" borderId="38" xfId="0"/>
    <x:xf numFmtId="0" fontId="6" fillId="17" borderId="0" xfId="0"/>
    <x:xf numFmtId="0" fontId="6" fillId="17" borderId="0" xfId="0" applyAlignment="1">
      <x:alignment wrapText="1"/>
    </x:xf>
    <x:xf numFmtId="0" fontId="6" fillId="17" borderId="37" xfId="0"/>
    <x:xf numFmtId="0" fontId="6" fillId="17" borderId="39" xfId="0"/>
    <x:xf numFmtId="0" fontId="6" fillId="17" borderId="40" xfId="0"/>
    <x:xf numFmtId="0" fontId="6" fillId="17" borderId="40" xfId="0" applyAlignment="1">
      <x:alignment wrapText="1"/>
    </x:xf>
    <x:xf numFmtId="0" fontId="6" fillId="17" borderId="41" xfId="0"/>
    <x:xf numFmtId="0" fontId="5" fillId="11" borderId="29" xfId="0" applyAlignment="1">
      <x:alignment horizontal="center" vertical="center"/>
    </x:xf>
    <x:xf numFmtId="0" fontId="6" fillId="14" borderId="25" xfId="0" applyAlignment="1">
      <x:alignment horizontal="center"/>
    </x:xf>
    <x:xf numFmtId="0" fontId="6" fillId="14" borderId="0" xfId="0" applyAlignment="1">
      <x:alignment horizontal="center"/>
    </x:xf>
    <x:xf numFmtId="0" fontId="6" fillId="14" borderId="40" xfId="0" applyAlignment="1">
      <x:alignment horizontal="center"/>
    </x:xf>
    <x:xf numFmtId="0" fontId="6" fillId="0" borderId="0" xfId="0" applyAlignment="1">
      <x:alignment horizontal="center"/>
    </x:xf>
    <x:xf numFmtId="0" fontId="5" fillId="13" borderId="27" xfId="0" applyAlignment="1">
      <x:alignment horizontal="center"/>
    </x:xf>
    <x:xf numFmtId="0" fontId="6" fillId="15" borderId="0" xfId="0" applyAlignment="1">
      <x:alignment horizontal="center"/>
    </x:xf>
    <x:xf numFmtId="0" fontId="6" fillId="15" borderId="40" xfId="0" applyAlignment="1">
      <x:alignment horizontal="center"/>
    </x:xf>
    <x:xf numFmtId="0" fontId="6" fillId="16" borderId="0" xfId="0" applyAlignment="1">
      <x:alignment horizontal="center"/>
    </x:xf>
    <x:xf numFmtId="0" fontId="6" fillId="16" borderId="40" xfId="0" applyAlignment="1">
      <x:alignment horizontal="center"/>
    </x:xf>
    <x:xf numFmtId="0" fontId="6" fillId="17" borderId="0" xfId="0" applyAlignment="1">
      <x:alignment horizontal="center"/>
    </x:xf>
    <x:xf numFmtId="0" fontId="6" fillId="17" borderId="40" xfId="0" applyAlignment="1">
      <x:alignment horizontal="center"/>
    </x:xf>
    <x:xf numFmtId="1" fontId="6" fillId="14" borderId="37" xfId="0"/>
    <x:xf numFmtId="1" fontId="6" fillId="14" borderId="41" xfId="0"/>
    <x:xf numFmtId="1" fontId="6" fillId="0" borderId="0" xfId="0"/>
    <x:xf numFmtId="1" fontId="5" fillId="13" borderId="28" xfId="0" applyAlignment="1">
      <x:alignment horizontal="left"/>
    </x:xf>
    <x:xf numFmtId="1" fontId="5" fillId="11" borderId="35" xfId="0" applyAlignment="1">
      <x:alignment horizontal="center" vertical="center" wrapText="1"/>
    </x:xf>
    <x:xf numFmtId="1" fontId="6" fillId="15" borderId="37" xfId="0"/>
    <x:xf numFmtId="1" fontId="6" fillId="15" borderId="41" xfId="0"/>
    <x:xf numFmtId="1" fontId="6" fillId="16" borderId="37" xfId="0"/>
    <x:xf numFmtId="1" fontId="6" fillId="16" borderId="41" xfId="0"/>
    <x:xf numFmtId="1" fontId="6" fillId="17" borderId="37" xfId="0"/>
    <x:xf numFmtId="1" fontId="6" fillId="17" borderId="41" xfId="0"/>
    <x:xf numFmtId="0" fontId="15" fillId="0" borderId="0" xfId="0"/>
    <x:xf numFmtId="0" fontId="15" fillId="0" borderId="0" xfId="0" applyAlignment="1">
      <x:alignment wrapText="1"/>
    </x:xf>
    <x:xf numFmtId="0" fontId="0" fillId="0" borderId="24" xfId="0"/>
    <x:xf numFmtId="0" fontId="0" fillId="0" borderId="45" xfId="0"/>
    <x:xf numFmtId="0" fontId="0" fillId="0" borderId="48" xfId="0"/>
    <x:xf numFmtId="0" fontId="5" fillId="11" borderId="49" xfId="0" applyAlignment="1">
      <x:alignment horizontal="center" vertical="center"/>
    </x:xf>
    <x:xf numFmtId="0" fontId="14" fillId="12" borderId="24" xfId="0" applyAlignment="1">
      <x:alignment vertical="center" wrapText="1"/>
    </x:xf>
    <x:xf numFmtId="0" fontId="0" fillId="0" borderId="50" xfId="0"/>
    <x:xf numFmtId="0" fontId="6" fillId="0" borderId="24" xfId="0"/>
    <x:xf numFmtId="0" fontId="0" fillId="0" borderId="51" xfId="0"/>
    <x:xf numFmtId="1" fontId="6" fillId="14" borderId="37" xfId="0"/>
    <x:xf numFmtId="1" fontId="6" fillId="14" borderId="41" xfId="0"/>
    <x:xf numFmtId="0" fontId="5" fillId="13" borderId="49" xfId="0" applyAlignment="1">
      <x:alignment horizontal="left"/>
    </x:xf>
    <x:xf numFmtId="1" fontId="5" fillId="11" borderId="35" xfId="0" applyAlignment="1">
      <x:alignment horizontal="center" vertical="center" wrapText="1"/>
    </x:xf>
    <x:xf numFmtId="1" fontId="6" fillId="15" borderId="37" xfId="0"/>
    <x:xf numFmtId="1" fontId="6" fillId="15" borderId="41" xfId="0"/>
    <x:xf numFmtId="1" fontId="6" fillId="16" borderId="37" xfId="0"/>
    <x:xf numFmtId="1" fontId="6" fillId="16" borderId="41" xfId="0"/>
    <x:xf numFmtId="1" fontId="6" fillId="17" borderId="37" xfId="0"/>
    <x:xf numFmtId="1" fontId="6" fillId="17" borderId="41" xfId="0"/>
    <x:xf numFmtId="0" fontId="15" fillId="0" borderId="24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0" fillId="9" borderId="0" xfId="0" applyNumberFormat="1" applyFont="1" applyFill="1" applyBorder="1"/>
    <x:xf numFmtId="0" fontId="0" fillId="10" borderId="0" xfId="0" applyNumberFormat="1" applyFont="1" applyFill="1" applyBorder="1"/>
    <x:xf numFmtId="1" fontId="0" fillId="5" borderId="0" xfId="0" applyNumberFormat="1" applyFont="1" applyFill="1" applyBorder="1"/>
    <x:xf numFmtId="1" fontId="4" fillId="6" borderId="0" xfId="0" applyNumberFormat="1" applyFont="1" applyFill="1" applyBorder="1" applyAlignment="1">
      <x:alignment horizontal="center"/>
    </x:xf>
    <x:xf numFmtId="1" fontId="4" fillId="7" borderId="0" xfId="0" applyNumberFormat="1" applyFont="1" applyFill="1" applyBorder="1" applyAlignment="1">
      <x:alignment horizontal="center"/>
    </x:xf>
    <x:xf numFmtId="1" fontId="0" fillId="0" borderId="0" xfId="0" applyNumberFormat="1" applyFont="1" applyFill="1" applyBorder="1"/>
    <x:xf numFmtId="1" fontId="0" fillId="8" borderId="0" xfId="0" applyNumberFormat="1" applyFont="1" applyFill="1" applyBorder="1"/>
    <x:xf numFmtId="1" fontId="0" fillId="9" borderId="0" xfId="0" applyNumberFormat="1" applyFont="1" applyFill="1" applyBorder="1"/>
    <x:xf numFmtId="1" fontId="0" fillId="10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/>
    <x:xf numFmtId="1" fontId="6" fillId="5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horizontal="center"/>
    </x:xf>
    <x:xf numFmtId="1" fontId="8" fillId="6" borderId="0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horizontal="center"/>
    </x:xf>
    <x:xf numFmtId="1" fontId="8" fillId="7" borderId="0" xfId="0" applyNumberFormat="1" applyFont="1" applyFill="1" applyBorder="1" applyAlignment="1">
      <x:alignment horizontal="center"/>
    </x:xf>
    <x:xf numFmtId="1" fontId="6" fillId="0" borderId="0" xfId="0" applyNumberFormat="1" applyFont="1" applyFill="1" applyBorder="1"/>
    <x:xf numFmtId="0" fontId="6" fillId="8" borderId="0" xfId="0" applyNumberFormat="1" applyFont="1" applyFill="1" applyBorder="1"/>
    <x:xf numFmtId="1" fontId="6" fillId="8" borderId="0" xfId="0" applyNumberFormat="1" applyFont="1" applyFill="1" applyBorder="1"/>
    <x:xf numFmtId="0" fontId="6" fillId="9" borderId="0" xfId="0" applyNumberFormat="1" applyFont="1" applyFill="1" applyBorder="1"/>
    <x:xf numFmtId="1" fontId="6" fillId="9" borderId="0" xfId="0" applyNumberFormat="1" applyFont="1" applyFill="1" applyBorder="1"/>
    <x:xf numFmtId="0" fontId="6" fillId="10" borderId="0" xfId="0" applyNumberFormat="1" applyFont="1" applyFill="1" applyBorder="1"/>
    <x:xf numFmtId="1" fontId="6" fillId="10" borderId="0" xfId="0" applyNumberFormat="1" applyFont="1" applyFill="1" applyBorder="1"/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5" fillId="3" borderId="25" xfId="0" applyNumberFormat="1" applyFont="1" applyFill="1" applyBorder="1" applyAlignment="1">
      <x:alignment horizontal="center" vertical="center"/>
    </x:xf>
    <x:xf numFmtId="0" fontId="0" fillId="0" borderId="25" xfId="0" applyNumberFormat="1" applyFont="1" applyFill="1" applyBorder="1"/>
    <x:xf numFmtId="0" fontId="7" fillId="4" borderId="25" xfId="0" applyNumberFormat="1" applyFont="1" applyFill="1" applyBorder="1" applyAlignment="1">
      <x:alignment horizontal="center"/>
    </x:xf>
    <x:xf numFmtId="0" fontId="6" fillId="5" borderId="25" xfId="0" applyNumberFormat="1" applyFont="1" applyFill="1" applyBorder="1"/>
    <x:xf numFmtId="1" fontId="6" fillId="5" borderId="25" xfId="0" applyNumberFormat="1" applyFont="1" applyFill="1" applyBorder="1"/>
    <x:xf numFmtId="0" fontId="8" fillId="6" borderId="25" xfId="0" applyNumberFormat="1" applyFont="1" applyFill="1" applyBorder="1"/>
    <x:xf numFmtId="0" fontId="8" fillId="6" borderId="25" xfId="0" applyNumberFormat="1" applyFont="1" applyFill="1" applyBorder="1" applyAlignment="1">
      <x:alignment horizontal="center"/>
    </x:xf>
    <x:xf numFmtId="0" fontId="8" fillId="7" borderId="25" xfId="0" applyNumberFormat="1" applyFont="1" applyFill="1" applyBorder="1"/>
    <x:xf numFmtId="0" fontId="8" fillId="7" borderId="25" xfId="0" applyNumberFormat="1" applyFont="1" applyFill="1" applyBorder="1" applyAlignment="1">
      <x:alignment horizontal="center"/>
    </x:xf>
    <x:xf numFmtId="0" fontId="6" fillId="0" borderId="25" xfId="0" applyNumberFormat="1" applyFont="1" applyFill="1" applyBorder="1"/>
    <x:xf numFmtId="1" fontId="6" fillId="0" borderId="25" xfId="0" applyNumberFormat="1" applyFont="1" applyFill="1" applyBorder="1"/>
    <x:xf numFmtId="0" fontId="6" fillId="8" borderId="25" xfId="0" applyNumberFormat="1" applyFont="1" applyFill="1" applyBorder="1"/>
    <x:xf numFmtId="1" fontId="6" fillId="8" borderId="25" xfId="0" applyNumberFormat="1" applyFont="1" applyFill="1" applyBorder="1"/>
    <x:xf numFmtId="0" fontId="6" fillId="9" borderId="25" xfId="0" applyNumberFormat="1" applyFont="1" applyFill="1" applyBorder="1"/>
    <x:xf numFmtId="1" fontId="6" fillId="9" borderId="25" xfId="0" applyNumberFormat="1" applyFont="1" applyFill="1" applyBorder="1"/>
    <x:xf numFmtId="0" fontId="6" fillId="10" borderId="25" xfId="0" applyNumberFormat="1" applyFont="1" applyFill="1" applyBorder="1"/>
    <x:xf numFmtId="1" fontId="6" fillId="10" borderId="25" xfId="0" applyNumberFormat="1" applyFont="1" applyFill="1" applyBorder="1"/>
    <x:xf numFmtId="0" fontId="2" fillId="3" borderId="25" xfId="0" applyNumberFormat="1" applyFont="1" applyFill="1" applyBorder="1" applyAlignment="1">
      <x:alignment horizontal="center" wrapText="1"/>
    </x:xf>
    <x:xf numFmtId="0" fontId="2" fillId="3" borderId="25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0" fillId="12" borderId="0" xfId="0" applyNumberFormat="1" applyFont="1" applyFill="1" applyBorder="1"/>
    <x:xf numFmtId="0" fontId="10" fillId="12" borderId="0" xfId="0" applyNumberFormat="1" applyFont="1" applyFill="1" applyBorder="1" applyAlignment="1">
      <x:alignment wrapText="1"/>
    </x:xf>
    <x:xf numFmtId="0" fontId="10" fillId="12" borderId="0" xfId="0" applyNumberFormat="1" applyFont="1" applyFill="1" applyBorder="1" applyAlignment="1">
      <x:alignment vertical="center" wrapText="1"/>
    </x:xf>
    <x:xf numFmtId="0" fontId="11" fillId="3" borderId="25" xfId="0" applyNumberFormat="1" applyFont="1" applyFill="1" applyBorder="1" applyAlignment="1">
      <x:alignment horizontal="center" wrapText="1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0" fillId="3" borderId="25" xfId="0" applyNumberFormat="1" applyFont="1" applyFill="1" applyBorder="1"/>
    <x:xf numFmtId="0" fontId="13" fillId="3" borderId="25" xfId="0" applyNumberFormat="1" applyFont="1" applyFill="1" applyBorder="1"/>
    <x:xf numFmtId="0" fontId="13" fillId="3" borderId="0" xfId="0" applyNumberFormat="1" applyFont="1" applyFill="1" applyBorder="1"/>
    <x:xf numFmtId="0" fontId="13" fillId="3" borderId="51" xfId="0" applyNumberFormat="1" applyFont="1" applyFill="1" applyBorder="1"/>
    <x:xf numFmtId="0" fontId="13" fillId="3" borderId="47" xfId="0" applyNumberFormat="1" applyFont="1" applyFill="1" applyBorder="1"/>
    <x:xf numFmtId="0" fontId="13" fillId="3" borderId="51" xfId="0" applyNumberFormat="1" applyFont="1" applyFill="1" applyBorder="1" applyAlignment="1">
      <x:alignment horizontal="left"/>
    </x:xf>
    <x:xf numFmtId="0" fontId="13" fillId="3" borderId="47" xfId="0" applyNumberFormat="1" applyFont="1" applyFill="1" applyBorder="1" applyAlignment="1">
      <x:alignment horizontal="left"/>
    </x:xf>
    <x:xf numFmtId="0" fontId="13" fillId="3" borderId="0" xfId="0" applyNumberFormat="1" applyFont="1" applyFill="1" applyBorder="1" applyAlignment="1">
      <x:alignment horizontal="left"/>
    </x:xf>
    <x:xf numFmtId="0" fontId="0" fillId="2" borderId="25" xfId="0" applyNumberFormat="1" applyFont="1" applyFill="1" applyBorder="1"/>
    <x:xf numFmtId="0" fontId="2" fillId="2" borderId="25" xfId="0" applyNumberFormat="1" applyFont="1" applyFill="1" applyBorder="1"/>
    <x:xf numFmtId="0" fontId="2" fillId="2" borderId="0" xfId="0" applyNumberFormat="1" applyFont="1" applyFill="1" applyBorder="1"/>
    <x:xf numFmtId="0" fontId="2" fillId="2" borderId="25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25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25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52" xfId="0" applyNumberFormat="1" applyFont="1" applyFill="1" applyBorder="1" applyAlignment="1">
      <x:alignment horizontal="center" vertical="center" wrapText="1"/>
    </x:xf>
    <x:xf numFmtId="0" fontId="2" fillId="2" borderId="48" xfId="0" applyNumberFormat="1" applyFont="1" applyFill="1" applyBorder="1" applyAlignment="1">
      <x:alignment horizontal="center" vertical="center" wrapText="1"/>
    </x:xf>
    <x:xf numFmtId="0" fontId="0" fillId="0" borderId="45" xfId="0" applyNumberFormat="1" applyFont="1" applyFill="1" applyBorder="1"/>
    <x:xf numFmtId="0" fontId="0" fillId="5" borderId="45" xfId="0" applyNumberFormat="1" applyFont="1" applyFill="1" applyBorder="1"/>
    <x:xf numFmtId="0" fontId="0" fillId="5" borderId="25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14" fillId="12" borderId="0" xfId="0" applyNumberFormat="1" applyFont="1" applyFill="1" applyBorder="1" applyAlignment="1">
      <x:alignment vertical="center" wrapText="1"/>
    </x:xf>
    <x:xf numFmtId="0" fontId="5" fillId="3" borderId="25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 applyAlignment="1">
      <x:alignment wrapText="1"/>
    </x:xf>
    <x:xf numFmtId="0" fontId="5" fillId="3" borderId="51" xfId="0" applyNumberFormat="1" applyFont="1" applyFill="1" applyBorder="1" applyAlignment="1">
      <x:alignment horizontal="left"/>
    </x:xf>
    <x:xf numFmtId="0" fontId="5" fillId="3" borderId="47" xfId="0" applyNumberFormat="1" applyFont="1" applyFill="1" applyBorder="1" applyAlignment="1">
      <x:alignment horizontal="left"/>
    </x:xf>
    <x:xf numFmtId="0" fontId="5" fillId="3" borderId="0" xfId="0" applyNumberFormat="1" applyFont="1" applyFill="1" applyBorder="1" applyAlignment="1">
      <x:alignment horizontal="left"/>
    </x:xf>
    <x:xf numFmtId="0" fontId="5" fillId="2" borderId="52" xfId="0" applyNumberFormat="1" applyFont="1" applyFill="1" applyBorder="1" applyAlignment="1">
      <x:alignment horizontal="center" vertical="center" wrapText="1"/>
    </x:xf>
    <x:xf numFmtId="0" fontId="5" fillId="2" borderId="48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5" borderId="45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wrapText="1"/>
    </x:xf>
    <x:xf numFmtId="0" fontId="6" fillId="10" borderId="0" xfId="0" applyNumberFormat="1" applyFont="1" applyFill="1" applyBorder="1" applyAlignment="1">
      <x:alignment wrapText="1"/>
    </x:xf>
    <x:xf numFmtId="0" fontId="6" fillId="5" borderId="25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/>
    </x:xf>
    <x:xf numFmtId="0" fontId="6" fillId="9" borderId="0" xfId="0" applyNumberFormat="1" applyFont="1" applyFill="1" applyBorder="1" applyAlignment="1">
      <x:alignment horizontal="center"/>
    </x:xf>
    <x:xf numFmtId="0" fontId="6" fillId="10" borderId="0" xfId="0" applyNumberFormat="1" applyFont="1" applyFill="1" applyBorder="1" applyAlignment="1">
      <x:alignment horizontal="center"/>
    </x:xf>
    <x:xf numFmtId="1" fontId="5" fillId="3" borderId="0" xfId="0" applyNumberFormat="1" applyFont="1" applyFill="1" applyBorder="1" applyAlignment="1">
      <x:alignment horizontal="left"/>
    </x:xf>
    <x:xf numFmtId="1" fontId="5" fillId="2" borderId="0" xfId="0" applyNumberFormat="1" applyFont="1" applyFill="1" applyBorder="1" applyAlignment="1">
      <x:alignment horizontal="center" vertical="center" wrapText="1"/>
    </x:xf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wrapText="1"/>
    </x:xf>
    <x:xf numFmtId="0" fontId="0" fillId="0" borderId="48" xfId="0" applyNumberFormat="1" applyFont="1" applyFill="1" applyBorder="1"/>
    <x:xf numFmtId="0" fontId="0" fillId="0" borderId="50" xfId="0" applyNumberFormat="1" applyFont="1" applyFill="1" applyBorder="1"/>
    <x:xf numFmtId="0" fontId="0" fillId="0" borderId="51" xfId="0" applyNumberFormat="1" applyFont="1" applyFill="1" applyBorder="1"/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1" fillId="18" borderId="53" xfId="0" applyNumberFormat="1" applyFont="1" applyFill="1" applyBorder="1"/>
    <x:xf numFmtId="0" fontId="1" fillId="18" borderId="54" xfId="0" applyNumberFormat="1" applyFont="1" applyFill="1" applyBorder="1"/>
    <x:xf numFmtId="0" fontId="1" fillId="18" borderId="55" xfId="0" applyNumberFormat="1" applyFont="1" applyFill="1" applyBorder="1"/>
    <x:xf numFmtId="0" fontId="1" fillId="18" borderId="53" xfId="0" applyNumberFormat="1" applyFont="1" applyFill="1" applyBorder="1" applyAlignment="1">
      <x:alignment horizontal="center"/>
    </x:xf>
    <x:xf numFmtId="0" fontId="1" fillId="18" borderId="54" xfId="0" applyNumberFormat="1" applyFont="1" applyFill="1" applyBorder="1" applyAlignment="1">
      <x:alignment horizontal="center"/>
    </x:xf>
    <x:xf numFmtId="0" fontId="1" fillId="18" borderId="55" xfId="0" applyNumberFormat="1" applyFont="1" applyFill="1" applyBorder="1" applyAlignment="1">
      <x:alignment horizontal="center"/>
    </x:xf>
    <x:xf numFmtId="0" fontId="1" fillId="18" borderId="53" xfId="0" applyNumberFormat="1" applyFont="1" applyFill="1" applyBorder="1" applyAlignment="1">
      <x:alignment horizontal="center" vertical="center"/>
    </x:xf>
    <x:xf numFmtId="0" fontId="1" fillId="18" borderId="54" xfId="0" applyNumberFormat="1" applyFont="1" applyFill="1" applyBorder="1" applyAlignment="1">
      <x:alignment horizontal="center" vertical="center"/>
    </x:xf>
    <x:xf numFmtId="0" fontId="1" fillId="18" borderId="55" xfId="0" applyNumberFormat="1" applyFont="1" applyFill="1" applyBorder="1" applyAlignment="1">
      <x:alignment horizontal="center" vertical="center"/>
    </x:xf>
    <x:xf numFmtId="0" fontId="0" fillId="0" borderId="56" xfId="0" applyNumberFormat="1" applyFont="1" applyFill="1" applyBorder="1"/>
    <x:xf numFmtId="0" fontId="0" fillId="0" borderId="57" xfId="0" applyNumberFormat="1" applyFont="1" applyFill="1" applyBorder="1"/>
    <x:xf numFmtId="0" fontId="0" fillId="0" borderId="58" xfId="0" applyNumberFormat="1" applyFont="1" applyFill="1" applyBorder="1"/>
    <x:xf numFmtId="0" fontId="0" fillId="0" borderId="59" xfId="0" applyNumberFormat="1" applyFont="1" applyFill="1" applyBorder="1"/>
    <x:xf numFmtId="0" fontId="0" fillId="0" xfId="0" applyNumberFormat="1" applyFont="1" applyFill="1" applyBorder="0"/>
    <x:xf numFmtId="0" fontId="0" fillId="0" borderId="60" xfId="0" applyNumberFormat="1" applyFont="1" applyFill="1" applyBorder="1"/>
    <x:xf numFmtId="0" fontId="0" fillId="0" borderId="61" xfId="0" applyNumberFormat="1" applyFont="1" applyFill="1" applyBorder="1"/>
    <x:xf numFmtId="0" fontId="0" fillId="0" borderId="62" xfId="0" applyNumberFormat="1" applyFont="1" applyFill="1" applyBorder="1"/>
    <x:xf numFmtId="0" fontId="0" fillId="0" borderId="63" xfId="0" applyNumberFormat="1" applyFont="1" applyFill="1" applyBorder="1"/>
    <x:xf numFmtId="0" fontId="0" fillId="19" borderId="56" xfId="0" applyNumberFormat="1" applyFont="1" applyFill="1" applyBorder="1"/>
    <x:xf numFmtId="0" fontId="0" fillId="19" borderId="59" xfId="0" applyNumberFormat="1" applyFont="1" applyFill="1" applyBorder="1"/>
    <x:xf numFmtId="0" fontId="0" fillId="19" borderId="61" xfId="0" applyNumberFormat="1" applyFont="1" applyFill="1" applyBorder="1"/>
    <x:xf numFmtId="0" fontId="3" fillId="19" borderId="56" xfId="0" applyNumberFormat="1" applyFont="1" applyFill="1" applyBorder="1"/>
    <x:xf numFmtId="0" fontId="3" fillId="19" borderId="59" xfId="0" applyNumberFormat="1" applyFont="1" applyFill="1" applyBorder="1"/>
    <x:xf numFmtId="0" fontId="3" fillId="19" borderId="61" xfId="0" applyNumberFormat="1" applyFont="1" applyFill="1" applyBorder="1"/>
    <x:xf numFmtId="0" fontId="3" fillId="19" borderId="64" xfId="0" applyNumberFormat="1" applyFont="1" applyFill="1" applyBorder="1"/>
    <x:xf numFmtId="0" fontId="3" fillId="19" borderId="65" xfId="0" applyNumberFormat="1" applyFont="1" applyFill="1" applyBorder="1"/>
    <x:xf numFmtId="0" fontId="3" fillId="19" borderId="66" xfId="0" applyNumberFormat="1" applyFont="1" applyFill="1" applyBorder="1"/>
    <x:xf numFmtId="0" fontId="3" fillId="19" borderId="64" xfId="0" applyNumberFormat="1" applyFont="1" applyFill="1" applyBorder="1" applyAlignment="1">
      <x:alignment vertical="center"/>
    </x:xf>
    <x:xf numFmtId="0" fontId="3" fillId="19" borderId="65" xfId="0" applyNumberFormat="1" applyFont="1" applyFill="1" applyBorder="1" applyAlignment="1">
      <x:alignment vertical="center"/>
    </x:xf>
    <x:xf numFmtId="0" fontId="3" fillId="19" borderId="66" xfId="0" applyNumberFormat="1" applyFont="1" applyFill="1" applyBorder="1" applyAlignment="1">
      <x:alignment vertical="center"/>
    </x:xf>
    <x:xf numFmtId="0" fontId="0" fillId="19" borderId="57" xfId="0" applyNumberFormat="1" applyFont="1" applyFill="1" applyBorder="1"/>
    <x:xf numFmtId="0" fontId="0" fillId="19" xfId="0" applyNumberFormat="1" applyFont="1" applyFill="1" applyBorder="0"/>
    <x:xf numFmtId="0" fontId="0" fillId="19" borderId="62" xfId="0" applyNumberFormat="1" applyFont="1" applyFill="1" applyBorder="1"/>
    <x:xf numFmtId="0" fontId="3" fillId="19" borderId="57" xfId="0" applyNumberFormat="1" applyFont="1" applyFill="1" applyBorder="1"/>
    <x:xf numFmtId="0" fontId="3" fillId="19" xfId="0" applyNumberFormat="1" applyFont="1" applyFill="1" applyBorder="0"/>
    <x:xf numFmtId="0" fontId="3" fillId="19" borderId="62" xfId="0" applyNumberFormat="1" applyFont="1" applyFill="1" applyBorder="1"/>
    <x:xf numFmtId="0" fontId="0" fillId="0" borderId="57" xfId="0" applyNumberFormat="1" applyFont="1" applyFill="1" applyBorder="1" applyAlignment="1">
      <x:alignment wrapText="1"/>
    </x:xf>
    <x:xf numFmtId="0" fontId="3" fillId="19" borderId="64" xfId="0" applyNumberFormat="1" applyFont="1" applyFill="1" applyBorder="1" applyAlignment="1">
      <x:alignment vertical="center" wrapText="1"/>
    </x:xf>
    <x:xf numFmtId="0" fontId="0" fillId="0" borderId="58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3" fillId="19" borderId="65" xfId="0" applyNumberFormat="1" applyFont="1" applyFill="1" applyBorder="1" applyAlignment="1">
      <x:alignment vertical="center" wrapText="1"/>
    </x:xf>
    <x:xf numFmtId="0" fontId="0" fillId="0" borderId="60" xfId="0" applyNumberFormat="1" applyFont="1" applyFill="1" applyBorder="1" applyAlignment="1">
      <x:alignment wrapText="1"/>
    </x:xf>
    <x:xf numFmtId="0" fontId="0" fillId="0" borderId="62" xfId="0" applyNumberFormat="1" applyFont="1" applyFill="1" applyBorder="1" applyAlignment="1">
      <x:alignment wrapText="1"/>
    </x:xf>
    <x:xf numFmtId="0" fontId="3" fillId="19" borderId="66" xfId="0" applyNumberFormat="1" applyFont="1" applyFill="1" applyBorder="1" applyAlignment="1">
      <x:alignment vertical="center" wrapText="1"/>
    </x:xf>
    <x:xf numFmtId="0" fontId="0" fillId="0" borderId="63" xfId="0" applyNumberFormat="1" applyFont="1" applyFill="1" applyBorder="1" applyAlignment="1">
      <x:alignment wrapText="1"/>
    </x:xf>
    <x:xf numFmtId="0" fontId="0" fillId="0" borderId="57" xfId="0" applyNumberFormat="1" applyFont="1" applyFill="1" applyBorder="1" applyAlignment="1">
      <x:alignment vertical="center" wrapText="1"/>
    </x:xf>
    <x:xf numFmtId="0" fontId="0" fillId="0" borderId="58" xfId="0" applyNumberFormat="1" applyFont="1" applyFill="1" applyBorder="1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0" fillId="0" borderId="60" xfId="0" applyNumberFormat="1" applyFont="1" applyFill="1" applyBorder="1" applyAlignment="1">
      <x:alignment vertical="center" wrapText="1"/>
    </x:xf>
    <x:xf numFmtId="0" fontId="0" fillId="0" borderId="62" xfId="0" applyNumberFormat="1" applyFont="1" applyFill="1" applyBorder="1" applyAlignment="1">
      <x:alignment vertical="center" wrapText="1"/>
    </x:xf>
    <x:xf numFmtId="0" fontId="0" fillId="0" borderId="63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/>
    <x:xf numFmtId="0" fontId="2" fillId="20" borderId="0" xfId="0" applyNumberFormat="1" applyFont="1" applyFill="1" applyBorder="1"/>
    <x:xf numFmtId="0" fontId="2" fillId="20" borderId="53" xfId="0" applyNumberFormat="1" applyFont="1" applyFill="1" applyBorder="1"/>
    <x:xf numFmtId="0" fontId="2" fillId="20" borderId="54" xfId="0" applyNumberFormat="1" applyFont="1" applyFill="1" applyBorder="1"/>
    <x:xf numFmtId="0" fontId="2" fillId="20" borderId="55" xfId="0" applyNumberFormat="1" applyFont="1" applyFill="1" applyBorder="1"/>
    <x:xf numFmtId="0" fontId="2" fillId="20" borderId="53" xfId="0" applyNumberFormat="1" applyFont="1" applyFill="1" applyBorder="1" applyAlignment="1">
      <x:alignment wrapText="1"/>
    </x:xf>
    <x:xf numFmtId="0" fontId="2" fillId="20" borderId="54" xfId="0" applyNumberFormat="1" applyFont="1" applyFill="1" applyBorder="1" applyAlignment="1">
      <x:alignment wrapText="1"/>
    </x:xf>
    <x:xf numFmtId="0" fontId="2" fillId="20" borderId="55" xfId="0" applyNumberFormat="1" applyFont="1" applyFill="1" applyBorder="1" applyAlignment="1">
      <x:alignment wrapText="1"/>
    </x:xf>
    <x:xf numFmtId="0" fontId="2" fillId="20" borderId="53" xfId="0" applyNumberFormat="1" applyFont="1" applyFill="1" applyBorder="1" applyAlignment="1">
      <x:alignment horizontal="center" wrapText="1"/>
    </x:xf>
    <x:xf numFmtId="0" fontId="2" fillId="20" borderId="54" xfId="0" applyNumberFormat="1" applyFont="1" applyFill="1" applyBorder="1" applyAlignment="1">
      <x:alignment horizontal="center" wrapText="1"/>
    </x:xf>
    <x:xf numFmtId="0" fontId="2" fillId="20" borderId="55" xfId="0" applyNumberFormat="1" applyFont="1" applyFill="1" applyBorder="1" applyAlignment="1">
      <x:alignment horizontal="center" wrapText="1"/>
    </x:xf>
    <x:xf numFmtId="0" fontId="2" fillId="20" borderId="53" xfId="0" applyNumberFormat="1" applyFont="1" applyFill="1" applyBorder="1" applyAlignment="1">
      <x:alignment horizontal="center" vertical="center" wrapText="1"/>
    </x:xf>
    <x:xf numFmtId="0" fontId="2" fillId="20" borderId="54" xfId="0" applyNumberFormat="1" applyFont="1" applyFill="1" applyBorder="1" applyAlignment="1">
      <x:alignment horizontal="center" vertical="center" wrapText="1"/>
    </x:xf>
    <x:xf numFmtId="0" fontId="2" fillId="20" borderId="55" xfId="0" applyNumberFormat="1" applyFont="1" applyFill="1" applyBorder="1" applyAlignment="1">
      <x:alignment horizontal="center" vertical="center" wrapText="1"/>
    </x:xf>
    <x:xf numFmtId="0" fontId="0" fillId="0" borderId="56" xfId="0" applyNumberFormat="1" applyFont="1" applyFill="1" applyBorder="1" applyAlignment="1">
      <x:alignment wrapText="1"/>
    </x:xf>
    <x:xf numFmtId="0" fontId="0" fillId="0" borderId="59" xfId="0" applyNumberFormat="1" applyFont="1" applyFill="1" applyBorder="1" applyAlignment="1">
      <x:alignment wrapText="1"/>
    </x:xf>
    <x:xf numFmtId="0" fontId="0" fillId="0" borderId="61" xfId="0" applyNumberFormat="1" applyFont="1" applyFill="1" applyBorder="1" applyAlignment="1">
      <x:alignment wrapText="1"/>
    </x:xf>
    <x:xf numFmtId="0" fontId="0" fillId="0" borderId="56" xfId="0" applyNumberFormat="1" applyFont="1" applyFill="1" applyBorder="1" applyAlignment="1">
      <x:alignment vertical="center" wrapText="1"/>
    </x:xf>
    <x:xf numFmtId="0" fontId="0" fillId="0" borderId="59" xfId="0" applyNumberFormat="1" applyFont="1" applyFill="1" applyBorder="1" applyAlignment="1">
      <x:alignment vertical="center" wrapText="1"/>
    </x:xf>
    <x:xf numFmtId="0" fontId="0" fillId="0" borderId="61" xfId="0" applyNumberFormat="1" applyFont="1" applyFill="1" applyBorder="1" applyAlignment="1">
      <x:alignment vertical="center" wrapText="1"/>
    </x:xf>
    <x:xf numFmtId="0" fontId="0" fillId="21" borderId="56" xfId="0" applyNumberFormat="1" applyFont="1" applyFill="1" applyBorder="1" applyAlignment="1">
      <x:alignment vertical="center" wrapText="1"/>
    </x:xf>
    <x:xf numFmtId="0" fontId="0" fillId="21" borderId="57" xfId="0" applyNumberFormat="1" applyFont="1" applyFill="1" applyBorder="1" applyAlignment="1">
      <x:alignment vertical="center" wrapText="1"/>
    </x:xf>
    <x:xf numFmtId="0" fontId="0" fillId="21" borderId="58" xfId="0" applyNumberFormat="1" applyFont="1" applyFill="1" applyBorder="1" applyAlignment="1">
      <x:alignment vertical="center" wrapText="1"/>
    </x:xf>
    <x:xf numFmtId="0" fontId="0" fillId="21" borderId="59" xfId="0" applyNumberFormat="1" applyFont="1" applyFill="1" applyBorder="1" applyAlignment="1">
      <x:alignment vertical="center" wrapText="1"/>
    </x:xf>
    <x:xf numFmtId="0" fontId="0" fillId="21" xfId="0" applyNumberFormat="1" applyFont="1" applyFill="1" applyBorder="0" applyAlignment="1">
      <x:alignment vertical="center" wrapText="1"/>
    </x:xf>
    <x:xf numFmtId="0" fontId="0" fillId="21" borderId="60" xfId="0" applyNumberFormat="1" applyFont="1" applyFill="1" applyBorder="1" applyAlignment="1">
      <x:alignment vertical="center" wrapText="1"/>
    </x:xf>
    <x:xf numFmtId="0" fontId="0" fillId="22" borderId="59" xfId="0" applyNumberFormat="1" applyFont="1" applyFill="1" applyBorder="1" applyAlignment="1">
      <x:alignment vertical="center" wrapText="1"/>
    </x:xf>
    <x:xf numFmtId="0" fontId="0" fillId="22" xfId="0" applyNumberFormat="1" applyFont="1" applyFill="1" applyBorder="0" applyAlignment="1">
      <x:alignment vertical="center" wrapText="1"/>
    </x:xf>
    <x:xf numFmtId="0" fontId="0" fillId="22" borderId="60" xfId="0" applyNumberFormat="1" applyFont="1" applyFill="1" applyBorder="1" applyAlignment="1">
      <x:alignment vertical="center" wrapText="1"/>
    </x:xf>
    <x:xf numFmtId="0" fontId="0" fillId="23" borderId="59" xfId="0" applyNumberFormat="1" applyFont="1" applyFill="1" applyBorder="1" applyAlignment="1">
      <x:alignment vertical="center" wrapText="1"/>
    </x:xf>
    <x:xf numFmtId="0" fontId="0" fillId="23" xfId="0" applyNumberFormat="1" applyFont="1" applyFill="1" applyBorder="0" applyAlignment="1">
      <x:alignment vertical="center" wrapText="1"/>
    </x:xf>
    <x:xf numFmtId="0" fontId="0" fillId="23" borderId="60" xfId="0" applyNumberFormat="1" applyFont="1" applyFill="1" applyBorder="1" applyAlignment="1">
      <x:alignment vertical="center" wrapText="1"/>
    </x:xf>
    <x:xf numFmtId="0" fontId="0" fillId="24" borderId="59" xfId="0" applyNumberFormat="1" applyFont="1" applyFill="1" applyBorder="1" applyAlignment="1">
      <x:alignment vertical="center" wrapText="1"/>
    </x:xf>
    <x:xf numFmtId="0" fontId="0" fillId="24" xfId="0" applyNumberFormat="1" applyFont="1" applyFill="1" applyBorder="0" applyAlignment="1">
      <x:alignment vertical="center" wrapText="1"/>
    </x:xf>
    <x:xf numFmtId="0" fontId="0" fillId="24" borderId="60" xfId="0" applyNumberFormat="1" applyFont="1" applyFill="1" applyBorder="1" applyAlignment="1">
      <x:alignment vertical="center" wrapText="1"/>
    </x:xf>
    <x:xf numFmtId="0" fontId="0" fillId="24" borderId="61" xfId="0" applyNumberFormat="1" applyFont="1" applyFill="1" applyBorder="1" applyAlignment="1">
      <x:alignment vertical="center" wrapText="1"/>
    </x:xf>
    <x:xf numFmtId="0" fontId="0" fillId="24" borderId="62" xfId="0" applyNumberFormat="1" applyFont="1" applyFill="1" applyBorder="1" applyAlignment="1">
      <x:alignment vertical="center" wrapText="1"/>
    </x:xf>
    <x:xf numFmtId="0" fontId="0" fillId="24" borderId="63" xfId="0" applyNumberFormat="1" applyFont="1" applyFill="1" applyBorder="1" applyAlignment="1">
      <x:alignment vertical="center" wrapText="1"/>
    </x:xf>
    <x:xf numFmtId="0" fontId="13" fillId="3" borderId="30" xfId="0" applyNumberFormat="1" applyFont="1" applyFill="1" applyBorder="1"/>
    <x:xf numFmtId="0" fontId="13" fillId="3" borderId="31" xfId="0" applyNumberFormat="1" applyFont="1" applyFill="1" applyBorder="1"/>
    <x:xf numFmtId="0" fontId="13" fillId="3" borderId="30" xfId="0" applyNumberFormat="1" applyFont="1" applyFill="1" applyBorder="1" applyAlignment="1">
      <x:alignment horizontal="left"/>
    </x:xf>
    <x:xf numFmtId="0" fontId="13" fillId="3" borderId="31" xfId="0" applyNumberFormat="1" applyFont="1" applyFill="1" applyBorder="1" applyAlignment="1">
      <x:alignment horizontal="left"/>
    </x:xf>
    <x:xf numFmtId="0" fontId="2" fillId="2" borderId="32" xfId="0" applyNumberFormat="1" applyFont="1" applyFill="1" applyBorder="1" applyAlignment="1">
      <x:alignment horizontal="center" vertical="center" wrapText="1"/>
    </x:xf>
    <x:xf numFmtId="0" fontId="2" fillId="2" borderId="33" xfId="0" applyNumberFormat="1" applyFont="1" applyFill="1" applyBorder="1" applyAlignment="1">
      <x:alignment horizontal="center" vertical="center" wrapText="1"/>
    </x:xf>
    <x:xf numFmtId="0" fontId="0" fillId="0" borderId="36" xfId="0" applyNumberFormat="1" applyFont="1" applyFill="1" applyBorder="1"/>
    <x:xf numFmtId="0" fontId="0" fillId="5" borderId="36" xfId="0" applyNumberFormat="1" applyFont="1" applyFill="1" applyBorder="1"/>
    <x:xf numFmtId="0" fontId="5" fillId="3" borderId="30" xfId="0" applyNumberFormat="1" applyFont="1" applyFill="1" applyBorder="1" applyAlignment="1">
      <x:alignment horizontal="left"/>
    </x:xf>
    <x:xf numFmtId="0" fontId="5" fillId="3" borderId="31" xfId="0" applyNumberFormat="1" applyFont="1" applyFill="1" applyBorder="1" applyAlignment="1">
      <x:alignment horizontal="left"/>
    </x:xf>
    <x:xf numFmtId="0" fontId="5" fillId="2" borderId="32" xfId="0" applyNumberFormat="1" applyFont="1" applyFill="1" applyBorder="1" applyAlignment="1">
      <x:alignment horizontal="center" vertical="center" wrapText="1"/>
    </x:xf>
    <x:xf numFmtId="0" fontId="5" fillId="2" borderId="33" xfId="0" applyNumberFormat="1" applyFont="1" applyFill="1" applyBorder="1" applyAlignment="1">
      <x:alignment horizontal="center" vertical="center" wrapText="1"/>
    </x:xf>
    <x:xf numFmtId="0" fontId="6" fillId="5" borderId="36" xfId="0" applyNumberFormat="1" applyFont="1" applyFill="1" applyBorder="1"/>
    <x:xf numFmtId="0" fontId="0" fillId="0" borderId="33" xfId="0" applyNumberFormat="1" applyFont="1" applyFill="1" applyBorder="1"/>
    <x:xf numFmtId="0" fontId="0" fillId="0" borderId="3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xfId="0" applyNumberFormat="1" applyFont="1" applyFill="1" applyBorder="0"/>
    <x:xf numFmtId="0" fontId="3" fillId="4" xfId="0" applyNumberFormat="1" applyFont="1" applyFill="1" applyBorder="0"/>
    <x:xf numFmtId="0" fontId="3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xfId="0" applyNumberFormat="1" applyFont="1" applyFill="1" applyBorder="0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0" fillId="8" xfId="0" applyNumberFormat="1" applyFont="1" applyFill="1" applyBorder="0" applyAlignment="1">
      <x:alignment vertical="center" wrapText="1"/>
    </x:xf>
    <x:xf numFmtId="0" fontId="0" fillId="9" borderId="0" xfId="0" applyNumberFormat="1" applyFont="1" applyFill="1" applyBorder="1" applyAlignment="1">
      <x:alignment vertical="center" wrapText="1"/>
    </x:xf>
    <x:xf numFmtId="0" fontId="0" fillId="9" xfId="0" applyNumberFormat="1" applyFont="1" applyFill="1" applyBorder="0" applyAlignment="1">
      <x:alignment vertical="center" wrapText="1"/>
    </x:xf>
    <x:xf numFmtId="0" fontId="0" fillId="10" borderId="0" xfId="0" applyNumberFormat="1" applyFont="1" applyFill="1" applyBorder="1" applyAlignment="1">
      <x:alignment vertical="center" wrapText="1"/>
    </x:xf>
    <x:xf numFmtId="0" fontId="0" fillId="10" xfId="0" applyNumberFormat="1" applyFont="1" applyFill="1" applyBorder="0" applyAlignment="1">
      <x:alignment vertical="center" wrapText="1"/>
    </x:xf>
    <x:xf numFmtId="0" fontId="0" fillId="25" borderId="0" xfId="0" applyNumberFormat="1" applyFont="1" applyFill="1" applyBorder="1"/>
    <x:xf numFmtId="0" fontId="16" fillId="25" borderId="0" xfId="0" applyNumberFormat="1" applyFont="1" applyFill="1" applyBorder="1"/>
  </x:cellXfs>
  <x:cellStyles count="1">
    <x:cellStyle name="Normal" xfId="0"/>
  </x:cellStyles>
  <x:dxfs count="44"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i/>
      </x:font>
    </x:dxf>
    <x:dxf>
      <x:font>
        <x:b/>
      </x:font>
    </x:dxf>
    <x:dxf>
      <x:font>
        <x:i/>
      </x:font>
    </x:dxf>
    <x:dxf>
      <x:font>
        <x:b/>
      </x:font>
    </x:dxf>
    <x:dxf>
      <x:font>
        <x:i/>
      </x:font>
    </x:dxf>
    <x:dxf>
      <x:font>
        <x:b/>
      </x:font>
    </x:dxf>
    <x:dxf>
      <x:font>
        <x:i/>
      </x:font>
    </x:dxf>
    <x:dxf>
      <x:font>
        <x:b/>
      </x:font>
    </x:dxf>
    <x:dxf>
      <x:font>
        <x:i/>
      </x:font>
    </x:dxf>
    <x:dxf>
      <x:font>
        <x:b/>
      </x:font>
    </x:dxf>
    <x:dxf>
      <x:font>
        <x:i/>
      </x:font>
    </x:dxf>
    <x:dxf>
      <x:font>
        <x:b/>
      </x:font>
    </x:dxf>
    <x:dxf>
      <x:font>
        <x:i/>
      </x:font>
    </x:dxf>
    <x:dxf>
      <x:font>
        <x:b/>
      </x:font>
    </x:dxf>
    <x:dxf>
      <x:font>
        <x:i/>
      </x:font>
    </x:dxf>
    <x:dxf>
      <x:font>
        <x:b/>
      </x:font>
    </x:dxf>
    <x:dxf>
      <x:font>
        <x:i/>
      </x:font>
    </x:dxf>
    <x:dxf>
      <x:font>
        <x:b/>
      </x:font>
    </x:dxf>
    <x:dxf>
      <x:font>
        <x:i/>
      </x:font>
    </x:dxf>
    <x:dxf>
      <x:font>
        <x:b/>
      </x:font>
    </x:dxf>
    <x:dxf>
      <x:font>
        <x:i/>
      </x:font>
    </x:dxf>
    <x:dxf>
      <x:font>
        <x:b/>
      </x:font>
    </x:dxf>
    <x:dxf>
      <x:font>
        <x:i/>
      </x:font>
    </x:dxf>
    <x:dxf>
      <x:font>
        <x:b/>
      </x:font>
    </x:dxf>
    <x:dxf>
      <x:font>
        <x:i/>
      </x:font>
    </x:dxf>
    <x:dxf>
      <x:font>
        <x:b/>
      </x:font>
    </x:dxf>
    <x:dxf>
      <x:font>
        <x:i/>
      </x:font>
    </x:dxf>
    <x:dxf>
      <x:font>
        <x:b/>
      </x:font>
    </x:dxf>
    <x:dxf>
      <x:font>
        <x:i/>
      </x:font>
    </x:dxf>
    <x:dxf>
      <x:font>
        <x:b/>
      </x:font>
    </x:dxf>
    <x:dxf>
      <x:font>
        <x:i/>
      </x:font>
    </x:dxf>
    <x:dxf>
      <x:font>
        <x:b/>
      </x:font>
    </x:dxf>
    <x:dxf>
      <x:font>
        <x:i/>
      </x:font>
    </x:dxf>
    <x:dxf>
      <x:font>
        <x:b/>
      </x:font>
    </x:dxf>
    <x:dxf>
      <x:font>
        <x:i/>
      </x:font>
    </x:dxf>
    <x:dxf>
      <x:font>
        <x:b/>
      </x:font>
    </x:dxf>
    <x:dxf>
      <x:font>
        <x:i/>
      </x:font>
    </x:dxf>
    <x:dxf>
      <x:font>
        <x:b/>
      </x:font>
    </x:dxf>
    <x:dxf>
      <x:font>
        <x:i/>
      </x:font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f57145064347dc" /><Relationship Type="http://schemas.openxmlformats.org/officeDocument/2006/relationships/theme" Target="/xl/theme/theme1.xml" Id="Rad6b0f1ad58547e1" /><Relationship Type="http://schemas.openxmlformats.org/officeDocument/2006/relationships/sharedStrings" Target="/xl/sharedStrings.xml" Id="Rb0b2f28a32c24641" /><Relationship Type="http://schemas.openxmlformats.org/officeDocument/2006/relationships/worksheet" Target="/xl/worksheets/sheet1.xml" Id="R0b57be03bd784a78" /><Relationship Type="http://schemas.openxmlformats.org/officeDocument/2006/relationships/worksheet" Target="/xl/worksheets/sheet2.xml" Id="Rfb58e73aadb940f9" /><Relationship Type="http://schemas.openxmlformats.org/officeDocument/2006/relationships/worksheet" Target="/xl/worksheets/sheet3.xml" Id="Rb5bdd1cf639f48ee" /><Relationship Type="http://schemas.openxmlformats.org/officeDocument/2006/relationships/worksheet" Target="/xl/worksheets/sheet4.xml" Id="Racece3b92ae243a3" /><Relationship Type="http://schemas.openxmlformats.org/officeDocument/2006/relationships/worksheet" Target="/xl/worksheets/sheet5.xml" Id="R9251b671c00a4533" /><Relationship Type="http://schemas.openxmlformats.org/officeDocument/2006/relationships/worksheet" Target="/xl/worksheets/sheet6.xml" Id="Ra80965b0655a4130" /><Relationship Type="http://schemas.openxmlformats.org/officeDocument/2006/relationships/worksheet" Target="/xl/worksheets/sheet7.xml" Id="R5d9f1fb2fb0f4e78" /><Relationship Type="http://schemas.openxmlformats.org/officeDocument/2006/relationships/worksheet" Target="/xl/worksheets/sheet8.xml" Id="Ref94b868b1d54983" /><Relationship Type="http://schemas.openxmlformats.org/officeDocument/2006/relationships/worksheet" Target="/xl/worksheets/sheet9.xml" Id="R6718b5c433f640bc" /><Relationship Type="http://schemas.openxmlformats.org/officeDocument/2006/relationships/worksheet" Target="/xl/worksheets/sheet10.xml" Id="Reb894473626142eb" /><Relationship Type="http://schemas.openxmlformats.org/officeDocument/2006/relationships/worksheet" Target="/xl/worksheets/sheet11.xml" Id="R9ce7611cda084048" /><Relationship Type="http://schemas.openxmlformats.org/officeDocument/2006/relationships/worksheet" Target="/xl/worksheets/sheet12.xml" Id="R20e2169d8c2c4288" /><Relationship Type="http://schemas.openxmlformats.org/officeDocument/2006/relationships/worksheet" Target="/xl/worksheets/sheet13.xml" Id="R8aa6729b287b4281" /><Relationship Type="http://schemas.openxmlformats.org/officeDocument/2006/relationships/worksheet" Target="/xl/worksheets/sheet14.xml" Id="Rf169194ead574633" /><Relationship Type="http://schemas.openxmlformats.org/officeDocument/2006/relationships/worksheet" Target="/xl/worksheets/sheet15.xml" Id="R99b2be4f90c743b4" /><Relationship Type="http://schemas.openxmlformats.org/officeDocument/2006/relationships/worksheet" Target="/xl/worksheets/sheet16.xml" Id="Rd3672eda2db045df" /><Relationship Type="http://schemas.openxmlformats.org/officeDocument/2006/relationships/worksheet" Target="/xl/worksheets/sheet17.xml" Id="R2dfb5e9933f843b1" /><Relationship Type="http://schemas.openxmlformats.org/officeDocument/2006/relationships/worksheet" Target="/xl/worksheets/sheet18.xml" Id="R70a0fc64d0194ed5" /><Relationship Type="http://schemas.openxmlformats.org/officeDocument/2006/relationships/worksheet" Target="/xl/worksheets/sheet19.xml" Id="R8f736df5507245a3" /><Relationship Type="http://schemas.openxmlformats.org/officeDocument/2006/relationships/worksheet" Target="/xl/worksheets/sheet20.xml" Id="R3747aa7124d64f04" /><Relationship Type="http://schemas.openxmlformats.org/officeDocument/2006/relationships/worksheet" Target="/xl/worksheets/sheet21.xml" Id="R04513dd0e8f24aab" /><Relationship Type="http://schemas.openxmlformats.org/officeDocument/2006/relationships/worksheet" Target="/xl/worksheets/sheet22.xml" Id="Rdf6d2373e4334682" /><Relationship Type="http://schemas.openxmlformats.org/officeDocument/2006/relationships/worksheet" Target="/xl/worksheets/sheet23.xml" Id="Ref6c6761e006433c" /><Relationship Type="http://schemas.openxmlformats.org/officeDocument/2006/relationships/worksheet" Target="/xl/worksheets/sheet24.xml" Id="R1a9609df2fba42b5" /><Relationship Type="http://schemas.openxmlformats.org/officeDocument/2006/relationships/worksheet" Target="/xl/worksheets/sheet25.xml" Id="Rb9f2712654e54b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4" style="361" customWidth="1"/>
    <x:col min="2" max="2" width="17" style="361" customWidth="1"/>
    <x:col min="3" max="3" width="9" style="361" customWidth="1"/>
    <x:col min="4" max="4" width="17" style="361" customWidth="1"/>
    <x:col min="5" max="5" width="9" style="361" customWidth="1"/>
    <x:col min="6" max="6" width="17" style="361" customWidth="1"/>
    <x:col min="7" max="7" width="9" style="361" customWidth="1"/>
    <x:col min="8" max="8" width="17" style="361" customWidth="1"/>
    <x:col min="9" max="9" width="9" style="361" customWidth="1"/>
    <x:col min="10" max="10" width="17" style="361" customWidth="1"/>
    <x:col min="11" max="11" width="9" style="361" customWidth="1"/>
    <x:col min="12" max="12" width="17" style="361" customWidth="1"/>
    <x:col min="13" max="13" width="9" style="361" customWidth="1"/>
    <x:col min="14" max="14" width="17" style="361" customWidth="1"/>
    <x:col min="15" max="15" width="9" style="361" customWidth="1"/>
    <x:col min="16" max="16" width="17" style="361" customWidth="1"/>
    <x:col min="17" max="17" width="9" style="361" customWidth="1"/>
    <x:col min="18" max="18" width="17" style="361" customWidth="1"/>
    <x:col min="19" max="19" width="9" style="361" customWidth="1"/>
    <x:col min="20" max="20" width="17" style="361" customWidth="1"/>
    <x:col min="21" max="21" width="9" style="361" customWidth="1"/>
  </x:cols>
  <x:sheetData>
    <x:row r="1" s="361" customFormat="1" ht="30" customHeight="1">
      <x:c r="A1" s="209" t="inlineStr">
        <x:is>
          <x:t xml:space="preserve">ASTA FANTACALCIO — 504 CREDITI</x:t>
        </x:is>
      </x:c>
      <x:c r="B1" s="481" t="n"/>
      <x:c r="C1" s="481" t="n"/>
      <x:c r="D1" s="481" t="n"/>
      <x:c r="E1" s="481" t="n"/>
      <x:c r="F1" s="481" t="n"/>
      <x:c r="G1" s="481" t="n"/>
      <x:c r="H1" s="481" t="n"/>
      <x:c r="I1" s="481" t="n"/>
      <x:c r="J1" s="481" t="n"/>
      <x:c r="K1" s="481" t="n"/>
      <x:c r="L1" s="481" t="n"/>
      <x:c r="M1" s="481" t="n"/>
      <x:c r="N1" s="481" t="n"/>
      <x:c r="O1" s="481" t="n"/>
      <x:c r="P1" s="481" t="n"/>
      <x:c r="Q1" s="481" t="n"/>
      <x:c r="R1" s="481" t="n"/>
      <x:c r="S1" s="481" t="n"/>
      <x:c r="T1" s="481" t="n"/>
      <x:c r="U1" s="481" t="n"/>
    </x:row>
    <x:row r="2">
      <x:c r="A2" s="284" t="inlineStr">
        <x:is>
          <x:t xml:space="preserve">Slot</x:t>
        </x:is>
      </x:c>
      <x:c r="B2" s="284" t="inlineStr">
        <x:is>
          <x:t xml:space="preserve">Simone</x:t>
        </x:is>
      </x:c>
      <x:c r="C2" s="482" t="n"/>
      <x:c r="D2" s="284" t="inlineStr">
        <x:is>
          <x:t xml:space="preserve">Giacomo</x:t>
        </x:is>
      </x:c>
      <x:c r="E2" s="482" t="n"/>
      <x:c r="F2" s="284" t="inlineStr">
        <x:is>
          <x:t xml:space="preserve">Niko</x:t>
        </x:is>
      </x:c>
      <x:c r="G2" s="482" t="n"/>
      <x:c r="H2" s="284" t="inlineStr">
        <x:is>
          <x:t xml:space="preserve">Quici</x:t>
        </x:is>
      </x:c>
      <x:c r="I2" s="482" t="n"/>
      <x:c r="J2" s="284" t="inlineStr">
        <x:is>
          <x:t xml:space="preserve">Fratello Quici</x:t>
        </x:is>
      </x:c>
      <x:c r="K2" s="482" t="n"/>
      <x:c r="L2" s="284" t="inlineStr">
        <x:is>
          <x:t xml:space="preserve">Nicolò</x:t>
        </x:is>
      </x:c>
      <x:c r="M2" s="482" t="n"/>
      <x:c r="N2" s="284" t="inlineStr">
        <x:is>
          <x:t xml:space="preserve">Vi</x:t>
        </x:is>
      </x:c>
      <x:c r="O2" s="482" t="n"/>
      <x:c r="P2" s="284" t="inlineStr">
        <x:is>
          <x:t xml:space="preserve">Lore</x:t>
        </x:is>
      </x:c>
      <x:c r="Q2" s="482" t="n"/>
      <x:c r="R2" s="284" t="inlineStr">
        <x:is>
          <x:t xml:space="preserve">Robbo</x:t>
        </x:is>
      </x:c>
      <x:c r="S2" s="482" t="n"/>
      <x:c r="T2" s="284" t="inlineStr">
        <x:is>
          <x:t xml:space="preserve">Ale</x:t>
        </x:is>
      </x:c>
      <x:c r="U2" s="482" t="n"/>
    </x:row>
    <x:row r="3">
      <x:c r="A3" s="483" t="n"/>
      <x:c r="B3" s="286" t="inlineStr">
        <x:is>
          <x:t xml:space="preserve">Calciatore</x:t>
        </x:is>
      </x:c>
      <x:c r="C3" s="286" t="inlineStr">
        <x:is>
          <x:t xml:space="preserve">Crediti</x:t>
        </x:is>
      </x:c>
      <x:c r="D3" s="286" t="inlineStr">
        <x:is>
          <x:t xml:space="preserve">Calciatore</x:t>
        </x:is>
      </x:c>
      <x:c r="E3" s="286" t="inlineStr">
        <x:is>
          <x:t xml:space="preserve">Crediti</x:t>
        </x:is>
      </x:c>
      <x:c r="F3" s="286" t="inlineStr">
        <x:is>
          <x:t xml:space="preserve">Calciatore</x:t>
        </x:is>
      </x:c>
      <x:c r="G3" s="286" t="inlineStr">
        <x:is>
          <x:t xml:space="preserve">Crediti</x:t>
        </x:is>
      </x:c>
      <x:c r="H3" s="286" t="inlineStr">
        <x:is>
          <x:t xml:space="preserve">Calciatore</x:t>
        </x:is>
      </x:c>
      <x:c r="I3" s="286" t="inlineStr">
        <x:is>
          <x:t xml:space="preserve">Crediti</x:t>
        </x:is>
      </x:c>
      <x:c r="J3" s="286" t="inlineStr">
        <x:is>
          <x:t xml:space="preserve">Calciatore</x:t>
        </x:is>
      </x:c>
      <x:c r="K3" s="286" t="inlineStr">
        <x:is>
          <x:t xml:space="preserve">Crediti</x:t>
        </x:is>
      </x:c>
      <x:c r="L3" s="286" t="inlineStr">
        <x:is>
          <x:t xml:space="preserve">Calciatore</x:t>
        </x:is>
      </x:c>
      <x:c r="M3" s="286" t="inlineStr">
        <x:is>
          <x:t xml:space="preserve">Crediti</x:t>
        </x:is>
      </x:c>
      <x:c r="N3" s="286" t="inlineStr">
        <x:is>
          <x:t xml:space="preserve">Calciatore</x:t>
        </x:is>
      </x:c>
      <x:c r="O3" s="286" t="inlineStr">
        <x:is>
          <x:t xml:space="preserve">Crediti</x:t>
        </x:is>
      </x:c>
      <x:c r="P3" s="286" t="inlineStr">
        <x:is>
          <x:t xml:space="preserve">Calciatore</x:t>
        </x:is>
      </x:c>
      <x:c r="Q3" s="286" t="inlineStr">
        <x:is>
          <x:t xml:space="preserve">Crediti</x:t>
        </x:is>
      </x:c>
      <x:c r="R3" s="286" t="inlineStr">
        <x:is>
          <x:t xml:space="preserve">Calciatore</x:t>
        </x:is>
      </x:c>
      <x:c r="S3" s="286" t="inlineStr">
        <x:is>
          <x:t xml:space="preserve">Crediti</x:t>
        </x:is>
      </x:c>
      <x:c r="T3" s="286" t="inlineStr">
        <x:is>
          <x:t xml:space="preserve">Calciatore</x:t>
        </x:is>
      </x:c>
      <x:c r="U3" s="286" t="inlineStr">
        <x:is>
          <x:t xml:space="preserve">Crediti</x:t>
        </x:is>
      </x:c>
    </x:row>
    <x:row r="4">
      <x:c r="A4" s="287" t="inlineStr">
        <x:is>
          <x:t xml:space="preserve">Portieri 1</x:t>
        </x:is>
      </x:c>
      <x:c r="B4" s="287" t="n"/>
      <x:c r="C4" s="288" t="n"/>
      <x:c r="D4" s="287" t="n"/>
      <x:c r="E4" s="288" t="n"/>
      <x:c r="F4" s="287" t="n"/>
      <x:c r="G4" s="288" t="n"/>
      <x:c r="H4" s="287" t="n"/>
      <x:c r="I4" s="288" t="n"/>
      <x:c r="J4" s="287" t="n"/>
      <x:c r="K4" s="288" t="n"/>
      <x:c r="L4" s="287" t="n"/>
      <x:c r="M4" s="288" t="n"/>
      <x:c r="N4" s="287" t="n"/>
      <x:c r="O4" s="288" t="n"/>
      <x:c r="P4" s="287" t="n"/>
      <x:c r="Q4" s="288" t="n"/>
      <x:c r="R4" s="287" t="n"/>
      <x:c r="S4" s="288" t="n"/>
      <x:c r="T4" s="287" t="n"/>
      <x:c r="U4" s="288" t="n"/>
    </x:row>
    <x:row r="5">
      <x:c r="A5" s="287" t="inlineStr">
        <x:is>
          <x:t xml:space="preserve">Portieri 2</x:t>
        </x:is>
      </x:c>
      <x:c r="B5" s="287" t="n"/>
      <x:c r="C5" s="288" t="n"/>
      <x:c r="D5" s="287" t="n"/>
      <x:c r="E5" s="288" t="n"/>
      <x:c r="F5" s="287" t="n"/>
      <x:c r="G5" s="288" t="n"/>
      <x:c r="H5" s="287" t="n"/>
      <x:c r="I5" s="288" t="n"/>
      <x:c r="J5" s="287" t="n"/>
      <x:c r="K5" s="288" t="n"/>
      <x:c r="L5" s="287" t="n"/>
      <x:c r="M5" s="288" t="n"/>
      <x:c r="N5" s="287" t="n"/>
      <x:c r="O5" s="288" t="n"/>
      <x:c r="P5" s="287" t="n"/>
      <x:c r="Q5" s="288" t="n"/>
      <x:c r="R5" s="287" t="n"/>
      <x:c r="S5" s="288" t="n"/>
      <x:c r="T5" s="287" t="n"/>
      <x:c r="U5" s="288" t="n"/>
    </x:row>
    <x:row r="6">
      <x:c r="A6" s="287" t="inlineStr">
        <x:is>
          <x:t xml:space="preserve">Portieri 3</x:t>
        </x:is>
      </x:c>
      <x:c r="B6" s="287" t="n"/>
      <x:c r="C6" s="288" t="n"/>
      <x:c r="D6" s="287" t="n"/>
      <x:c r="E6" s="288" t="n"/>
      <x:c r="F6" s="287" t="n"/>
      <x:c r="G6" s="288" t="n"/>
      <x:c r="H6" s="287" t="n"/>
      <x:c r="I6" s="288" t="n"/>
      <x:c r="J6" s="287" t="n"/>
      <x:c r="K6" s="288" t="n"/>
      <x:c r="L6" s="287" t="n"/>
      <x:c r="M6" s="288" t="n"/>
      <x:c r="N6" s="287" t="n"/>
      <x:c r="O6" s="288" t="n"/>
      <x:c r="P6" s="287" t="n"/>
      <x:c r="Q6" s="288" t="n"/>
      <x:c r="R6" s="287" t="n"/>
      <x:c r="S6" s="288" t="n"/>
      <x:c r="T6" s="287" t="n"/>
      <x:c r="U6" s="288" t="n"/>
    </x:row>
    <x:row r="7">
      <x:c r="A7" s="287" t="inlineStr">
        <x:is>
          <x:t xml:space="preserve">Portieri 4</x:t>
        </x:is>
      </x:c>
      <x:c r="B7" s="287" t="n"/>
      <x:c r="C7" s="288" t="n"/>
      <x:c r="D7" s="287" t="n"/>
      <x:c r="E7" s="288" t="n"/>
      <x:c r="F7" s="287" t="n"/>
      <x:c r="G7" s="288" t="n"/>
      <x:c r="H7" s="287" t="n"/>
      <x:c r="I7" s="288" t="n"/>
      <x:c r="J7" s="287" t="n"/>
      <x:c r="K7" s="288" t="n"/>
      <x:c r="L7" s="287" t="n"/>
      <x:c r="M7" s="288" t="n"/>
      <x:c r="N7" s="287" t="n"/>
      <x:c r="O7" s="288" t="n"/>
      <x:c r="P7" s="287" t="n"/>
      <x:c r="Q7" s="288" t="n"/>
      <x:c r="R7" s="287" t="n"/>
      <x:c r="S7" s="288" t="n"/>
      <x:c r="T7" s="287" t="n"/>
      <x:c r="U7" s="288" t="n"/>
    </x:row>
    <x:row r="8">
      <x:c r="A8" s="289" t="inlineStr">
        <x:is>
          <x:t xml:space="preserve">SPESO PORTIERI</x:t>
        </x:is>
      </x:c>
      <x:c r="B8" s="290" t="n">
        <x:f>SUM(C4:C7)</x:f>
        <x:v>0</x:v>
      </x:c>
      <x:c r="C8" s="482" t="n"/>
      <x:c r="D8" s="290" t="n">
        <x:f>SUM(E4:E7)</x:f>
        <x:v>0</x:v>
      </x:c>
      <x:c r="E8" s="482" t="n"/>
      <x:c r="F8" s="290" t="n">
        <x:f>SUM(G4:G7)</x:f>
        <x:v>0</x:v>
      </x:c>
      <x:c r="G8" s="482" t="n"/>
      <x:c r="H8" s="290" t="n">
        <x:f>SUM(I4:I7)</x:f>
        <x:v>0</x:v>
      </x:c>
      <x:c r="I8" s="482" t="n"/>
      <x:c r="J8" s="290" t="n">
        <x:f>SUM(K4:K7)</x:f>
        <x:v>0</x:v>
      </x:c>
      <x:c r="K8" s="482" t="n"/>
      <x:c r="L8" s="290" t="n">
        <x:f>SUM(M4:M7)</x:f>
        <x:v>0</x:v>
      </x:c>
      <x:c r="M8" s="482" t="n"/>
      <x:c r="N8" s="290" t="n">
        <x:f>SUM(O4:O7)</x:f>
        <x:v>0</x:v>
      </x:c>
      <x:c r="O8" s="482" t="n"/>
      <x:c r="P8" s="290" t="n">
        <x:f>SUM(Q4:Q7)</x:f>
        <x:v>0</x:v>
      </x:c>
      <x:c r="Q8" s="482" t="n"/>
      <x:c r="R8" s="290" t="n">
        <x:f>SUM(S4:S7)</x:f>
        <x:v>0</x:v>
      </x:c>
      <x:c r="S8" s="482" t="n"/>
      <x:c r="T8" s="290" t="n">
        <x:f>SUM(U4:U7)</x:f>
        <x:v>0</x:v>
      </x:c>
      <x:c r="U8" s="482" t="n"/>
    </x:row>
    <x:row r="9">
      <x:c r="A9" s="289" t="inlineStr">
        <x:is>
          <x:t xml:space="preserve">CREDITI RIMANENTI</x:t>
        </x:is>
      </x:c>
      <x:c r="B9" s="290" t="n">
        <x:f>504-(C4+C5+C6+C7)</x:f>
        <x:v>504</x:v>
      </x:c>
      <x:c r="C9" s="482" t="n"/>
      <x:c r="D9" s="290" t="n">
        <x:f>504-(E4+E5+E6+E7)</x:f>
        <x:v>504</x:v>
      </x:c>
      <x:c r="E9" s="482" t="n"/>
      <x:c r="F9" s="290" t="n">
        <x:f>504-(G4+G5+G6+G7)</x:f>
        <x:v>504</x:v>
      </x:c>
      <x:c r="G9" s="482" t="n"/>
      <x:c r="H9" s="290" t="n">
        <x:f>504-(I4+I5+I6+I7)</x:f>
        <x:v>504</x:v>
      </x:c>
      <x:c r="I9" s="482" t="n"/>
      <x:c r="J9" s="290" t="n">
        <x:f>504-(K4+K5+K6+K7)</x:f>
        <x:v>504</x:v>
      </x:c>
      <x:c r="K9" s="482" t="n"/>
      <x:c r="L9" s="290" t="n">
        <x:f>504-(M4+M5+M6+M7)</x:f>
        <x:v>504</x:v>
      </x:c>
      <x:c r="M9" s="482" t="n"/>
      <x:c r="N9" s="290" t="n">
        <x:f>504-(O4+O5+O6+O7)</x:f>
        <x:v>504</x:v>
      </x:c>
      <x:c r="O9" s="482" t="n"/>
      <x:c r="P9" s="290" t="n">
        <x:f>504-(Q4+Q5+Q6+Q7)</x:f>
        <x:v>504</x:v>
      </x:c>
      <x:c r="Q9" s="482" t="n"/>
      <x:c r="R9" s="290" t="n">
        <x:f>504-(S4+S5+S6+S7)</x:f>
        <x:v>504</x:v>
      </x:c>
      <x:c r="S9" s="482" t="n"/>
      <x:c r="T9" s="290" t="n">
        <x:f>504-(U4+U5+U6+U7)</x:f>
        <x:v>504</x:v>
      </x:c>
      <x:c r="U9" s="482" t="n"/>
    </x:row>
    <x:row r="10">
      <x:c r="A10" s="291" t="inlineStr">
        <x:is>
          <x:t xml:space="preserve">ANCORA SPENDIBILI*</x:t>
        </x:is>
      </x:c>
      <x:c r="B10" s="292" t="n">
        <x:f>MAX(0,B9-(IF(B4="",1,0)+IF(B5="",1,0)+IF(B6="",1,0)+IF(B7="",1,0)+IF(B12="",1,0)+IF(B13="",1,0)+IF(B14="",1,0)+IF(B15="",1,0)+IF(B16="",1,0)+IF(B17="",1,0)+IF(B18="",1,0)+IF(B19="",1,0)+IF(B20="",1,0)+IF(B25="",1,0)+IF(B26="",1,0)+IF(B27="",1,0)+IF(B28="",1,0)+IF(B29="",1,0)+IF(B30="",1,0)+IF(B31="",1,0)+IF(B32="",1,0)+IF(B33="",1,0)+IF(B38="",1,0)+IF(B39="",1,0)+IF(B40="",1,0)+IF(B41="",1,0)+IF(B42="",1,0)+IF(B43="",1,0)+IF(B44="",1,0)))</x:f>
        <x:v>475</x:v>
      </x:c>
      <x:c r="C10" s="482" t="n"/>
      <x:c r="D10" s="292" t="n">
        <x:f>MAX(0,D9-(IF(D4="",1,0)+IF(D5="",1,0)+IF(D6="",1,0)+IF(D7="",1,0)+IF(D12="",1,0)+IF(D13="",1,0)+IF(D14="",1,0)+IF(D15="",1,0)+IF(D16="",1,0)+IF(D17="",1,0)+IF(D18="",1,0)+IF(D19="",1,0)+IF(D20="",1,0)+IF(D25="",1,0)+IF(D26="",1,0)+IF(D27="",1,0)+IF(D28="",1,0)+IF(D29="",1,0)+IF(D30="",1,0)+IF(D31="",1,0)+IF(D32="",1,0)+IF(D33="",1,0)+IF(D38="",1,0)+IF(D39="",1,0)+IF(D40="",1,0)+IF(D41="",1,0)+IF(D42="",1,0)+IF(D43="",1,0)+IF(D44="",1,0)))</x:f>
        <x:v>475</x:v>
      </x:c>
      <x:c r="E10" s="482" t="n"/>
      <x:c r="F10" s="292" t="n">
        <x:f>MAX(0,F9-(IF(F4="",1,0)+IF(F5="",1,0)+IF(F6="",1,0)+IF(F7="",1,0)+IF(F12="",1,0)+IF(F13="",1,0)+IF(F14="",1,0)+IF(F15="",1,0)+IF(F16="",1,0)+IF(F17="",1,0)+IF(F18="",1,0)+IF(F19="",1,0)+IF(F20="",1,0)+IF(F25="",1,0)+IF(F26="",1,0)+IF(F27="",1,0)+IF(F28="",1,0)+IF(F29="",1,0)+IF(F30="",1,0)+IF(F31="",1,0)+IF(F32="",1,0)+IF(F33="",1,0)+IF(F38="",1,0)+IF(F39="",1,0)+IF(F40="",1,0)+IF(F41="",1,0)+IF(F42="",1,0)+IF(F43="",1,0)+IF(F44="",1,0)))</x:f>
        <x:v>475</x:v>
      </x:c>
      <x:c r="G10" s="482" t="n"/>
      <x:c r="H10" s="292" t="n">
        <x:f>MAX(0,H9-(IF(H4="",1,0)+IF(H5="",1,0)+IF(H6="",1,0)+IF(H7="",1,0)+IF(H12="",1,0)+IF(H13="",1,0)+IF(H14="",1,0)+IF(H15="",1,0)+IF(H16="",1,0)+IF(H17="",1,0)+IF(H18="",1,0)+IF(H19="",1,0)+IF(H20="",1,0)+IF(H25="",1,0)+IF(H26="",1,0)+IF(H27="",1,0)+IF(H28="",1,0)+IF(H29="",1,0)+IF(H30="",1,0)+IF(H31="",1,0)+IF(H32="",1,0)+IF(H33="",1,0)+IF(H38="",1,0)+IF(H39="",1,0)+IF(H40="",1,0)+IF(H41="",1,0)+IF(H42="",1,0)+IF(H43="",1,0)+IF(H44="",1,0)))</x:f>
        <x:v>475</x:v>
      </x:c>
      <x:c r="I10" s="482" t="n"/>
      <x:c r="J10" s="292" t="n">
        <x:f>MAX(0,J9-(IF(J4="",1,0)+IF(J5="",1,0)+IF(J6="",1,0)+IF(J7="",1,0)+IF(J12="",1,0)+IF(J13="",1,0)+IF(J14="",1,0)+IF(J15="",1,0)+IF(J16="",1,0)+IF(J17="",1,0)+IF(J18="",1,0)+IF(J19="",1,0)+IF(J20="",1,0)+IF(J25="",1,0)+IF(J26="",1,0)+IF(J27="",1,0)+IF(J28="",1,0)+IF(J29="",1,0)+IF(J30="",1,0)+IF(J31="",1,0)+IF(J32="",1,0)+IF(J33="",1,0)+IF(J38="",1,0)+IF(J39="",1,0)+IF(J40="",1,0)+IF(J41="",1,0)+IF(J42="",1,0)+IF(J43="",1,0)+IF(J44="",1,0)))</x:f>
        <x:v>475</x:v>
      </x:c>
      <x:c r="K10" s="482" t="n"/>
      <x:c r="L10" s="292" t="n">
        <x:f>MAX(0,L9-(IF(L4="",1,0)+IF(L5="",1,0)+IF(L6="",1,0)+IF(L7="",1,0)+IF(L12="",1,0)+IF(L13="",1,0)+IF(L14="",1,0)+IF(L15="",1,0)+IF(L16="",1,0)+IF(L17="",1,0)+IF(L18="",1,0)+IF(L19="",1,0)+IF(L20="",1,0)+IF(L25="",1,0)+IF(L26="",1,0)+IF(L27="",1,0)+IF(L28="",1,0)+IF(L29="",1,0)+IF(L30="",1,0)+IF(L31="",1,0)+IF(L32="",1,0)+IF(L33="",1,0)+IF(L38="",1,0)+IF(L39="",1,0)+IF(L40="",1,0)+IF(L41="",1,0)+IF(L42="",1,0)+IF(L43="",1,0)+IF(L44="",1,0)))</x:f>
        <x:v>475</x:v>
      </x:c>
      <x:c r="M10" s="482" t="n"/>
      <x:c r="N10" s="292" t="n">
        <x:f>MAX(0,N9-(IF(N4="",1,0)+IF(N5="",1,0)+IF(N6="",1,0)+IF(N7="",1,0)+IF(N12="",1,0)+IF(N13="",1,0)+IF(N14="",1,0)+IF(N15="",1,0)+IF(N16="",1,0)+IF(N17="",1,0)+IF(N18="",1,0)+IF(N19="",1,0)+IF(N20="",1,0)+IF(N25="",1,0)+IF(N26="",1,0)+IF(N27="",1,0)+IF(N28="",1,0)+IF(N29="",1,0)+IF(N30="",1,0)+IF(N31="",1,0)+IF(N32="",1,0)+IF(N33="",1,0)+IF(N38="",1,0)+IF(N39="",1,0)+IF(N40="",1,0)+IF(N41="",1,0)+IF(N42="",1,0)+IF(N43="",1,0)+IF(N44="",1,0)))</x:f>
        <x:v>475</x:v>
      </x:c>
      <x:c r="O10" s="482" t="n"/>
      <x:c r="P10" s="292" t="n">
        <x:f>MAX(0,P9-(IF(P4="",1,0)+IF(P5="",1,0)+IF(P6="",1,0)+IF(P7="",1,0)+IF(P12="",1,0)+IF(P13="",1,0)+IF(P14="",1,0)+IF(P15="",1,0)+IF(P16="",1,0)+IF(P17="",1,0)+IF(P18="",1,0)+IF(P19="",1,0)+IF(P20="",1,0)+IF(P25="",1,0)+IF(P26="",1,0)+IF(P27="",1,0)+IF(P28="",1,0)+IF(P29="",1,0)+IF(P30="",1,0)+IF(P31="",1,0)+IF(P32="",1,0)+IF(P33="",1,0)+IF(P38="",1,0)+IF(P39="",1,0)+IF(P40="",1,0)+IF(P41="",1,0)+IF(P42="",1,0)+IF(P43="",1,0)+IF(P44="",1,0)))</x:f>
        <x:v>475</x:v>
      </x:c>
      <x:c r="Q10" s="482" t="n"/>
      <x:c r="R10" s="292" t="n">
        <x:f>MAX(0,R9-(IF(R4="",1,0)+IF(R5="",1,0)+IF(R6="",1,0)+IF(R7="",1,0)+IF(R12="",1,0)+IF(R13="",1,0)+IF(R14="",1,0)+IF(R15="",1,0)+IF(R16="",1,0)+IF(R17="",1,0)+IF(R18="",1,0)+IF(R19="",1,0)+IF(R20="",1,0)+IF(R25="",1,0)+IF(R26="",1,0)+IF(R27="",1,0)+IF(R28="",1,0)+IF(R29="",1,0)+IF(R30="",1,0)+IF(R31="",1,0)+IF(R32="",1,0)+IF(R33="",1,0)+IF(R38="",1,0)+IF(R39="",1,0)+IF(R40="",1,0)+IF(R41="",1,0)+IF(R42="",1,0)+IF(R43="",1,0)+IF(R44="",1,0)))</x:f>
        <x:v>475</x:v>
      </x:c>
      <x:c r="S10" s="482" t="n"/>
      <x:c r="T10" s="292" t="n">
        <x:f>MAX(0,T9-(IF(T4="",1,0)+IF(T5="",1,0)+IF(T6="",1,0)+IF(T7="",1,0)+IF(T12="",1,0)+IF(T13="",1,0)+IF(T14="",1,0)+IF(T15="",1,0)+IF(T16="",1,0)+IF(T17="",1,0)+IF(T18="",1,0)+IF(T19="",1,0)+IF(T20="",1,0)+IF(T25="",1,0)+IF(T26="",1,0)+IF(T27="",1,0)+IF(T28="",1,0)+IF(T29="",1,0)+IF(T30="",1,0)+IF(T31="",1,0)+IF(T32="",1,0)+IF(T33="",1,0)+IF(T38="",1,0)+IF(T39="",1,0)+IF(T40="",1,0)+IF(T41="",1,0)+IF(T42="",1,0)+IF(T43="",1,0)+IF(T44="",1,0)))</x:f>
        <x:v>475</x:v>
      </x:c>
      <x:c r="U10" s="482" t="n"/>
    </x:row>
    <x:row r="11">
      <x:c r="A11" s="293" t="n"/>
      <x:c r="B11" s="293" t="n"/>
      <x:c r="C11" s="294" t="n"/>
      <x:c r="D11" s="293" t="n"/>
      <x:c r="E11" s="294" t="n"/>
      <x:c r="F11" s="293" t="n"/>
      <x:c r="G11" s="294" t="n"/>
      <x:c r="H11" s="293" t="n"/>
      <x:c r="I11" s="294" t="n"/>
      <x:c r="J11" s="293" t="n"/>
      <x:c r="K11" s="294" t="n"/>
      <x:c r="L11" s="293" t="n"/>
      <x:c r="M11" s="294" t="n"/>
      <x:c r="N11" s="293" t="n"/>
      <x:c r="O11" s="294" t="n"/>
      <x:c r="P11" s="293" t="n"/>
      <x:c r="Q11" s="294" t="n"/>
      <x:c r="R11" s="293" t="n"/>
      <x:c r="S11" s="294" t="n"/>
      <x:c r="T11" s="293" t="n"/>
      <x:c r="U11" s="294" t="n"/>
    </x:row>
    <x:row r="12">
      <x:c r="A12" s="295" t="inlineStr">
        <x:is>
          <x:t xml:space="preserve">Difensori 1</x:t>
        </x:is>
      </x:c>
      <x:c r="B12" s="295" t="n"/>
      <x:c r="C12" s="296" t="n"/>
      <x:c r="D12" s="295" t="n"/>
      <x:c r="E12" s="296" t="n"/>
      <x:c r="F12" s="295" t="n"/>
      <x:c r="G12" s="296" t="n"/>
      <x:c r="H12" s="295" t="n"/>
      <x:c r="I12" s="296" t="n"/>
      <x:c r="J12" s="295" t="n"/>
      <x:c r="K12" s="296" t="n"/>
      <x:c r="L12" s="295" t="n"/>
      <x:c r="M12" s="296" t="n"/>
      <x:c r="N12" s="295" t="n"/>
      <x:c r="O12" s="296" t="n"/>
      <x:c r="P12" s="295" t="n"/>
      <x:c r="Q12" s="296" t="n"/>
      <x:c r="R12" s="295" t="n"/>
      <x:c r="S12" s="296" t="n"/>
      <x:c r="T12" s="295" t="n"/>
      <x:c r="U12" s="296" t="n"/>
    </x:row>
    <x:row r="13">
      <x:c r="A13" s="295" t="inlineStr">
        <x:is>
          <x:t xml:space="preserve">Difensori 2</x:t>
        </x:is>
      </x:c>
      <x:c r="B13" s="295" t="n"/>
      <x:c r="C13" s="296" t="n"/>
      <x:c r="D13" s="295" t="n"/>
      <x:c r="E13" s="296" t="n"/>
      <x:c r="F13" s="295" t="n"/>
      <x:c r="G13" s="296" t="n"/>
      <x:c r="H13" s="295" t="n"/>
      <x:c r="I13" s="296" t="n"/>
      <x:c r="J13" s="295" t="n"/>
      <x:c r="K13" s="296" t="n"/>
      <x:c r="L13" s="295" t="n"/>
      <x:c r="M13" s="296" t="n"/>
      <x:c r="N13" s="295" t="n"/>
      <x:c r="O13" s="296" t="n"/>
      <x:c r="P13" s="295" t="n"/>
      <x:c r="Q13" s="296" t="n"/>
      <x:c r="R13" s="295" t="n"/>
      <x:c r="S13" s="296" t="n"/>
      <x:c r="T13" s="295" t="n"/>
      <x:c r="U13" s="296" t="n"/>
    </x:row>
    <x:row r="14">
      <x:c r="A14" s="295" t="inlineStr">
        <x:is>
          <x:t xml:space="preserve">Difensori 3</x:t>
        </x:is>
      </x:c>
      <x:c r="B14" s="295" t="n"/>
      <x:c r="C14" s="296" t="n"/>
      <x:c r="D14" s="295" t="n"/>
      <x:c r="E14" s="296" t="n"/>
      <x:c r="F14" s="295" t="n"/>
      <x:c r="G14" s="296" t="n"/>
      <x:c r="H14" s="295" t="n"/>
      <x:c r="I14" s="296" t="n"/>
      <x:c r="J14" s="295" t="n"/>
      <x:c r="K14" s="296" t="n"/>
      <x:c r="L14" s="295" t="n"/>
      <x:c r="M14" s="296" t="n"/>
      <x:c r="N14" s="295" t="n"/>
      <x:c r="O14" s="296" t="n"/>
      <x:c r="P14" s="295" t="n"/>
      <x:c r="Q14" s="296" t="n"/>
      <x:c r="R14" s="295" t="n"/>
      <x:c r="S14" s="296" t="n"/>
      <x:c r="T14" s="295" t="n"/>
      <x:c r="U14" s="296" t="n"/>
    </x:row>
    <x:row r="15">
      <x:c r="A15" s="295" t="inlineStr">
        <x:is>
          <x:t xml:space="preserve">Difensori 4</x:t>
        </x:is>
      </x:c>
      <x:c r="B15" s="295" t="n"/>
      <x:c r="C15" s="296" t="n"/>
      <x:c r="D15" s="295" t="n"/>
      <x:c r="E15" s="296" t="n"/>
      <x:c r="F15" s="295" t="n"/>
      <x:c r="G15" s="296" t="n"/>
      <x:c r="H15" s="295" t="n"/>
      <x:c r="I15" s="296" t="n"/>
      <x:c r="J15" s="295" t="n"/>
      <x:c r="K15" s="296" t="n"/>
      <x:c r="L15" s="295" t="n"/>
      <x:c r="M15" s="296" t="n"/>
      <x:c r="N15" s="295" t="n"/>
      <x:c r="O15" s="296" t="n"/>
      <x:c r="P15" s="295" t="n"/>
      <x:c r="Q15" s="296" t="n"/>
      <x:c r="R15" s="295" t="n"/>
      <x:c r="S15" s="296" t="n"/>
      <x:c r="T15" s="295" t="n"/>
      <x:c r="U15" s="296" t="n"/>
    </x:row>
    <x:row r="16">
      <x:c r="A16" s="295" t="inlineStr">
        <x:is>
          <x:t xml:space="preserve">Difensori 5</x:t>
        </x:is>
      </x:c>
      <x:c r="B16" s="295" t="n"/>
      <x:c r="C16" s="296" t="n"/>
      <x:c r="D16" s="295" t="n"/>
      <x:c r="E16" s="296" t="n"/>
      <x:c r="F16" s="295" t="n"/>
      <x:c r="G16" s="296" t="n"/>
      <x:c r="H16" s="295" t="n"/>
      <x:c r="I16" s="296" t="n"/>
      <x:c r="J16" s="295" t="n"/>
      <x:c r="K16" s="296" t="n"/>
      <x:c r="L16" s="295" t="n"/>
      <x:c r="M16" s="296" t="n"/>
      <x:c r="N16" s="295" t="n"/>
      <x:c r="O16" s="296" t="n"/>
      <x:c r="P16" s="295" t="n"/>
      <x:c r="Q16" s="296" t="n"/>
      <x:c r="R16" s="295" t="n"/>
      <x:c r="S16" s="296" t="n"/>
      <x:c r="T16" s="295" t="n"/>
      <x:c r="U16" s="296" t="n"/>
    </x:row>
    <x:row r="17">
      <x:c r="A17" s="295" t="inlineStr">
        <x:is>
          <x:t xml:space="preserve">Difensori 6</x:t>
        </x:is>
      </x:c>
      <x:c r="B17" s="295" t="n"/>
      <x:c r="C17" s="296" t="n"/>
      <x:c r="D17" s="295" t="n"/>
      <x:c r="E17" s="296" t="n"/>
      <x:c r="F17" s="295" t="n"/>
      <x:c r="G17" s="296" t="n"/>
      <x:c r="H17" s="295" t="n"/>
      <x:c r="I17" s="296" t="n"/>
      <x:c r="J17" s="295" t="n"/>
      <x:c r="K17" s="296" t="n"/>
      <x:c r="L17" s="295" t="n"/>
      <x:c r="M17" s="296" t="n"/>
      <x:c r="N17" s="295" t="n"/>
      <x:c r="O17" s="296" t="n"/>
      <x:c r="P17" s="295" t="n"/>
      <x:c r="Q17" s="296" t="n"/>
      <x:c r="R17" s="295" t="n"/>
      <x:c r="S17" s="296" t="n"/>
      <x:c r="T17" s="295" t="n"/>
      <x:c r="U17" s="296" t="n"/>
    </x:row>
    <x:row r="18">
      <x:c r="A18" s="295" t="inlineStr">
        <x:is>
          <x:t xml:space="preserve">Difensori 7</x:t>
        </x:is>
      </x:c>
      <x:c r="B18" s="295" t="n"/>
      <x:c r="C18" s="296" t="n"/>
      <x:c r="D18" s="295" t="n"/>
      <x:c r="E18" s="296" t="n"/>
      <x:c r="F18" s="295" t="n"/>
      <x:c r="G18" s="296" t="n"/>
      <x:c r="H18" s="295" t="n"/>
      <x:c r="I18" s="296" t="n"/>
      <x:c r="J18" s="295" t="n"/>
      <x:c r="K18" s="296" t="n"/>
      <x:c r="L18" s="295" t="n"/>
      <x:c r="M18" s="296" t="n"/>
      <x:c r="N18" s="295" t="n"/>
      <x:c r="O18" s="296" t="n"/>
      <x:c r="P18" s="295" t="n"/>
      <x:c r="Q18" s="296" t="n"/>
      <x:c r="R18" s="295" t="n"/>
      <x:c r="S18" s="296" t="n"/>
      <x:c r="T18" s="295" t="n"/>
      <x:c r="U18" s="296" t="n"/>
    </x:row>
    <x:row r="19">
      <x:c r="A19" s="295" t="inlineStr">
        <x:is>
          <x:t xml:space="preserve">Difensori 8</x:t>
        </x:is>
      </x:c>
      <x:c r="B19" s="295" t="n"/>
      <x:c r="C19" s="296" t="n"/>
      <x:c r="D19" s="295" t="n"/>
      <x:c r="E19" s="296" t="n"/>
      <x:c r="F19" s="295" t="n"/>
      <x:c r="G19" s="296" t="n"/>
      <x:c r="H19" s="295" t="n"/>
      <x:c r="I19" s="296" t="n"/>
      <x:c r="J19" s="295" t="n"/>
      <x:c r="K19" s="296" t="n"/>
      <x:c r="L19" s="295" t="n"/>
      <x:c r="M19" s="296" t="n"/>
      <x:c r="N19" s="295" t="n"/>
      <x:c r="O19" s="296" t="n"/>
      <x:c r="P19" s="295" t="n"/>
      <x:c r="Q19" s="296" t="n"/>
      <x:c r="R19" s="295" t="n"/>
      <x:c r="S19" s="296" t="n"/>
      <x:c r="T19" s="295" t="n"/>
      <x:c r="U19" s="296" t="n"/>
    </x:row>
    <x:row r="20">
      <x:c r="A20" s="295" t="inlineStr">
        <x:is>
          <x:t xml:space="preserve">Difensori 9</x:t>
        </x:is>
      </x:c>
      <x:c r="B20" s="295" t="n"/>
      <x:c r="C20" s="296" t="n"/>
      <x:c r="D20" s="295" t="n"/>
      <x:c r="E20" s="296" t="n"/>
      <x:c r="F20" s="295" t="n"/>
      <x:c r="G20" s="296" t="n"/>
      <x:c r="H20" s="295" t="n"/>
      <x:c r="I20" s="296" t="n"/>
      <x:c r="J20" s="295" t="n"/>
      <x:c r="K20" s="296" t="n"/>
      <x:c r="L20" s="295" t="n"/>
      <x:c r="M20" s="296" t="n"/>
      <x:c r="N20" s="295" t="n"/>
      <x:c r="O20" s="296" t="n"/>
      <x:c r="P20" s="295" t="n"/>
      <x:c r="Q20" s="296" t="n"/>
      <x:c r="R20" s="295" t="n"/>
      <x:c r="S20" s="296" t="n"/>
      <x:c r="T20" s="295" t="n"/>
      <x:c r="U20" s="296" t="n"/>
    </x:row>
    <x:row r="21">
      <x:c r="A21" s="289" t="inlineStr">
        <x:is>
          <x:t xml:space="preserve">SPESO DIFENSORI</x:t>
        </x:is>
      </x:c>
      <x:c r="B21" s="290" t="n">
        <x:f>SUM(C12:C20)</x:f>
        <x:v>0</x:v>
      </x:c>
      <x:c r="C21" s="482" t="n"/>
      <x:c r="D21" s="290" t="n">
        <x:f>SUM(E12:E20)</x:f>
        <x:v>0</x:v>
      </x:c>
      <x:c r="E21" s="482" t="n"/>
      <x:c r="F21" s="290" t="n">
        <x:f>SUM(G12:G20)</x:f>
        <x:v>0</x:v>
      </x:c>
      <x:c r="G21" s="482" t="n"/>
      <x:c r="H21" s="290" t="n">
        <x:f>SUM(I12:I20)</x:f>
        <x:v>0</x:v>
      </x:c>
      <x:c r="I21" s="482" t="n"/>
      <x:c r="J21" s="290" t="n">
        <x:f>SUM(K12:K20)</x:f>
        <x:v>0</x:v>
      </x:c>
      <x:c r="K21" s="482" t="n"/>
      <x:c r="L21" s="290" t="n">
        <x:f>SUM(M12:M20)</x:f>
        <x:v>0</x:v>
      </x:c>
      <x:c r="M21" s="482" t="n"/>
      <x:c r="N21" s="290" t="n">
        <x:f>SUM(O12:O20)</x:f>
        <x:v>0</x:v>
      </x:c>
      <x:c r="O21" s="482" t="n"/>
      <x:c r="P21" s="290" t="n">
        <x:f>SUM(Q12:Q20)</x:f>
        <x:v>0</x:v>
      </x:c>
      <x:c r="Q21" s="482" t="n"/>
      <x:c r="R21" s="290" t="n">
        <x:f>SUM(S12:S20)</x:f>
        <x:v>0</x:v>
      </x:c>
      <x:c r="S21" s="482" t="n"/>
      <x:c r="T21" s="290" t="n">
        <x:f>SUM(U12:U20)</x:f>
        <x:v>0</x:v>
      </x:c>
      <x:c r="U21" s="482" t="n"/>
    </x:row>
    <x:row r="22">
      <x:c r="A22" s="289" t="inlineStr">
        <x:is>
          <x:t xml:space="preserve">CREDITI RIMANENTI</x:t>
        </x:is>
      </x:c>
      <x:c r="B22" s="290" t="n">
        <x:f>504-(C4+C5+C6+C7+C12+C13+C14+C15+C16+C17+C18+C19+C20)</x:f>
        <x:v>504</x:v>
      </x:c>
      <x:c r="C22" s="482" t="n"/>
      <x:c r="D22" s="290" t="n">
        <x:f>504-(E4+E5+E6+E7+E12+E13+E14+E15+E16+E17+E18+E19+E20)</x:f>
        <x:v>504</x:v>
      </x:c>
      <x:c r="E22" s="482" t="n"/>
      <x:c r="F22" s="290" t="n">
        <x:f>504-(G4+G5+G6+G7+G12+G13+G14+G15+G16+G17+G18+G19+G20)</x:f>
        <x:v>504</x:v>
      </x:c>
      <x:c r="G22" s="482" t="n"/>
      <x:c r="H22" s="290" t="n">
        <x:f>504-(I4+I5+I6+I7+I12+I13+I14+I15+I16+I17+I18+I19+I20)</x:f>
        <x:v>504</x:v>
      </x:c>
      <x:c r="I22" s="482" t="n"/>
      <x:c r="J22" s="290" t="n">
        <x:f>504-(K4+K5+K6+K7+K12+K13+K14+K15+K16+K17+K18+K19+K20)</x:f>
        <x:v>504</x:v>
      </x:c>
      <x:c r="K22" s="482" t="n"/>
      <x:c r="L22" s="290" t="n">
        <x:f>504-(M4+M5+M6+M7+M12+M13+M14+M15+M16+M17+M18+M19+M20)</x:f>
        <x:v>504</x:v>
      </x:c>
      <x:c r="M22" s="482" t="n"/>
      <x:c r="N22" s="290" t="n">
        <x:f>504-(O4+O5+O6+O7+O12+O13+O14+O15+O16+O17+O18+O19+O20)</x:f>
        <x:v>504</x:v>
      </x:c>
      <x:c r="O22" s="482" t="n"/>
      <x:c r="P22" s="290" t="n">
        <x:f>504-(Q4+Q5+Q6+Q7+Q12+Q13+Q14+Q15+Q16+Q17+Q18+Q19+Q20)</x:f>
        <x:v>504</x:v>
      </x:c>
      <x:c r="Q22" s="482" t="n"/>
      <x:c r="R22" s="290" t="n">
        <x:f>504-(S4+S5+S6+S7+S12+S13+S14+S15+S16+S17+S18+S19+S20)</x:f>
        <x:v>504</x:v>
      </x:c>
      <x:c r="S22" s="482" t="n"/>
      <x:c r="T22" s="290" t="n">
        <x:f>504-(U4+U5+U6+U7+U12+U13+U14+U15+U16+U17+U18+U19+U20)</x:f>
        <x:v>504</x:v>
      </x:c>
      <x:c r="U22" s="482" t="n"/>
    </x:row>
    <x:row r="23">
      <x:c r="A23" s="291" t="inlineStr">
        <x:is>
          <x:t xml:space="preserve">ANCORA SPENDIBILI*</x:t>
        </x:is>
      </x:c>
      <x:c r="B23" s="292" t="n">
        <x:f>MAX(0,B22-(IF(B4="",1,0)+IF(B5="",1,0)+IF(B6="",1,0)+IF(B7="",1,0)+IF(B12="",1,0)+IF(B13="",1,0)+IF(B14="",1,0)+IF(B15="",1,0)+IF(B16="",1,0)+IF(B17="",1,0)+IF(B18="",1,0)+IF(B19="",1,0)+IF(B20="",1,0)+IF(B25="",1,0)+IF(B26="",1,0)+IF(B27="",1,0)+IF(B28="",1,0)+IF(B29="",1,0)+IF(B30="",1,0)+IF(B31="",1,0)+IF(B32="",1,0)+IF(B33="",1,0)+IF(B38="",1,0)+IF(B39="",1,0)+IF(B40="",1,0)+IF(B41="",1,0)+IF(B42="",1,0)+IF(B43="",1,0)+IF(B44="",1,0)))</x:f>
        <x:v>475</x:v>
      </x:c>
      <x:c r="C23" s="482" t="n"/>
      <x:c r="D23" s="292" t="n">
        <x:f>MAX(0,D22-(IF(D4="",1,0)+IF(D5="",1,0)+IF(D6="",1,0)+IF(D7="",1,0)+IF(D12="",1,0)+IF(D13="",1,0)+IF(D14="",1,0)+IF(D15="",1,0)+IF(D16="",1,0)+IF(D17="",1,0)+IF(D18="",1,0)+IF(D19="",1,0)+IF(D20="",1,0)+IF(D25="",1,0)+IF(D26="",1,0)+IF(D27="",1,0)+IF(D28="",1,0)+IF(D29="",1,0)+IF(D30="",1,0)+IF(D31="",1,0)+IF(D32="",1,0)+IF(D33="",1,0)+IF(D38="",1,0)+IF(D39="",1,0)+IF(D40="",1,0)+IF(D41="",1,0)+IF(D42="",1,0)+IF(D43="",1,0)+IF(D44="",1,0)))</x:f>
        <x:v>475</x:v>
      </x:c>
      <x:c r="E23" s="482" t="n"/>
      <x:c r="F23" s="292" t="n">
        <x:f>MAX(0,F22-(IF(F4="",1,0)+IF(F5="",1,0)+IF(F6="",1,0)+IF(F7="",1,0)+IF(F12="",1,0)+IF(F13="",1,0)+IF(F14="",1,0)+IF(F15="",1,0)+IF(F16="",1,0)+IF(F17="",1,0)+IF(F18="",1,0)+IF(F19="",1,0)+IF(F20="",1,0)+IF(F25="",1,0)+IF(F26="",1,0)+IF(F27="",1,0)+IF(F28="",1,0)+IF(F29="",1,0)+IF(F30="",1,0)+IF(F31="",1,0)+IF(F32="",1,0)+IF(F33="",1,0)+IF(F38="",1,0)+IF(F39="",1,0)+IF(F40="",1,0)+IF(F41="",1,0)+IF(F42="",1,0)+IF(F43="",1,0)+IF(F44="",1,0)))</x:f>
        <x:v>475</x:v>
      </x:c>
      <x:c r="G23" s="482" t="n"/>
      <x:c r="H23" s="292" t="n">
        <x:f>MAX(0,H22-(IF(H4="",1,0)+IF(H5="",1,0)+IF(H6="",1,0)+IF(H7="",1,0)+IF(H12="",1,0)+IF(H13="",1,0)+IF(H14="",1,0)+IF(H15="",1,0)+IF(H16="",1,0)+IF(H17="",1,0)+IF(H18="",1,0)+IF(H19="",1,0)+IF(H20="",1,0)+IF(H25="",1,0)+IF(H26="",1,0)+IF(H27="",1,0)+IF(H28="",1,0)+IF(H29="",1,0)+IF(H30="",1,0)+IF(H31="",1,0)+IF(H32="",1,0)+IF(H33="",1,0)+IF(H38="",1,0)+IF(H39="",1,0)+IF(H40="",1,0)+IF(H41="",1,0)+IF(H42="",1,0)+IF(H43="",1,0)+IF(H44="",1,0)))</x:f>
        <x:v>475</x:v>
      </x:c>
      <x:c r="I23" s="482" t="n"/>
      <x:c r="J23" s="292" t="n">
        <x:f>MAX(0,J22-(IF(J4="",1,0)+IF(J5="",1,0)+IF(J6="",1,0)+IF(J7="",1,0)+IF(J12="",1,0)+IF(J13="",1,0)+IF(J14="",1,0)+IF(J15="",1,0)+IF(J16="",1,0)+IF(J17="",1,0)+IF(J18="",1,0)+IF(J19="",1,0)+IF(J20="",1,0)+IF(J25="",1,0)+IF(J26="",1,0)+IF(J27="",1,0)+IF(J28="",1,0)+IF(J29="",1,0)+IF(J30="",1,0)+IF(J31="",1,0)+IF(J32="",1,0)+IF(J33="",1,0)+IF(J38="",1,0)+IF(J39="",1,0)+IF(J40="",1,0)+IF(J41="",1,0)+IF(J42="",1,0)+IF(J43="",1,0)+IF(J44="",1,0)))</x:f>
        <x:v>475</x:v>
      </x:c>
      <x:c r="K23" s="482" t="n"/>
      <x:c r="L23" s="292" t="n">
        <x:f>MAX(0,L22-(IF(L4="",1,0)+IF(L5="",1,0)+IF(L6="",1,0)+IF(L7="",1,0)+IF(L12="",1,0)+IF(L13="",1,0)+IF(L14="",1,0)+IF(L15="",1,0)+IF(L16="",1,0)+IF(L17="",1,0)+IF(L18="",1,0)+IF(L19="",1,0)+IF(L20="",1,0)+IF(L25="",1,0)+IF(L26="",1,0)+IF(L27="",1,0)+IF(L28="",1,0)+IF(L29="",1,0)+IF(L30="",1,0)+IF(L31="",1,0)+IF(L32="",1,0)+IF(L33="",1,0)+IF(L38="",1,0)+IF(L39="",1,0)+IF(L40="",1,0)+IF(L41="",1,0)+IF(L42="",1,0)+IF(L43="",1,0)+IF(L44="",1,0)))</x:f>
        <x:v>475</x:v>
      </x:c>
      <x:c r="M23" s="482" t="n"/>
      <x:c r="N23" s="292" t="n">
        <x:f>MAX(0,N22-(IF(N4="",1,0)+IF(N5="",1,0)+IF(N6="",1,0)+IF(N7="",1,0)+IF(N12="",1,0)+IF(N13="",1,0)+IF(N14="",1,0)+IF(N15="",1,0)+IF(N16="",1,0)+IF(N17="",1,0)+IF(N18="",1,0)+IF(N19="",1,0)+IF(N20="",1,0)+IF(N25="",1,0)+IF(N26="",1,0)+IF(N27="",1,0)+IF(N28="",1,0)+IF(N29="",1,0)+IF(N30="",1,0)+IF(N31="",1,0)+IF(N32="",1,0)+IF(N33="",1,0)+IF(N38="",1,0)+IF(N39="",1,0)+IF(N40="",1,0)+IF(N41="",1,0)+IF(N42="",1,0)+IF(N43="",1,0)+IF(N44="",1,0)))</x:f>
        <x:v>475</x:v>
      </x:c>
      <x:c r="O23" s="482" t="n"/>
      <x:c r="P23" s="292" t="n">
        <x:f>MAX(0,P22-(IF(P4="",1,0)+IF(P5="",1,0)+IF(P6="",1,0)+IF(P7="",1,0)+IF(P12="",1,0)+IF(P13="",1,0)+IF(P14="",1,0)+IF(P15="",1,0)+IF(P16="",1,0)+IF(P17="",1,0)+IF(P18="",1,0)+IF(P19="",1,0)+IF(P20="",1,0)+IF(P25="",1,0)+IF(P26="",1,0)+IF(P27="",1,0)+IF(P28="",1,0)+IF(P29="",1,0)+IF(P30="",1,0)+IF(P31="",1,0)+IF(P32="",1,0)+IF(P33="",1,0)+IF(P38="",1,0)+IF(P39="",1,0)+IF(P40="",1,0)+IF(P41="",1,0)+IF(P42="",1,0)+IF(P43="",1,0)+IF(P44="",1,0)))</x:f>
        <x:v>475</x:v>
      </x:c>
      <x:c r="Q23" s="482" t="n"/>
      <x:c r="R23" s="292" t="n">
        <x:f>MAX(0,R22-(IF(R4="",1,0)+IF(R5="",1,0)+IF(R6="",1,0)+IF(R7="",1,0)+IF(R12="",1,0)+IF(R13="",1,0)+IF(R14="",1,0)+IF(R15="",1,0)+IF(R16="",1,0)+IF(R17="",1,0)+IF(R18="",1,0)+IF(R19="",1,0)+IF(R20="",1,0)+IF(R25="",1,0)+IF(R26="",1,0)+IF(R27="",1,0)+IF(R28="",1,0)+IF(R29="",1,0)+IF(R30="",1,0)+IF(R31="",1,0)+IF(R32="",1,0)+IF(R33="",1,0)+IF(R38="",1,0)+IF(R39="",1,0)+IF(R40="",1,0)+IF(R41="",1,0)+IF(R42="",1,0)+IF(R43="",1,0)+IF(R44="",1,0)))</x:f>
        <x:v>475</x:v>
      </x:c>
      <x:c r="S23" s="482" t="n"/>
      <x:c r="T23" s="292" t="n">
        <x:f>MAX(0,T22-(IF(T4="",1,0)+IF(T5="",1,0)+IF(T6="",1,0)+IF(T7="",1,0)+IF(T12="",1,0)+IF(T13="",1,0)+IF(T14="",1,0)+IF(T15="",1,0)+IF(T16="",1,0)+IF(T17="",1,0)+IF(T18="",1,0)+IF(T19="",1,0)+IF(T20="",1,0)+IF(T25="",1,0)+IF(T26="",1,0)+IF(T27="",1,0)+IF(T28="",1,0)+IF(T29="",1,0)+IF(T30="",1,0)+IF(T31="",1,0)+IF(T32="",1,0)+IF(T33="",1,0)+IF(T38="",1,0)+IF(T39="",1,0)+IF(T40="",1,0)+IF(T41="",1,0)+IF(T42="",1,0)+IF(T43="",1,0)+IF(T44="",1,0)))</x:f>
        <x:v>475</x:v>
      </x:c>
      <x:c r="U23" s="482" t="n"/>
    </x:row>
    <x:row r="24">
      <x:c r="A24" s="293" t="n"/>
      <x:c r="B24" s="293" t="n"/>
      <x:c r="C24" s="294" t="n"/>
      <x:c r="D24" s="293" t="n"/>
      <x:c r="E24" s="294" t="n"/>
      <x:c r="F24" s="293" t="n"/>
      <x:c r="G24" s="294" t="n"/>
      <x:c r="H24" s="293" t="n"/>
      <x:c r="I24" s="294" t="n"/>
      <x:c r="J24" s="293" t="n"/>
      <x:c r="K24" s="294" t="n"/>
      <x:c r="L24" s="293" t="n"/>
      <x:c r="M24" s="294" t="n"/>
      <x:c r="N24" s="293" t="n"/>
      <x:c r="O24" s="294" t="n"/>
      <x:c r="P24" s="293" t="n"/>
      <x:c r="Q24" s="294" t="n"/>
      <x:c r="R24" s="293" t="n"/>
      <x:c r="S24" s="294" t="n"/>
      <x:c r="T24" s="293" t="n"/>
      <x:c r="U24" s="294" t="n"/>
    </x:row>
    <x:row r="25">
      <x:c r="A25" s="297" t="inlineStr">
        <x:is>
          <x:t xml:space="preserve">Centrocampisti 1</x:t>
        </x:is>
      </x:c>
      <x:c r="B25" s="297" t="n"/>
      <x:c r="C25" s="298" t="n"/>
      <x:c r="D25" s="297" t="n"/>
      <x:c r="E25" s="298" t="n"/>
      <x:c r="F25" s="297" t="n"/>
      <x:c r="G25" s="298" t="n"/>
      <x:c r="H25" s="297" t="n"/>
      <x:c r="I25" s="298" t="n"/>
      <x:c r="J25" s="297" t="n"/>
      <x:c r="K25" s="298" t="n"/>
      <x:c r="L25" s="297" t="n"/>
      <x:c r="M25" s="298" t="n"/>
      <x:c r="N25" s="297" t="n"/>
      <x:c r="O25" s="298" t="n"/>
      <x:c r="P25" s="297" t="n"/>
      <x:c r="Q25" s="298" t="n"/>
      <x:c r="R25" s="297" t="n"/>
      <x:c r="S25" s="298" t="n"/>
      <x:c r="T25" s="297" t="n"/>
      <x:c r="U25" s="298" t="n"/>
    </x:row>
    <x:row r="26">
      <x:c r="A26" s="297" t="inlineStr">
        <x:is>
          <x:t xml:space="preserve">Centrocampisti 2</x:t>
        </x:is>
      </x:c>
      <x:c r="B26" s="297" t="n"/>
      <x:c r="C26" s="298" t="n"/>
      <x:c r="D26" s="297" t="n"/>
      <x:c r="E26" s="298" t="n"/>
      <x:c r="F26" s="297" t="n"/>
      <x:c r="G26" s="298" t="n"/>
      <x:c r="H26" s="297" t="n"/>
      <x:c r="I26" s="298" t="n"/>
      <x:c r="J26" s="297" t="n"/>
      <x:c r="K26" s="298" t="n"/>
      <x:c r="L26" s="297" t="n"/>
      <x:c r="M26" s="298" t="n"/>
      <x:c r="N26" s="297" t="n"/>
      <x:c r="O26" s="298" t="n"/>
      <x:c r="P26" s="297" t="n"/>
      <x:c r="Q26" s="298" t="n"/>
      <x:c r="R26" s="297" t="n"/>
      <x:c r="S26" s="298" t="n"/>
      <x:c r="T26" s="297" t="n"/>
      <x:c r="U26" s="298" t="n"/>
    </x:row>
    <x:row r="27">
      <x:c r="A27" s="297" t="inlineStr">
        <x:is>
          <x:t xml:space="preserve">Centrocampisti 3</x:t>
        </x:is>
      </x:c>
      <x:c r="B27" s="297" t="n"/>
      <x:c r="C27" s="298" t="n"/>
      <x:c r="D27" s="297" t="n"/>
      <x:c r="E27" s="298" t="n"/>
      <x:c r="F27" s="297" t="n"/>
      <x:c r="G27" s="298" t="n"/>
      <x:c r="H27" s="297" t="n"/>
      <x:c r="I27" s="298" t="n"/>
      <x:c r="J27" s="297" t="n"/>
      <x:c r="K27" s="298" t="n"/>
      <x:c r="L27" s="297" t="n"/>
      <x:c r="M27" s="298" t="n"/>
      <x:c r="N27" s="297" t="n"/>
      <x:c r="O27" s="298" t="n"/>
      <x:c r="P27" s="297" t="n"/>
      <x:c r="Q27" s="298" t="n"/>
      <x:c r="R27" s="297" t="n"/>
      <x:c r="S27" s="298" t="n"/>
      <x:c r="T27" s="297" t="n"/>
      <x:c r="U27" s="298" t="n"/>
    </x:row>
    <x:row r="28">
      <x:c r="A28" s="297" t="inlineStr">
        <x:is>
          <x:t xml:space="preserve">Centrocampisti 4</x:t>
        </x:is>
      </x:c>
      <x:c r="B28" s="297" t="n"/>
      <x:c r="C28" s="298" t="n"/>
      <x:c r="D28" s="297" t="n"/>
      <x:c r="E28" s="298" t="n"/>
      <x:c r="F28" s="297" t="n"/>
      <x:c r="G28" s="298" t="n"/>
      <x:c r="H28" s="297" t="n"/>
      <x:c r="I28" s="298" t="n"/>
      <x:c r="J28" s="297" t="n"/>
      <x:c r="K28" s="298" t="n"/>
      <x:c r="L28" s="297" t="n"/>
      <x:c r="M28" s="298" t="n"/>
      <x:c r="N28" s="297" t="n"/>
      <x:c r="O28" s="298" t="n"/>
      <x:c r="P28" s="297" t="n"/>
      <x:c r="Q28" s="298" t="n"/>
      <x:c r="R28" s="297" t="n"/>
      <x:c r="S28" s="298" t="n"/>
      <x:c r="T28" s="297" t="n"/>
      <x:c r="U28" s="298" t="n"/>
    </x:row>
    <x:row r="29">
      <x:c r="A29" s="297" t="inlineStr">
        <x:is>
          <x:t xml:space="preserve">Centrocampisti 5</x:t>
        </x:is>
      </x:c>
      <x:c r="B29" s="297" t="n"/>
      <x:c r="C29" s="298" t="n"/>
      <x:c r="D29" s="297" t="n"/>
      <x:c r="E29" s="298" t="n"/>
      <x:c r="F29" s="297" t="n"/>
      <x:c r="G29" s="298" t="n"/>
      <x:c r="H29" s="297" t="n"/>
      <x:c r="I29" s="298" t="n"/>
      <x:c r="J29" s="297" t="n"/>
      <x:c r="K29" s="298" t="n"/>
      <x:c r="L29" s="297" t="n"/>
      <x:c r="M29" s="298" t="n"/>
      <x:c r="N29" s="297" t="n"/>
      <x:c r="O29" s="298" t="n"/>
      <x:c r="P29" s="297" t="n"/>
      <x:c r="Q29" s="298" t="n"/>
      <x:c r="R29" s="297" t="n"/>
      <x:c r="S29" s="298" t="n"/>
      <x:c r="T29" s="297" t="n"/>
      <x:c r="U29" s="298" t="n"/>
    </x:row>
    <x:row r="30">
      <x:c r="A30" s="297" t="inlineStr">
        <x:is>
          <x:t xml:space="preserve">Centrocampisti 6</x:t>
        </x:is>
      </x:c>
      <x:c r="B30" s="297" t="n"/>
      <x:c r="C30" s="298" t="n"/>
      <x:c r="D30" s="297" t="n"/>
      <x:c r="E30" s="298" t="n"/>
      <x:c r="F30" s="297" t="n"/>
      <x:c r="G30" s="298" t="n"/>
      <x:c r="H30" s="297" t="n"/>
      <x:c r="I30" s="298" t="n"/>
      <x:c r="J30" s="297" t="n"/>
      <x:c r="K30" s="298" t="n"/>
      <x:c r="L30" s="297" t="n"/>
      <x:c r="M30" s="298" t="n"/>
      <x:c r="N30" s="297" t="n"/>
      <x:c r="O30" s="298" t="n"/>
      <x:c r="P30" s="297" t="n"/>
      <x:c r="Q30" s="298" t="n"/>
      <x:c r="R30" s="297" t="n"/>
      <x:c r="S30" s="298" t="n"/>
      <x:c r="T30" s="297" t="n"/>
      <x:c r="U30" s="298" t="n"/>
    </x:row>
    <x:row r="31">
      <x:c r="A31" s="297" t="inlineStr">
        <x:is>
          <x:t xml:space="preserve">Centrocampisti 7</x:t>
        </x:is>
      </x:c>
      <x:c r="B31" s="297" t="n"/>
      <x:c r="C31" s="298" t="n"/>
      <x:c r="D31" s="297" t="n"/>
      <x:c r="E31" s="298" t="n"/>
      <x:c r="F31" s="297" t="n"/>
      <x:c r="G31" s="298" t="n"/>
      <x:c r="H31" s="297" t="n"/>
      <x:c r="I31" s="298" t="n"/>
      <x:c r="J31" s="297" t="n"/>
      <x:c r="K31" s="298" t="n"/>
      <x:c r="L31" s="297" t="n"/>
      <x:c r="M31" s="298" t="n"/>
      <x:c r="N31" s="297" t="n"/>
      <x:c r="O31" s="298" t="n"/>
      <x:c r="P31" s="297" t="n"/>
      <x:c r="Q31" s="298" t="n"/>
      <x:c r="R31" s="297" t="n"/>
      <x:c r="S31" s="298" t="n"/>
      <x:c r="T31" s="297" t="n"/>
      <x:c r="U31" s="298" t="n"/>
    </x:row>
    <x:row r="32">
      <x:c r="A32" s="297" t="inlineStr">
        <x:is>
          <x:t xml:space="preserve">Centrocampisti 8</x:t>
        </x:is>
      </x:c>
      <x:c r="B32" s="297" t="n"/>
      <x:c r="C32" s="298" t="n"/>
      <x:c r="D32" s="297" t="n"/>
      <x:c r="E32" s="298" t="n"/>
      <x:c r="F32" s="297" t="n"/>
      <x:c r="G32" s="298" t="n"/>
      <x:c r="H32" s="297" t="n"/>
      <x:c r="I32" s="298" t="n"/>
      <x:c r="J32" s="297" t="n"/>
      <x:c r="K32" s="298" t="n"/>
      <x:c r="L32" s="297" t="n"/>
      <x:c r="M32" s="298" t="n"/>
      <x:c r="N32" s="297" t="n"/>
      <x:c r="O32" s="298" t="n"/>
      <x:c r="P32" s="297" t="n"/>
      <x:c r="Q32" s="298" t="n"/>
      <x:c r="R32" s="297" t="n"/>
      <x:c r="S32" s="298" t="n"/>
      <x:c r="T32" s="297" t="n"/>
      <x:c r="U32" s="298" t="n"/>
    </x:row>
    <x:row r="33">
      <x:c r="A33" s="297" t="inlineStr">
        <x:is>
          <x:t xml:space="preserve">Centrocampisti 9</x:t>
        </x:is>
      </x:c>
      <x:c r="B33" s="297" t="n"/>
      <x:c r="C33" s="298" t="n"/>
      <x:c r="D33" s="297" t="n"/>
      <x:c r="E33" s="298" t="n"/>
      <x:c r="F33" s="297" t="n"/>
      <x:c r="G33" s="298" t="n"/>
      <x:c r="H33" s="297" t="n"/>
      <x:c r="I33" s="298" t="n"/>
      <x:c r="J33" s="297" t="n"/>
      <x:c r="K33" s="298" t="n"/>
      <x:c r="L33" s="297" t="n"/>
      <x:c r="M33" s="298" t="n"/>
      <x:c r="N33" s="297" t="n"/>
      <x:c r="O33" s="298" t="n"/>
      <x:c r="P33" s="297" t="n"/>
      <x:c r="Q33" s="298" t="n"/>
      <x:c r="R33" s="297" t="n"/>
      <x:c r="S33" s="298" t="n"/>
      <x:c r="T33" s="297" t="n"/>
      <x:c r="U33" s="298" t="n"/>
    </x:row>
    <x:row r="34">
      <x:c r="A34" s="289" t="inlineStr">
        <x:is>
          <x:t xml:space="preserve">SPESO CENTROCAMPISTI</x:t>
        </x:is>
      </x:c>
      <x:c r="B34" s="290" t="n">
        <x:f>SUM(C25:C33)</x:f>
        <x:v>0</x:v>
      </x:c>
      <x:c r="C34" s="482" t="n"/>
      <x:c r="D34" s="290" t="n">
        <x:f>SUM(E25:E33)</x:f>
        <x:v>0</x:v>
      </x:c>
      <x:c r="E34" s="482" t="n"/>
      <x:c r="F34" s="290" t="n">
        <x:f>SUM(G25:G33)</x:f>
        <x:v>0</x:v>
      </x:c>
      <x:c r="G34" s="482" t="n"/>
      <x:c r="H34" s="290" t="n">
        <x:f>SUM(I25:I33)</x:f>
        <x:v>0</x:v>
      </x:c>
      <x:c r="I34" s="482" t="n"/>
      <x:c r="J34" s="290" t="n">
        <x:f>SUM(K25:K33)</x:f>
        <x:v>0</x:v>
      </x:c>
      <x:c r="K34" s="482" t="n"/>
      <x:c r="L34" s="290" t="n">
        <x:f>SUM(M25:M33)</x:f>
        <x:v>0</x:v>
      </x:c>
      <x:c r="M34" s="482" t="n"/>
      <x:c r="N34" s="290" t="n">
        <x:f>SUM(O25:O33)</x:f>
        <x:v>0</x:v>
      </x:c>
      <x:c r="O34" s="482" t="n"/>
      <x:c r="P34" s="290" t="n">
        <x:f>SUM(Q25:Q33)</x:f>
        <x:v>0</x:v>
      </x:c>
      <x:c r="Q34" s="482" t="n"/>
      <x:c r="R34" s="290" t="n">
        <x:f>SUM(S25:S33)</x:f>
        <x:v>0</x:v>
      </x:c>
      <x:c r="S34" s="482" t="n"/>
      <x:c r="T34" s="290" t="n">
        <x:f>SUM(U25:U33)</x:f>
        <x:v>0</x:v>
      </x:c>
      <x:c r="U34" s="482" t="n"/>
    </x:row>
    <x:row r="35">
      <x:c r="A35" s="289" t="inlineStr">
        <x:is>
          <x:t xml:space="preserve">CREDITI RIMANENTI</x:t>
        </x:is>
      </x:c>
      <x:c r="B35" s="290" t="n">
        <x:f>504-(C4+C5+C6+C7+C12+C13+C14+C15+C16+C17+C18+C19+C20+C25+C26+C27+C28+C29+C30+C31+C32+C33)</x:f>
        <x:v>504</x:v>
      </x:c>
      <x:c r="C35" s="482" t="n"/>
      <x:c r="D35" s="290" t="n">
        <x:f>504-(E4+E5+E6+E7+E12+E13+E14+E15+E16+E17+E18+E19+E20+E25+E26+E27+E28+E29+E30+E31+E32+E33)</x:f>
        <x:v>504</x:v>
      </x:c>
      <x:c r="E35" s="482" t="n"/>
      <x:c r="F35" s="290" t="n">
        <x:f>504-(G4+G5+G6+G7+G12+G13+G14+G15+G16+G17+G18+G19+G20+G25+G26+G27+G28+G29+G30+G31+G32+G33)</x:f>
        <x:v>504</x:v>
      </x:c>
      <x:c r="G35" s="482" t="n"/>
      <x:c r="H35" s="290" t="n">
        <x:f>504-(I4+I5+I6+I7+I12+I13+I14+I15+I16+I17+I18+I19+I20+I25+I26+I27+I28+I29+I30+I31+I32+I33)</x:f>
        <x:v>504</x:v>
      </x:c>
      <x:c r="I35" s="482" t="n"/>
      <x:c r="J35" s="290" t="n">
        <x:f>504-(K4+K5+K6+K7+K12+K13+K14+K15+K16+K17+K18+K19+K20+K25+K26+K27+K28+K29+K30+K31+K32+K33)</x:f>
        <x:v>504</x:v>
      </x:c>
      <x:c r="K35" s="482" t="n"/>
      <x:c r="L35" s="290" t="n">
        <x:f>504-(M4+M5+M6+M7+M12+M13+M14+M15+M16+M17+M18+M19+M20+M25+M26+M27+M28+M29+M30+M31+M32+M33)</x:f>
        <x:v>504</x:v>
      </x:c>
      <x:c r="M35" s="482" t="n"/>
      <x:c r="N35" s="290" t="n">
        <x:f>504-(O4+O5+O6+O7+O12+O13+O14+O15+O16+O17+O18+O19+O20+O25+O26+O27+O28+O29+O30+O31+O32+O33)</x:f>
        <x:v>504</x:v>
      </x:c>
      <x:c r="O35" s="482" t="n"/>
      <x:c r="P35" s="290" t="n">
        <x:f>504-(Q4+Q5+Q6+Q7+Q12+Q13+Q14+Q15+Q16+Q17+Q18+Q19+Q20+Q25+Q26+Q27+Q28+Q29+Q30+Q31+Q32+Q33)</x:f>
        <x:v>504</x:v>
      </x:c>
      <x:c r="Q35" s="482" t="n"/>
      <x:c r="R35" s="290" t="n">
        <x:f>504-(S4+S5+S6+S7+S12+S13+S14+S15+S16+S17+S18+S19+S20+S25+S26+S27+S28+S29+S30+S31+S32+S33)</x:f>
        <x:v>504</x:v>
      </x:c>
      <x:c r="S35" s="482" t="n"/>
      <x:c r="T35" s="290" t="n">
        <x:f>504-(U4+U5+U6+U7+U12+U13+U14+U15+U16+U17+U18+U19+U20+U25+U26+U27+U28+U29+U30+U31+U32+U33)</x:f>
        <x:v>504</x:v>
      </x:c>
      <x:c r="U35" s="482" t="n"/>
    </x:row>
    <x:row r="36">
      <x:c r="A36" s="291" t="inlineStr">
        <x:is>
          <x:t xml:space="preserve">ANCORA SPENDIBILI*</x:t>
        </x:is>
      </x:c>
      <x:c r="B36" s="292" t="n">
        <x:f>MAX(0,B35-(IF(B4="",1,0)+IF(B5="",1,0)+IF(B6="",1,0)+IF(B7="",1,0)+IF(B12="",1,0)+IF(B13="",1,0)+IF(B14="",1,0)+IF(B15="",1,0)+IF(B16="",1,0)+IF(B17="",1,0)+IF(B18="",1,0)+IF(B19="",1,0)+IF(B20="",1,0)+IF(B25="",1,0)+IF(B26="",1,0)+IF(B27="",1,0)+IF(B28="",1,0)+IF(B29="",1,0)+IF(B30="",1,0)+IF(B31="",1,0)+IF(B32="",1,0)+IF(B33="",1,0)+IF(B38="",1,0)+IF(B39="",1,0)+IF(B40="",1,0)+IF(B41="",1,0)+IF(B42="",1,0)+IF(B43="",1,0)+IF(B44="",1,0)))</x:f>
        <x:v>475</x:v>
      </x:c>
      <x:c r="C36" s="482" t="n"/>
      <x:c r="D36" s="292" t="n">
        <x:f>MAX(0,D35-(IF(D4="",1,0)+IF(D5="",1,0)+IF(D6="",1,0)+IF(D7="",1,0)+IF(D12="",1,0)+IF(D13="",1,0)+IF(D14="",1,0)+IF(D15="",1,0)+IF(D16="",1,0)+IF(D17="",1,0)+IF(D18="",1,0)+IF(D19="",1,0)+IF(D20="",1,0)+IF(D25="",1,0)+IF(D26="",1,0)+IF(D27="",1,0)+IF(D28="",1,0)+IF(D29="",1,0)+IF(D30="",1,0)+IF(D31="",1,0)+IF(D32="",1,0)+IF(D33="",1,0)+IF(D38="",1,0)+IF(D39="",1,0)+IF(D40="",1,0)+IF(D41="",1,0)+IF(D42="",1,0)+IF(D43="",1,0)+IF(D44="",1,0)))</x:f>
        <x:v>475</x:v>
      </x:c>
      <x:c r="E36" s="482" t="n"/>
      <x:c r="F36" s="292" t="n">
        <x:f>MAX(0,F35-(IF(F4="",1,0)+IF(F5="",1,0)+IF(F6="",1,0)+IF(F7="",1,0)+IF(F12="",1,0)+IF(F13="",1,0)+IF(F14="",1,0)+IF(F15="",1,0)+IF(F16="",1,0)+IF(F17="",1,0)+IF(F18="",1,0)+IF(F19="",1,0)+IF(F20="",1,0)+IF(F25="",1,0)+IF(F26="",1,0)+IF(F27="",1,0)+IF(F28="",1,0)+IF(F29="",1,0)+IF(F30="",1,0)+IF(F31="",1,0)+IF(F32="",1,0)+IF(F33="",1,0)+IF(F38="",1,0)+IF(F39="",1,0)+IF(F40="",1,0)+IF(F41="",1,0)+IF(F42="",1,0)+IF(F43="",1,0)+IF(F44="",1,0)))</x:f>
        <x:v>475</x:v>
      </x:c>
      <x:c r="G36" s="482" t="n"/>
      <x:c r="H36" s="292" t="n">
        <x:f>MAX(0,H35-(IF(H4="",1,0)+IF(H5="",1,0)+IF(H6="",1,0)+IF(H7="",1,0)+IF(H12="",1,0)+IF(H13="",1,0)+IF(H14="",1,0)+IF(H15="",1,0)+IF(H16="",1,0)+IF(H17="",1,0)+IF(H18="",1,0)+IF(H19="",1,0)+IF(H20="",1,0)+IF(H25="",1,0)+IF(H26="",1,0)+IF(H27="",1,0)+IF(H28="",1,0)+IF(H29="",1,0)+IF(H30="",1,0)+IF(H31="",1,0)+IF(H32="",1,0)+IF(H33="",1,0)+IF(H38="",1,0)+IF(H39="",1,0)+IF(H40="",1,0)+IF(H41="",1,0)+IF(H42="",1,0)+IF(H43="",1,0)+IF(H44="",1,0)))</x:f>
        <x:v>475</x:v>
      </x:c>
      <x:c r="I36" s="482" t="n"/>
      <x:c r="J36" s="292" t="n">
        <x:f>MAX(0,J35-(IF(J4="",1,0)+IF(J5="",1,0)+IF(J6="",1,0)+IF(J7="",1,0)+IF(J12="",1,0)+IF(J13="",1,0)+IF(J14="",1,0)+IF(J15="",1,0)+IF(J16="",1,0)+IF(J17="",1,0)+IF(J18="",1,0)+IF(J19="",1,0)+IF(J20="",1,0)+IF(J25="",1,0)+IF(J26="",1,0)+IF(J27="",1,0)+IF(J28="",1,0)+IF(J29="",1,0)+IF(J30="",1,0)+IF(J31="",1,0)+IF(J32="",1,0)+IF(J33="",1,0)+IF(J38="",1,0)+IF(J39="",1,0)+IF(J40="",1,0)+IF(J41="",1,0)+IF(J42="",1,0)+IF(J43="",1,0)+IF(J44="",1,0)))</x:f>
        <x:v>475</x:v>
      </x:c>
      <x:c r="K36" s="482" t="n"/>
      <x:c r="L36" s="292" t="n">
        <x:f>MAX(0,L35-(IF(L4="",1,0)+IF(L5="",1,0)+IF(L6="",1,0)+IF(L7="",1,0)+IF(L12="",1,0)+IF(L13="",1,0)+IF(L14="",1,0)+IF(L15="",1,0)+IF(L16="",1,0)+IF(L17="",1,0)+IF(L18="",1,0)+IF(L19="",1,0)+IF(L20="",1,0)+IF(L25="",1,0)+IF(L26="",1,0)+IF(L27="",1,0)+IF(L28="",1,0)+IF(L29="",1,0)+IF(L30="",1,0)+IF(L31="",1,0)+IF(L32="",1,0)+IF(L33="",1,0)+IF(L38="",1,0)+IF(L39="",1,0)+IF(L40="",1,0)+IF(L41="",1,0)+IF(L42="",1,0)+IF(L43="",1,0)+IF(L44="",1,0)))</x:f>
        <x:v>475</x:v>
      </x:c>
      <x:c r="M36" s="482" t="n"/>
      <x:c r="N36" s="292" t="n">
        <x:f>MAX(0,N35-(IF(N4="",1,0)+IF(N5="",1,0)+IF(N6="",1,0)+IF(N7="",1,0)+IF(N12="",1,0)+IF(N13="",1,0)+IF(N14="",1,0)+IF(N15="",1,0)+IF(N16="",1,0)+IF(N17="",1,0)+IF(N18="",1,0)+IF(N19="",1,0)+IF(N20="",1,0)+IF(N25="",1,0)+IF(N26="",1,0)+IF(N27="",1,0)+IF(N28="",1,0)+IF(N29="",1,0)+IF(N30="",1,0)+IF(N31="",1,0)+IF(N32="",1,0)+IF(N33="",1,0)+IF(N38="",1,0)+IF(N39="",1,0)+IF(N40="",1,0)+IF(N41="",1,0)+IF(N42="",1,0)+IF(N43="",1,0)+IF(N44="",1,0)))</x:f>
        <x:v>475</x:v>
      </x:c>
      <x:c r="O36" s="482" t="n"/>
      <x:c r="P36" s="292" t="n">
        <x:f>MAX(0,P35-(IF(P4="",1,0)+IF(P5="",1,0)+IF(P6="",1,0)+IF(P7="",1,0)+IF(P12="",1,0)+IF(P13="",1,0)+IF(P14="",1,0)+IF(P15="",1,0)+IF(P16="",1,0)+IF(P17="",1,0)+IF(P18="",1,0)+IF(P19="",1,0)+IF(P20="",1,0)+IF(P25="",1,0)+IF(P26="",1,0)+IF(P27="",1,0)+IF(P28="",1,0)+IF(P29="",1,0)+IF(P30="",1,0)+IF(P31="",1,0)+IF(P32="",1,0)+IF(P33="",1,0)+IF(P38="",1,0)+IF(P39="",1,0)+IF(P40="",1,0)+IF(P41="",1,0)+IF(P42="",1,0)+IF(P43="",1,0)+IF(P44="",1,0)))</x:f>
        <x:v>475</x:v>
      </x:c>
      <x:c r="Q36" s="482" t="n"/>
      <x:c r="R36" s="292" t="n">
        <x:f>MAX(0,R35-(IF(R4="",1,0)+IF(R5="",1,0)+IF(R6="",1,0)+IF(R7="",1,0)+IF(R12="",1,0)+IF(R13="",1,0)+IF(R14="",1,0)+IF(R15="",1,0)+IF(R16="",1,0)+IF(R17="",1,0)+IF(R18="",1,0)+IF(R19="",1,0)+IF(R20="",1,0)+IF(R25="",1,0)+IF(R26="",1,0)+IF(R27="",1,0)+IF(R28="",1,0)+IF(R29="",1,0)+IF(R30="",1,0)+IF(R31="",1,0)+IF(R32="",1,0)+IF(R33="",1,0)+IF(R38="",1,0)+IF(R39="",1,0)+IF(R40="",1,0)+IF(R41="",1,0)+IF(R42="",1,0)+IF(R43="",1,0)+IF(R44="",1,0)))</x:f>
        <x:v>475</x:v>
      </x:c>
      <x:c r="S36" s="482" t="n"/>
      <x:c r="T36" s="292" t="n">
        <x:f>MAX(0,T35-(IF(T4="",1,0)+IF(T5="",1,0)+IF(T6="",1,0)+IF(T7="",1,0)+IF(T12="",1,0)+IF(T13="",1,0)+IF(T14="",1,0)+IF(T15="",1,0)+IF(T16="",1,0)+IF(T17="",1,0)+IF(T18="",1,0)+IF(T19="",1,0)+IF(T20="",1,0)+IF(T25="",1,0)+IF(T26="",1,0)+IF(T27="",1,0)+IF(T28="",1,0)+IF(T29="",1,0)+IF(T30="",1,0)+IF(T31="",1,0)+IF(T32="",1,0)+IF(T33="",1,0)+IF(T38="",1,0)+IF(T39="",1,0)+IF(T40="",1,0)+IF(T41="",1,0)+IF(T42="",1,0)+IF(T43="",1,0)+IF(T44="",1,0)))</x:f>
        <x:v>475</x:v>
      </x:c>
      <x:c r="U36" s="482" t="n"/>
    </x:row>
    <x:row r="37">
      <x:c r="A37" s="293" t="n"/>
      <x:c r="B37" s="293" t="n"/>
      <x:c r="C37" s="294" t="n"/>
      <x:c r="D37" s="293" t="n"/>
      <x:c r="E37" s="294" t="n"/>
      <x:c r="F37" s="293" t="n"/>
      <x:c r="G37" s="294" t="n"/>
      <x:c r="H37" s="293" t="n"/>
      <x:c r="I37" s="294" t="n"/>
      <x:c r="J37" s="293" t="n"/>
      <x:c r="K37" s="294" t="n"/>
      <x:c r="L37" s="293" t="n"/>
      <x:c r="M37" s="294" t="n"/>
      <x:c r="N37" s="293" t="n"/>
      <x:c r="O37" s="294" t="n"/>
      <x:c r="P37" s="293" t="n"/>
      <x:c r="Q37" s="294" t="n"/>
      <x:c r="R37" s="293" t="n"/>
      <x:c r="S37" s="294" t="n"/>
      <x:c r="T37" s="293" t="n"/>
      <x:c r="U37" s="294" t="n"/>
    </x:row>
    <x:row r="38">
      <x:c r="A38" s="299" t="inlineStr">
        <x:is>
          <x:t xml:space="preserve">Attaccanti 1</x:t>
        </x:is>
      </x:c>
      <x:c r="B38" s="299" t="n"/>
      <x:c r="C38" s="300" t="n"/>
      <x:c r="D38" s="299" t="n"/>
      <x:c r="E38" s="300" t="n"/>
      <x:c r="F38" s="299" t="n"/>
      <x:c r="G38" s="300" t="n"/>
      <x:c r="H38" s="299" t="n"/>
      <x:c r="I38" s="300" t="n"/>
      <x:c r="J38" s="299" t="n"/>
      <x:c r="K38" s="300" t="n"/>
      <x:c r="L38" s="299" t="n"/>
      <x:c r="M38" s="300" t="n"/>
      <x:c r="N38" s="299" t="n"/>
      <x:c r="O38" s="300" t="n"/>
      <x:c r="P38" s="299" t="n"/>
      <x:c r="Q38" s="300" t="n"/>
      <x:c r="R38" s="299" t="n"/>
      <x:c r="S38" s="300" t="n"/>
      <x:c r="T38" s="299" t="n"/>
      <x:c r="U38" s="300" t="n"/>
    </x:row>
    <x:row r="39">
      <x:c r="A39" s="299" t="inlineStr">
        <x:is>
          <x:t xml:space="preserve">Attaccanti 2</x:t>
        </x:is>
      </x:c>
      <x:c r="B39" s="299" t="n"/>
      <x:c r="C39" s="300" t="n"/>
      <x:c r="D39" s="299" t="n"/>
      <x:c r="E39" s="300" t="n"/>
      <x:c r="F39" s="299" t="n"/>
      <x:c r="G39" s="300" t="n"/>
      <x:c r="H39" s="299" t="n"/>
      <x:c r="I39" s="300" t="n"/>
      <x:c r="J39" s="299" t="n"/>
      <x:c r="K39" s="300" t="n"/>
      <x:c r="L39" s="299" t="n"/>
      <x:c r="M39" s="300" t="n"/>
      <x:c r="N39" s="299" t="n"/>
      <x:c r="O39" s="300" t="n"/>
      <x:c r="P39" s="299" t="n"/>
      <x:c r="Q39" s="300" t="n"/>
      <x:c r="R39" s="299" t="n"/>
      <x:c r="S39" s="300" t="n"/>
      <x:c r="T39" s="299" t="n"/>
      <x:c r="U39" s="300" t="n"/>
    </x:row>
    <x:row r="40">
      <x:c r="A40" s="299" t="inlineStr">
        <x:is>
          <x:t xml:space="preserve">Attaccanti 3</x:t>
        </x:is>
      </x:c>
      <x:c r="B40" s="299" t="n"/>
      <x:c r="C40" s="300" t="n"/>
      <x:c r="D40" s="299" t="n"/>
      <x:c r="E40" s="300" t="n"/>
      <x:c r="F40" s="299" t="n"/>
      <x:c r="G40" s="300" t="n"/>
      <x:c r="H40" s="299" t="n"/>
      <x:c r="I40" s="300" t="n"/>
      <x:c r="J40" s="299" t="n"/>
      <x:c r="K40" s="300" t="n"/>
      <x:c r="L40" s="299" t="n"/>
      <x:c r="M40" s="300" t="n"/>
      <x:c r="N40" s="299" t="n"/>
      <x:c r="O40" s="300" t="n"/>
      <x:c r="P40" s="299" t="n"/>
      <x:c r="Q40" s="300" t="n"/>
      <x:c r="R40" s="299" t="n"/>
      <x:c r="S40" s="300" t="n"/>
      <x:c r="T40" s="299" t="n"/>
      <x:c r="U40" s="300" t="n"/>
    </x:row>
    <x:row r="41">
      <x:c r="A41" s="299" t="inlineStr">
        <x:is>
          <x:t xml:space="preserve">Attaccanti 4</x:t>
        </x:is>
      </x:c>
      <x:c r="B41" s="299" t="n"/>
      <x:c r="C41" s="300" t="n"/>
      <x:c r="D41" s="299" t="n"/>
      <x:c r="E41" s="300" t="n"/>
      <x:c r="F41" s="299" t="n"/>
      <x:c r="G41" s="300" t="n"/>
      <x:c r="H41" s="299" t="n"/>
      <x:c r="I41" s="300" t="n"/>
      <x:c r="J41" s="299" t="n"/>
      <x:c r="K41" s="300" t="n"/>
      <x:c r="L41" s="299" t="n"/>
      <x:c r="M41" s="300" t="n"/>
      <x:c r="N41" s="299" t="n"/>
      <x:c r="O41" s="300" t="n"/>
      <x:c r="P41" s="299" t="n"/>
      <x:c r="Q41" s="300" t="n"/>
      <x:c r="R41" s="299" t="n"/>
      <x:c r="S41" s="300" t="n"/>
      <x:c r="T41" s="299" t="n"/>
      <x:c r="U41" s="300" t="n"/>
    </x:row>
    <x:row r="42">
      <x:c r="A42" s="299" t="inlineStr">
        <x:is>
          <x:t xml:space="preserve">Attaccanti 5</x:t>
        </x:is>
      </x:c>
      <x:c r="B42" s="299" t="n"/>
      <x:c r="C42" s="300" t="n"/>
      <x:c r="D42" s="299" t="n"/>
      <x:c r="E42" s="300" t="n"/>
      <x:c r="F42" s="299" t="n"/>
      <x:c r="G42" s="300" t="n"/>
      <x:c r="H42" s="299" t="n"/>
      <x:c r="I42" s="300" t="n"/>
      <x:c r="J42" s="299" t="n"/>
      <x:c r="K42" s="300" t="n"/>
      <x:c r="L42" s="299" t="n"/>
      <x:c r="M42" s="300" t="n"/>
      <x:c r="N42" s="299" t="n"/>
      <x:c r="O42" s="300" t="n"/>
      <x:c r="P42" s="299" t="n"/>
      <x:c r="Q42" s="300" t="n"/>
      <x:c r="R42" s="299" t="n"/>
      <x:c r="S42" s="300" t="n"/>
      <x:c r="T42" s="299" t="n"/>
      <x:c r="U42" s="300" t="n"/>
    </x:row>
    <x:row r="43">
      <x:c r="A43" s="299" t="inlineStr">
        <x:is>
          <x:t xml:space="preserve">Attaccanti 6</x:t>
        </x:is>
      </x:c>
      <x:c r="B43" s="299" t="n"/>
      <x:c r="C43" s="300" t="n"/>
      <x:c r="D43" s="299" t="n"/>
      <x:c r="E43" s="300" t="n"/>
      <x:c r="F43" s="299" t="n"/>
      <x:c r="G43" s="300" t="n"/>
      <x:c r="H43" s="299" t="n"/>
      <x:c r="I43" s="300" t="n"/>
      <x:c r="J43" s="299" t="n"/>
      <x:c r="K43" s="300" t="n"/>
      <x:c r="L43" s="299" t="n"/>
      <x:c r="M43" s="300" t="n"/>
      <x:c r="N43" s="299" t="n"/>
      <x:c r="O43" s="300" t="n"/>
      <x:c r="P43" s="299" t="n"/>
      <x:c r="Q43" s="300" t="n"/>
      <x:c r="R43" s="299" t="n"/>
      <x:c r="S43" s="300" t="n"/>
      <x:c r="T43" s="299" t="n"/>
      <x:c r="U43" s="300" t="n"/>
    </x:row>
    <x:row r="44">
      <x:c r="A44" s="299" t="inlineStr">
        <x:is>
          <x:t xml:space="preserve">Attaccanti 7</x:t>
        </x:is>
      </x:c>
      <x:c r="B44" s="299" t="n"/>
      <x:c r="C44" s="300" t="n"/>
      <x:c r="D44" s="299" t="n"/>
      <x:c r="E44" s="300" t="n"/>
      <x:c r="F44" s="299" t="n"/>
      <x:c r="G44" s="300" t="n"/>
      <x:c r="H44" s="299" t="n"/>
      <x:c r="I44" s="300" t="n"/>
      <x:c r="J44" s="299" t="n"/>
      <x:c r="K44" s="300" t="n"/>
      <x:c r="L44" s="299" t="n"/>
      <x:c r="M44" s="300" t="n"/>
      <x:c r="N44" s="299" t="n"/>
      <x:c r="O44" s="300" t="n"/>
      <x:c r="P44" s="299" t="n"/>
      <x:c r="Q44" s="300" t="n"/>
      <x:c r="R44" s="299" t="n"/>
      <x:c r="S44" s="300" t="n"/>
      <x:c r="T44" s="299" t="n"/>
      <x:c r="U44" s="300" t="n"/>
    </x:row>
    <x:row r="45">
      <x:c r="A45" s="289" t="inlineStr">
        <x:is>
          <x:t xml:space="preserve">SPESO ATTACCANTI</x:t>
        </x:is>
      </x:c>
      <x:c r="B45" s="290" t="n">
        <x:f>SUM(C38:C44)</x:f>
        <x:v>0</x:v>
      </x:c>
      <x:c r="C45" s="482" t="n"/>
      <x:c r="D45" s="290" t="n">
        <x:f>SUM(E38:E44)</x:f>
        <x:v>0</x:v>
      </x:c>
      <x:c r="E45" s="482" t="n"/>
      <x:c r="F45" s="290" t="n">
        <x:f>SUM(G38:G44)</x:f>
        <x:v>0</x:v>
      </x:c>
      <x:c r="G45" s="482" t="n"/>
      <x:c r="H45" s="290" t="n">
        <x:f>SUM(I38:I44)</x:f>
        <x:v>0</x:v>
      </x:c>
      <x:c r="I45" s="482" t="n"/>
      <x:c r="J45" s="290" t="n">
        <x:f>SUM(K38:K44)</x:f>
        <x:v>0</x:v>
      </x:c>
      <x:c r="K45" s="482" t="n"/>
      <x:c r="L45" s="290" t="n">
        <x:f>SUM(M38:M44)</x:f>
        <x:v>0</x:v>
      </x:c>
      <x:c r="M45" s="482" t="n"/>
      <x:c r="N45" s="290" t="n">
        <x:f>SUM(O38:O44)</x:f>
        <x:v>0</x:v>
      </x:c>
      <x:c r="O45" s="482" t="n"/>
      <x:c r="P45" s="290" t="n">
        <x:f>SUM(Q38:Q44)</x:f>
        <x:v>0</x:v>
      </x:c>
      <x:c r="Q45" s="482" t="n"/>
      <x:c r="R45" s="290" t="n">
        <x:f>SUM(S38:S44)</x:f>
        <x:v>0</x:v>
      </x:c>
      <x:c r="S45" s="482" t="n"/>
      <x:c r="T45" s="290" t="n">
        <x:f>SUM(U38:U44)</x:f>
        <x:v>0</x:v>
      </x:c>
      <x:c r="U45" s="482" t="n"/>
    </x:row>
    <x:row r="46">
      <x:c r="A46" s="289" t="inlineStr">
        <x:is>
          <x:t xml:space="preserve">CREDITI RIMANENTI</x:t>
        </x:is>
      </x:c>
      <x:c r="B46" s="290" t="n">
        <x:f>504-(C4+C5+C6+C7+C12+C13+C14+C15+C16+C17+C18+C19+C20+C25+C26+C27+C28+C29+C30+C31+C32+C33+C38+C39+C40+C41+C42+C43+C44)</x:f>
        <x:v>504</x:v>
      </x:c>
      <x:c r="C46" s="482" t="n"/>
      <x:c r="D46" s="290" t="n">
        <x:f>504-(E4+E5+E6+E7+E12+E13+E14+E15+E16+E17+E18+E19+E20+E25+E26+E27+E28+E29+E30+E31+E32+E33+E38+E39+E40+E41+E42+E43+E44)</x:f>
        <x:v>504</x:v>
      </x:c>
      <x:c r="E46" s="482" t="n"/>
      <x:c r="F46" s="290" t="n">
        <x:f>504-(G4+G5+G6+G7+G12+G13+G14+G15+G16+G17+G18+G19+G20+G25+G26+G27+G28+G29+G30+G31+G32+G33+G38+G39+G40+G41+G42+G43+G44)</x:f>
        <x:v>504</x:v>
      </x:c>
      <x:c r="G46" s="482" t="n"/>
      <x:c r="H46" s="290" t="n">
        <x:f>504-(I4+I5+I6+I7+I12+I13+I14+I15+I16+I17+I18+I19+I20+I25+I26+I27+I28+I29+I30+I31+I32+I33+I38+I39+I40+I41+I42+I43+I44)</x:f>
        <x:v>504</x:v>
      </x:c>
      <x:c r="I46" s="482" t="n"/>
      <x:c r="J46" s="290" t="n">
        <x:f>504-(K4+K5+K6+K7+K12+K13+K14+K15+K16+K17+K18+K19+K20+K25+K26+K27+K28+K29+K30+K31+K32+K33+K38+K39+K40+K41+K42+K43+K44)</x:f>
        <x:v>504</x:v>
      </x:c>
      <x:c r="K46" s="482" t="n"/>
      <x:c r="L46" s="290" t="n">
        <x:f>504-(M4+M5+M6+M7+M12+M13+M14+M15+M16+M17+M18+M19+M20+M25+M26+M27+M28+M29+M30+M31+M32+M33+M38+M39+M40+M41+M42+M43+M44)</x:f>
        <x:v>504</x:v>
      </x:c>
      <x:c r="M46" s="482" t="n"/>
      <x:c r="N46" s="290" t="n">
        <x:f>504-(O4+O5+O6+O7+O12+O13+O14+O15+O16+O17+O18+O19+O20+O25+O26+O27+O28+O29+O30+O31+O32+O33+O38+O39+O40+O41+O42+O43+O44)</x:f>
        <x:v>504</x:v>
      </x:c>
      <x:c r="O46" s="482" t="n"/>
      <x:c r="P46" s="290" t="n">
        <x:f>504-(Q4+Q5+Q6+Q7+Q12+Q13+Q14+Q15+Q16+Q17+Q18+Q19+Q20+Q25+Q26+Q27+Q28+Q29+Q30+Q31+Q32+Q33+Q38+Q39+Q40+Q41+Q42+Q43+Q44)</x:f>
        <x:v>504</x:v>
      </x:c>
      <x:c r="Q46" s="482" t="n"/>
      <x:c r="R46" s="290" t="n">
        <x:f>504-(S4+S5+S6+S7+S12+S13+S14+S15+S16+S17+S18+S19+S20+S25+S26+S27+S28+S29+S30+S31+S32+S33+S38+S39+S40+S41+S42+S43+S44)</x:f>
        <x:v>504</x:v>
      </x:c>
      <x:c r="S46" s="482" t="n"/>
      <x:c r="T46" s="290" t="n">
        <x:f>504-(U4+U5+U6+U7+U12+U13+U14+U15+U16+U17+U18+U19+U20+U25+U26+U27+U28+U29+U30+U31+U32+U33+U38+U39+U40+U41+U42+U43+U44)</x:f>
        <x:v>504</x:v>
      </x:c>
      <x:c r="U46" s="482" t="n"/>
    </x:row>
    <x:row r="47">
      <x:c r="A47" s="291" t="inlineStr">
        <x:is>
          <x:t xml:space="preserve">ANCORA SPENDIBILI*</x:t>
        </x:is>
      </x:c>
      <x:c r="B47" s="292" t="n">
        <x:f>MAX(0,B46-(IF(B4="",1,0)+IF(B5="",1,0)+IF(B6="",1,0)+IF(B7="",1,0)+IF(B12="",1,0)+IF(B13="",1,0)+IF(B14="",1,0)+IF(B15="",1,0)+IF(B16="",1,0)+IF(B17="",1,0)+IF(B18="",1,0)+IF(B19="",1,0)+IF(B20="",1,0)+IF(B25="",1,0)+IF(B26="",1,0)+IF(B27="",1,0)+IF(B28="",1,0)+IF(B29="",1,0)+IF(B30="",1,0)+IF(B31="",1,0)+IF(B32="",1,0)+IF(B33="",1,0)+IF(B38="",1,0)+IF(B39="",1,0)+IF(B40="",1,0)+IF(B41="",1,0)+IF(B42="",1,0)+IF(B43="",1,0)+IF(B44="",1,0)))</x:f>
        <x:v>475</x:v>
      </x:c>
      <x:c r="C47" s="482" t="n"/>
      <x:c r="D47" s="292" t="n">
        <x:f>MAX(0,D46-(IF(D4="",1,0)+IF(D5="",1,0)+IF(D6="",1,0)+IF(D7="",1,0)+IF(D12="",1,0)+IF(D13="",1,0)+IF(D14="",1,0)+IF(D15="",1,0)+IF(D16="",1,0)+IF(D17="",1,0)+IF(D18="",1,0)+IF(D19="",1,0)+IF(D20="",1,0)+IF(D25="",1,0)+IF(D26="",1,0)+IF(D27="",1,0)+IF(D28="",1,0)+IF(D29="",1,0)+IF(D30="",1,0)+IF(D31="",1,0)+IF(D32="",1,0)+IF(D33="",1,0)+IF(D38="",1,0)+IF(D39="",1,0)+IF(D40="",1,0)+IF(D41="",1,0)+IF(D42="",1,0)+IF(D43="",1,0)+IF(D44="",1,0)))</x:f>
        <x:v>475</x:v>
      </x:c>
      <x:c r="E47" s="482" t="n"/>
      <x:c r="F47" s="292" t="n">
        <x:f>MAX(0,F46-(IF(F4="",1,0)+IF(F5="",1,0)+IF(F6="",1,0)+IF(F7="",1,0)+IF(F12="",1,0)+IF(F13="",1,0)+IF(F14="",1,0)+IF(F15="",1,0)+IF(F16="",1,0)+IF(F17="",1,0)+IF(F18="",1,0)+IF(F19="",1,0)+IF(F20="",1,0)+IF(F25="",1,0)+IF(F26="",1,0)+IF(F27="",1,0)+IF(F28="",1,0)+IF(F29="",1,0)+IF(F30="",1,0)+IF(F31="",1,0)+IF(F32="",1,0)+IF(F33="",1,0)+IF(F38="",1,0)+IF(F39="",1,0)+IF(F40="",1,0)+IF(F41="",1,0)+IF(F42="",1,0)+IF(F43="",1,0)+IF(F44="",1,0)))</x:f>
        <x:v>475</x:v>
      </x:c>
      <x:c r="G47" s="482" t="n"/>
      <x:c r="H47" s="292" t="n">
        <x:f>MAX(0,H46-(IF(H4="",1,0)+IF(H5="",1,0)+IF(H6="",1,0)+IF(H7="",1,0)+IF(H12="",1,0)+IF(H13="",1,0)+IF(H14="",1,0)+IF(H15="",1,0)+IF(H16="",1,0)+IF(H17="",1,0)+IF(H18="",1,0)+IF(H19="",1,0)+IF(H20="",1,0)+IF(H25="",1,0)+IF(H26="",1,0)+IF(H27="",1,0)+IF(H28="",1,0)+IF(H29="",1,0)+IF(H30="",1,0)+IF(H31="",1,0)+IF(H32="",1,0)+IF(H33="",1,0)+IF(H38="",1,0)+IF(H39="",1,0)+IF(H40="",1,0)+IF(H41="",1,0)+IF(H42="",1,0)+IF(H43="",1,0)+IF(H44="",1,0)))</x:f>
        <x:v>475</x:v>
      </x:c>
      <x:c r="I47" s="482" t="n"/>
      <x:c r="J47" s="292" t="n">
        <x:f>MAX(0,J46-(IF(J4="",1,0)+IF(J5="",1,0)+IF(J6="",1,0)+IF(J7="",1,0)+IF(J12="",1,0)+IF(J13="",1,0)+IF(J14="",1,0)+IF(J15="",1,0)+IF(J16="",1,0)+IF(J17="",1,0)+IF(J18="",1,0)+IF(J19="",1,0)+IF(J20="",1,0)+IF(J25="",1,0)+IF(J26="",1,0)+IF(J27="",1,0)+IF(J28="",1,0)+IF(J29="",1,0)+IF(J30="",1,0)+IF(J31="",1,0)+IF(J32="",1,0)+IF(J33="",1,0)+IF(J38="",1,0)+IF(J39="",1,0)+IF(J40="",1,0)+IF(J41="",1,0)+IF(J42="",1,0)+IF(J43="",1,0)+IF(J44="",1,0)))</x:f>
        <x:v>475</x:v>
      </x:c>
      <x:c r="K47" s="482" t="n"/>
      <x:c r="L47" s="292" t="n">
        <x:f>MAX(0,L46-(IF(L4="",1,0)+IF(L5="",1,0)+IF(L6="",1,0)+IF(L7="",1,0)+IF(L12="",1,0)+IF(L13="",1,0)+IF(L14="",1,0)+IF(L15="",1,0)+IF(L16="",1,0)+IF(L17="",1,0)+IF(L18="",1,0)+IF(L19="",1,0)+IF(L20="",1,0)+IF(L25="",1,0)+IF(L26="",1,0)+IF(L27="",1,0)+IF(L28="",1,0)+IF(L29="",1,0)+IF(L30="",1,0)+IF(L31="",1,0)+IF(L32="",1,0)+IF(L33="",1,0)+IF(L38="",1,0)+IF(L39="",1,0)+IF(L40="",1,0)+IF(L41="",1,0)+IF(L42="",1,0)+IF(L43="",1,0)+IF(L44="",1,0)))</x:f>
        <x:v>475</x:v>
      </x:c>
      <x:c r="M47" s="482" t="n"/>
      <x:c r="N47" s="292" t="n">
        <x:f>MAX(0,N46-(IF(N4="",1,0)+IF(N5="",1,0)+IF(N6="",1,0)+IF(N7="",1,0)+IF(N12="",1,0)+IF(N13="",1,0)+IF(N14="",1,0)+IF(N15="",1,0)+IF(N16="",1,0)+IF(N17="",1,0)+IF(N18="",1,0)+IF(N19="",1,0)+IF(N20="",1,0)+IF(N25="",1,0)+IF(N26="",1,0)+IF(N27="",1,0)+IF(N28="",1,0)+IF(N29="",1,0)+IF(N30="",1,0)+IF(N31="",1,0)+IF(N32="",1,0)+IF(N33="",1,0)+IF(N38="",1,0)+IF(N39="",1,0)+IF(N40="",1,0)+IF(N41="",1,0)+IF(N42="",1,0)+IF(N43="",1,0)+IF(N44="",1,0)))</x:f>
        <x:v>475</x:v>
      </x:c>
      <x:c r="O47" s="482" t="n"/>
      <x:c r="P47" s="292" t="n">
        <x:f>MAX(0,P46-(IF(P4="",1,0)+IF(P5="",1,0)+IF(P6="",1,0)+IF(P7="",1,0)+IF(P12="",1,0)+IF(P13="",1,0)+IF(P14="",1,0)+IF(P15="",1,0)+IF(P16="",1,0)+IF(P17="",1,0)+IF(P18="",1,0)+IF(P19="",1,0)+IF(P20="",1,0)+IF(P25="",1,0)+IF(P26="",1,0)+IF(P27="",1,0)+IF(P28="",1,0)+IF(P29="",1,0)+IF(P30="",1,0)+IF(P31="",1,0)+IF(P32="",1,0)+IF(P33="",1,0)+IF(P38="",1,0)+IF(P39="",1,0)+IF(P40="",1,0)+IF(P41="",1,0)+IF(P42="",1,0)+IF(P43="",1,0)+IF(P44="",1,0)))</x:f>
        <x:v>475</x:v>
      </x:c>
      <x:c r="Q47" s="482" t="n"/>
      <x:c r="R47" s="292" t="n">
        <x:f>MAX(0,R46-(IF(R4="",1,0)+IF(R5="",1,0)+IF(R6="",1,0)+IF(R7="",1,0)+IF(R12="",1,0)+IF(R13="",1,0)+IF(R14="",1,0)+IF(R15="",1,0)+IF(R16="",1,0)+IF(R17="",1,0)+IF(R18="",1,0)+IF(R19="",1,0)+IF(R20="",1,0)+IF(R25="",1,0)+IF(R26="",1,0)+IF(R27="",1,0)+IF(R28="",1,0)+IF(R29="",1,0)+IF(R30="",1,0)+IF(R31="",1,0)+IF(R32="",1,0)+IF(R33="",1,0)+IF(R38="",1,0)+IF(R39="",1,0)+IF(R40="",1,0)+IF(R41="",1,0)+IF(R42="",1,0)+IF(R43="",1,0)+IF(R44="",1,0)))</x:f>
        <x:v>475</x:v>
      </x:c>
      <x:c r="S47" s="482" t="n"/>
      <x:c r="T47" s="292" t="n">
        <x:f>MAX(0,T46-(IF(T4="",1,0)+IF(T5="",1,0)+IF(T6="",1,0)+IF(T7="",1,0)+IF(T12="",1,0)+IF(T13="",1,0)+IF(T14="",1,0)+IF(T15="",1,0)+IF(T16="",1,0)+IF(T17="",1,0)+IF(T18="",1,0)+IF(T19="",1,0)+IF(T20="",1,0)+IF(T25="",1,0)+IF(T26="",1,0)+IF(T27="",1,0)+IF(T28="",1,0)+IF(T29="",1,0)+IF(T30="",1,0)+IF(T31="",1,0)+IF(T32="",1,0)+IF(T33="",1,0)+IF(T38="",1,0)+IF(T39="",1,0)+IF(T40="",1,0)+IF(T41="",1,0)+IF(T42="",1,0)+IF(T43="",1,0)+IF(T44="",1,0)))</x:f>
        <x:v>475</x:v>
      </x:c>
      <x:c r="U47" s="482" t="n"/>
    </x:row>
    <x:row r="48">
      <x:c r="A48" s="293" t="n"/>
      <x:c r="B48" s="293" t="n"/>
      <x:c r="C48" s="293" t="n"/>
      <x:c r="D48" s="293" t="n"/>
      <x:c r="E48" s="293" t="n"/>
      <x:c r="F48" s="293" t="n"/>
      <x:c r="G48" s="293" t="n"/>
      <x:c r="H48" s="293" t="n"/>
      <x:c r="I48" s="293" t="n"/>
      <x:c r="J48" s="293" t="n"/>
      <x:c r="K48" s="293" t="n"/>
      <x:c r="L48" s="293" t="n"/>
      <x:c r="M48" s="293" t="n"/>
      <x:c r="N48" s="293" t="n"/>
      <x:c r="O48" s="293" t="n"/>
      <x:c r="P48" s="293" t="n"/>
      <x:c r="Q48" s="293" t="n"/>
      <x:c r="R48" s="293" t="n"/>
      <x:c r="S48" s="293" t="n"/>
      <x:c r="T48" s="293" t="n"/>
      <x:c r="U48" s="293" t="n"/>
    </x:row>
    <x:row r="49">
      <x:c r="A49" s="293" t="n"/>
      <x:c r="B49" s="293" t="n"/>
      <x:c r="C49" s="293" t="n"/>
      <x:c r="D49" s="293" t="n"/>
      <x:c r="E49" s="293" t="n"/>
      <x:c r="F49" s="293" t="n"/>
      <x:c r="G49" s="293" t="n"/>
      <x:c r="H49" s="293" t="n"/>
      <x:c r="I49" s="293" t="n"/>
      <x:c r="J49" s="293" t="n"/>
      <x:c r="K49" s="293" t="n"/>
      <x:c r="L49" s="293" t="n"/>
      <x:c r="M49" s="293" t="n"/>
      <x:c r="N49" s="293" t="n"/>
      <x:c r="O49" s="293" t="n"/>
      <x:c r="P49" s="293" t="n"/>
      <x:c r="Q49" s="293" t="n"/>
      <x:c r="R49" s="293" t="n"/>
      <x:c r="S49" s="293" t="n"/>
      <x:c r="T49" s="293" t="n"/>
      <x:c r="U49" s="293" t="n"/>
    </x:row>
    <x:row r="50">
      <x:c r="A50" s="262" t="n"/>
      <x:c r="B50" s="262" t="n"/>
      <x:c r="C50" s="262" t="n"/>
      <x:c r="D50" s="262" t="n"/>
      <x:c r="E50" s="262" t="n"/>
      <x:c r="F50" s="262" t="n"/>
      <x:c r="G50" s="262" t="n"/>
      <x:c r="H50" s="262" t="n"/>
      <x:c r="I50" s="262" t="n"/>
      <x:c r="J50" s="262" t="n"/>
      <x:c r="K50" s="262" t="n"/>
      <x:c r="L50" s="262" t="n"/>
      <x:c r="M50" s="262" t="n"/>
      <x:c r="N50" s="262" t="n"/>
      <x:c r="O50" s="262" t="n"/>
      <x:c r="P50" s="262" t="n"/>
      <x:c r="Q50" s="262" t="n"/>
      <x:c r="R50" s="262" t="n"/>
      <x:c r="S50" s="262" t="n"/>
      <x:c r="T50" s="262" t="n"/>
      <x:c r="U50" s="262" t="n"/>
    </x:row>
    <x:row r="51">
      <x:c r="A51" s="262" t="n"/>
      <x:c r="B51" s="262" t="n"/>
      <x:c r="C51" s="262" t="n"/>
      <x:c r="D51" s="262" t="n"/>
      <x:c r="E51" s="262" t="n"/>
      <x:c r="F51" s="262" t="n"/>
      <x:c r="G51" s="262" t="n"/>
      <x:c r="H51" s="262" t="n"/>
      <x:c r="I51" s="262" t="n"/>
      <x:c r="J51" s="262" t="n"/>
      <x:c r="K51" s="262" t="n"/>
      <x:c r="L51" s="262" t="n"/>
      <x:c r="M51" s="262" t="n"/>
      <x:c r="N51" s="262" t="n"/>
      <x:c r="O51" s="262" t="n"/>
      <x:c r="P51" s="262" t="n"/>
      <x:c r="Q51" s="262" t="n"/>
      <x:c r="R51" s="262" t="n"/>
      <x:c r="S51" s="262" t="n"/>
      <x:c r="T51" s="262" t="n"/>
      <x:c r="U51" s="262" t="n"/>
    </x:row>
    <x:row r="52">
      <x:c r="A52" s="262" t="n"/>
      <x:c r="B52" s="262" t="n"/>
      <x:c r="C52" s="262" t="n"/>
      <x:c r="D52" s="262" t="n"/>
      <x:c r="E52" s="262" t="n"/>
      <x:c r="F52" s="262" t="n"/>
      <x:c r="G52" s="262" t="n"/>
      <x:c r="H52" s="262" t="n"/>
      <x:c r="I52" s="262" t="n"/>
      <x:c r="J52" s="262" t="n"/>
      <x:c r="K52" s="262" t="n"/>
      <x:c r="L52" s="262" t="n"/>
      <x:c r="M52" s="262" t="n"/>
      <x:c r="N52" s="262" t="n"/>
      <x:c r="O52" s="262" t="n"/>
      <x:c r="P52" s="262" t="n"/>
      <x:c r="Q52" s="262" t="n"/>
      <x:c r="R52" s="262" t="n"/>
      <x:c r="S52" s="262" t="n"/>
      <x:c r="T52" s="262" t="n"/>
      <x:c r="U52" s="262" t="n"/>
    </x:row>
    <x:row r="53">
      <x:c r="A53" s="262" t="n"/>
      <x:c r="B53" s="262" t="n"/>
      <x:c r="C53" s="262" t="n"/>
      <x:c r="D53" s="262" t="n"/>
      <x:c r="E53" s="262" t="n"/>
      <x:c r="F53" s="262" t="n"/>
      <x:c r="G53" s="262" t="n"/>
      <x:c r="H53" s="262" t="n"/>
      <x:c r="I53" s="262" t="n"/>
      <x:c r="J53" s="262" t="n"/>
      <x:c r="K53" s="262" t="n"/>
      <x:c r="L53" s="262" t="n"/>
      <x:c r="M53" s="262" t="n"/>
      <x:c r="N53" s="262" t="n"/>
      <x:c r="O53" s="262" t="n"/>
      <x:c r="P53" s="262" t="n"/>
      <x:c r="Q53" s="262" t="n"/>
      <x:c r="R53" s="262" t="n"/>
      <x:c r="S53" s="262" t="n"/>
      <x:c r="T53" s="262" t="n"/>
      <x:c r="U53" s="262" t="n"/>
    </x:row>
    <x:row r="54">
      <x:c r="A54" s="262" t="n"/>
      <x:c r="B54" s="262" t="n"/>
      <x:c r="C54" s="262" t="n"/>
      <x:c r="D54" s="262" t="n"/>
      <x:c r="E54" s="262" t="n"/>
      <x:c r="F54" s="262" t="n"/>
      <x:c r="G54" s="262" t="n"/>
      <x:c r="H54" s="262" t="n"/>
      <x:c r="I54" s="262" t="n"/>
      <x:c r="J54" s="262" t="n"/>
      <x:c r="K54" s="262" t="n"/>
      <x:c r="L54" s="262" t="n"/>
      <x:c r="M54" s="262" t="n"/>
      <x:c r="N54" s="262" t="n"/>
      <x:c r="O54" s="262" t="n"/>
      <x:c r="P54" s="262" t="n"/>
      <x:c r="Q54" s="262" t="n"/>
      <x:c r="R54" s="262" t="n"/>
      <x:c r="S54" s="262" t="n"/>
      <x:c r="T54" s="262" t="n"/>
      <x:c r="U54" s="262" t="n"/>
    </x:row>
    <x:row r="55">
      <x:c r="A55" s="262" t="n"/>
      <x:c r="B55" s="262" t="n"/>
      <x:c r="C55" s="262" t="n"/>
      <x:c r="D55" s="262" t="n"/>
      <x:c r="E55" s="262" t="n"/>
      <x:c r="F55" s="262" t="n"/>
      <x:c r="G55" s="262" t="n"/>
      <x:c r="H55" s="262" t="n"/>
      <x:c r="I55" s="262" t="n"/>
      <x:c r="J55" s="262" t="n"/>
      <x:c r="K55" s="262" t="n"/>
      <x:c r="L55" s="262" t="n"/>
      <x:c r="M55" s="262" t="n"/>
      <x:c r="N55" s="262" t="n"/>
      <x:c r="O55" s="262" t="n"/>
      <x:c r="P55" s="262" t="n"/>
      <x:c r="Q55" s="262" t="n"/>
      <x:c r="R55" s="262" t="n"/>
      <x:c r="S55" s="262" t="n"/>
      <x:c r="T55" s="262" t="n"/>
      <x:c r="U55" s="262" t="n"/>
    </x:row>
    <x:row r="56">
      <x:c r="A56" s="262" t="n"/>
      <x:c r="B56" s="262" t="n"/>
      <x:c r="C56" s="262" t="n"/>
      <x:c r="D56" s="262" t="n"/>
      <x:c r="E56" s="262" t="n"/>
      <x:c r="F56" s="262" t="n"/>
      <x:c r="G56" s="262" t="n"/>
      <x:c r="H56" s="262" t="n"/>
      <x:c r="I56" s="262" t="n"/>
      <x:c r="J56" s="262" t="n"/>
      <x:c r="K56" s="262" t="n"/>
      <x:c r="L56" s="262" t="n"/>
      <x:c r="M56" s="262" t="n"/>
      <x:c r="N56" s="262" t="n"/>
      <x:c r="O56" s="262" t="n"/>
      <x:c r="P56" s="262" t="n"/>
      <x:c r="Q56" s="262" t="n"/>
      <x:c r="R56" s="262" t="n"/>
      <x:c r="S56" s="262" t="n"/>
      <x:c r="T56" s="262" t="n"/>
      <x:c r="U56" s="262" t="n"/>
    </x:row>
    <x:row r="57">
      <x:c r="A57" s="262" t="n"/>
      <x:c r="B57" s="262" t="n"/>
      <x:c r="C57" s="262" t="n"/>
      <x:c r="D57" s="262" t="n"/>
      <x:c r="E57" s="262" t="n"/>
      <x:c r="F57" s="262" t="n"/>
      <x:c r="G57" s="262" t="n"/>
      <x:c r="H57" s="262" t="n"/>
      <x:c r="I57" s="262" t="n"/>
      <x:c r="J57" s="262" t="n"/>
      <x:c r="K57" s="262" t="n"/>
      <x:c r="L57" s="262" t="n"/>
      <x:c r="M57" s="262" t="n"/>
      <x:c r="N57" s="262" t="n"/>
      <x:c r="O57" s="262" t="n"/>
      <x:c r="P57" s="262" t="n"/>
      <x:c r="Q57" s="262" t="n"/>
      <x:c r="R57" s="262" t="n"/>
      <x:c r="S57" s="262" t="n"/>
      <x:c r="T57" s="262" t="n"/>
      <x:c r="U57" s="262" t="n"/>
    </x:row>
    <x:row r="58">
      <x:c r="A58" s="262" t="n"/>
      <x:c r="B58" s="262" t="n"/>
      <x:c r="C58" s="262" t="n"/>
      <x:c r="D58" s="262" t="n"/>
      <x:c r="E58" s="262" t="n"/>
      <x:c r="F58" s="262" t="n"/>
      <x:c r="G58" s="262" t="n"/>
      <x:c r="H58" s="262" t="n"/>
      <x:c r="I58" s="262" t="n"/>
      <x:c r="J58" s="262" t="n"/>
      <x:c r="K58" s="262" t="n"/>
      <x:c r="L58" s="262" t="n"/>
      <x:c r="M58" s="262" t="n"/>
      <x:c r="N58" s="262" t="n"/>
      <x:c r="O58" s="262" t="n"/>
      <x:c r="P58" s="262" t="n"/>
      <x:c r="Q58" s="262" t="n"/>
      <x:c r="R58" s="262" t="n"/>
      <x:c r="S58" s="262" t="n"/>
      <x:c r="T58" s="262" t="n"/>
      <x:c r="U58" s="262" t="n"/>
    </x:row>
    <x:row r="59">
      <x:c r="A59" s="262" t="n"/>
      <x:c r="B59" s="262" t="n"/>
      <x:c r="C59" s="262" t="n"/>
      <x:c r="D59" s="262" t="n"/>
      <x:c r="E59" s="262" t="n"/>
      <x:c r="F59" s="262" t="n"/>
      <x:c r="G59" s="262" t="n"/>
      <x:c r="H59" s="262" t="n"/>
      <x:c r="I59" s="262" t="n"/>
      <x:c r="J59" s="262" t="n"/>
      <x:c r="K59" s="262" t="n"/>
      <x:c r="L59" s="262" t="n"/>
      <x:c r="M59" s="262" t="n"/>
      <x:c r="N59" s="262" t="n"/>
      <x:c r="O59" s="262" t="n"/>
      <x:c r="P59" s="262" t="n"/>
      <x:c r="Q59" s="262" t="n"/>
      <x:c r="R59" s="262" t="n"/>
      <x:c r="S59" s="262" t="n"/>
      <x:c r="T59" s="262" t="n"/>
      <x:c r="U59" s="262" t="n"/>
    </x:row>
    <x:row r="60">
      <x:c r="A60" s="262" t="n"/>
      <x:c r="B60" s="262" t="n"/>
      <x:c r="C60" s="262" t="n"/>
      <x:c r="D60" s="262" t="n"/>
      <x:c r="E60" s="262" t="n"/>
      <x:c r="F60" s="262" t="n"/>
      <x:c r="G60" s="262" t="n"/>
      <x:c r="H60" s="262" t="n"/>
      <x:c r="I60" s="262" t="n"/>
      <x:c r="J60" s="262" t="n"/>
      <x:c r="K60" s="262" t="n"/>
      <x:c r="L60" s="262" t="n"/>
      <x:c r="M60" s="262" t="n"/>
      <x:c r="N60" s="262" t="n"/>
      <x:c r="O60" s="262" t="n"/>
      <x:c r="P60" s="262" t="n"/>
      <x:c r="Q60" s="262" t="n"/>
      <x:c r="R60" s="262" t="n"/>
      <x:c r="S60" s="262" t="n"/>
      <x:c r="T60" s="262" t="n"/>
      <x:c r="U60" s="262" t="n"/>
    </x:row>
  </x:sheetData>
  <x:mergeCells>
    <x:mergeCell ref="L2:M2"/>
    <x:mergeCell ref="H35:I35"/>
    <x:mergeCell ref="H10:I10"/>
    <x:mergeCell ref="J10:K10"/>
    <x:mergeCell ref="B22:C22"/>
    <x:mergeCell ref="D22:E22"/>
    <x:mergeCell ref="D36:E36"/>
    <x:mergeCell ref="N22:O22"/>
    <x:mergeCell ref="D45:E45"/>
    <x:mergeCell ref="H9:I9"/>
    <x:mergeCell ref="P22:Q22"/>
    <x:mergeCell ref="J9:K9"/>
    <x:mergeCell ref="B21:C21"/>
    <x:mergeCell ref="N46:O46"/>
    <x:mergeCell ref="P46:Q46"/>
    <x:mergeCell ref="A2:A3"/>
    <x:mergeCell ref="J45:K45"/>
    <x:mergeCell ref="L45:M45"/>
    <x:mergeCell ref="H45:I45"/>
    <x:mergeCell ref="F23:G23"/>
    <x:mergeCell ref="P47:Q47"/>
    <x:mergeCell ref="J21:K21"/>
    <x:mergeCell ref="L21:M21"/>
    <x:mergeCell ref="H23:I23"/>
    <x:mergeCell ref="J23:K23"/>
    <x:mergeCell ref="A1:U1"/>
    <x:mergeCell ref="B35:C35"/>
    <x:mergeCell ref="R8:S8"/>
    <x:mergeCell ref="D35:E35"/>
    <x:mergeCell ref="N35:O35"/>
    <x:mergeCell ref="D10:E10"/>
    <x:mergeCell ref="P35:Q35"/>
    <x:mergeCell ref="F10:G10"/>
    <x:mergeCell ref="D34:E34"/>
    <x:mergeCell ref="F34:G34"/>
    <x:mergeCell ref="P10:Q10"/>
    <x:mergeCell ref="R10:S10"/>
    <x:mergeCell ref="T35:U35"/>
    <x:mergeCell ref="P34:Q34"/>
    <x:mergeCell ref="P9:Q9"/>
    <x:mergeCell ref="H34:I34"/>
    <x:mergeCell ref="R34:S34"/>
    <x:mergeCell ref="B2:C2"/>
    <x:mergeCell ref="J34:K34"/>
    <x:mergeCell ref="T10:U10"/>
    <x:mergeCell ref="D2:E2"/>
    <x:mergeCell ref="N2:O2"/>
    <x:mergeCell ref="P2:Q2"/>
    <x:mergeCell ref="F45:G45"/>
    <x:mergeCell ref="P36:Q36"/>
    <x:mergeCell ref="H36:I36"/>
    <x:mergeCell ref="T9:U9"/>
    <x:mergeCell ref="R36:S36"/>
    <x:mergeCell ref="J36:K36"/>
    <x:mergeCell ref="R45:S45"/>
    <x:mergeCell ref="D47:E47"/>
    <x:mergeCell ref="F47:G47"/>
    <x:mergeCell ref="T2:U2"/>
    <x:mergeCell ref="R47:S47"/>
    <x:mergeCell ref="F46:G46"/>
    <x:mergeCell ref="J22:K22"/>
    <x:mergeCell ref="D9:E9"/>
    <x:mergeCell ref="T22:U22"/>
    <x:mergeCell ref="L22:M22"/>
    <x:mergeCell ref="F9:G9"/>
    <x:mergeCell ref="J46:K46"/>
    <x:mergeCell ref="L46:M46"/>
    <x:mergeCell ref="D23:E23"/>
    <x:mergeCell ref="R23:S23"/>
    <x:mergeCell ref="L47:M47"/>
    <x:mergeCell ref="F21:G21"/>
    <x:mergeCell ref="H21:I21"/>
    <x:mergeCell ref="F36:G36"/>
    <x:mergeCell ref="L8:M8"/>
    <x:mergeCell ref="N8:O8"/>
    <x:mergeCell ref="F8:G8"/>
    <x:mergeCell ref="R35:S35"/>
    <x:mergeCell ref="F2:G2"/>
    <x:mergeCell ref="J35:K35"/>
    <x:mergeCell ref="H2:I2"/>
    <x:mergeCell ref="L35:M35"/>
    <x:mergeCell ref="B34:C34"/>
    <x:mergeCell ref="L10:M10"/>
    <x:mergeCell ref="N10:O10"/>
    <x:mergeCell ref="F22:G22"/>
    <x:mergeCell ref="T8:U8"/>
    <x:mergeCell ref="H22:I22"/>
    <x:mergeCell ref="B9:C9"/>
    <x:mergeCell ref="R22:S22"/>
    <x:mergeCell ref="L9:M9"/>
    <x:mergeCell ref="N9:O9"/>
    <x:mergeCell ref="J2:K2"/>
    <x:mergeCell ref="R46:S46"/>
    <x:mergeCell ref="T34:U34"/>
    <x:mergeCell ref="B45:C45"/>
    <x:mergeCell ref="T46:U46"/>
    <x:mergeCell ref="R9:S9"/>
    <x:mergeCell ref="N45:O45"/>
    <x:mergeCell ref="P45:Q45"/>
    <x:mergeCell ref="B47:C47"/>
    <x:mergeCell ref="N47:O47"/>
    <x:mergeCell ref="B46:C46"/>
    <x:mergeCell ref="T45:U45"/>
    <x:mergeCell ref="D46:E46"/>
    <x:mergeCell ref="T47:U47"/>
    <x:mergeCell ref="D21:E21"/>
    <x:mergeCell ref="N21:O21"/>
    <x:mergeCell ref="P21:Q21"/>
    <x:mergeCell ref="H46:I46"/>
    <x:mergeCell ref="P8:Q8"/>
    <x:mergeCell ref="B23:C23"/>
    <x:mergeCell ref="L23:M23"/>
    <x:mergeCell ref="N23:O23"/>
    <x:mergeCell ref="B8:C8"/>
    <x:mergeCell ref="P23:Q23"/>
    <x:mergeCell ref="R21:S21"/>
    <x:mergeCell ref="F35:G35"/>
    <x:mergeCell ref="T21:U21"/>
    <x:mergeCell ref="B10:C10"/>
    <x:mergeCell ref="T23:U23"/>
    <x:mergeCell ref="H47:I47"/>
    <x:mergeCell ref="J47:K47"/>
    <x:mergeCell ref="D8:E8"/>
    <x:mergeCell ref="L34:M34"/>
    <x:mergeCell ref="N34:O34"/>
    <x:mergeCell ref="R2:S2"/>
    <x:mergeCell ref="B36:C36"/>
    <x:mergeCell ref="T36:U36"/>
    <x:mergeCell ref="H8:I8"/>
    <x:mergeCell ref="L36:M36"/>
    <x:mergeCell ref="J8:K8"/>
    <x:mergeCell ref="N36:O36"/>
  </x:mergeCells>
  <x:conditionalFormatting sqref="C4:C44">
    <x:cfRule type="dataBar" priority="1">
      <x:dataBar>
        <x:cfvo type="min"/>
        <x:cfvo type="max"/>
        <x:color rgb="FFA02B93"/>
      </x:dataBar>
    </x:cfRule>
  </x:conditionalFormatting>
  <x:conditionalFormatting sqref="E4:E44">
    <x:cfRule type="dataBar" priority="2">
      <x:dataBar>
        <x:cfvo type="min"/>
        <x:cfvo type="max"/>
        <x:color rgb="FFA02B93"/>
      </x:dataBar>
    </x:cfRule>
  </x:conditionalFormatting>
  <x:conditionalFormatting sqref="G4:G44">
    <x:cfRule type="dataBar" priority="3">
      <x:dataBar>
        <x:cfvo type="min"/>
        <x:cfvo type="max"/>
        <x:color rgb="FFA02B93"/>
      </x:dataBar>
    </x:cfRule>
  </x:conditionalFormatting>
  <x:conditionalFormatting sqref="I4:I44">
    <x:cfRule type="dataBar" priority="4">
      <x:dataBar>
        <x:cfvo type="min"/>
        <x:cfvo type="max"/>
        <x:color rgb="FFA02B93"/>
      </x:dataBar>
    </x:cfRule>
  </x:conditionalFormatting>
  <x:conditionalFormatting sqref="K4:K44">
    <x:cfRule type="dataBar" priority="5">
      <x:dataBar>
        <x:cfvo type="min"/>
        <x:cfvo type="max"/>
        <x:color rgb="FFA02B93"/>
      </x:dataBar>
    </x:cfRule>
  </x:conditionalFormatting>
  <x:conditionalFormatting sqref="M4:M44">
    <x:cfRule type="dataBar" priority="6">
      <x:dataBar>
        <x:cfvo type="min"/>
        <x:cfvo type="max"/>
        <x:color rgb="FFA02B93"/>
      </x:dataBar>
    </x:cfRule>
  </x:conditionalFormatting>
  <x:conditionalFormatting sqref="O4:O44">
    <x:cfRule type="dataBar" priority="7">
      <x:dataBar>
        <x:cfvo type="min"/>
        <x:cfvo type="max"/>
        <x:color rgb="FFA02B93"/>
      </x:dataBar>
    </x:cfRule>
  </x:conditionalFormatting>
  <x:conditionalFormatting sqref="Q4:Q44">
    <x:cfRule type="dataBar" priority="8">
      <x:dataBar>
        <x:cfvo type="min"/>
        <x:cfvo type="max"/>
        <x:color rgb="FFA02B93"/>
      </x:dataBar>
    </x:cfRule>
  </x:conditionalFormatting>
  <x:conditionalFormatting sqref="S4:S44">
    <x:cfRule type="dataBar" priority="9">
      <x:dataBar>
        <x:cfvo type="min"/>
        <x:cfvo type="max"/>
        <x:color rgb="FFA02B93"/>
      </x:dataBar>
    </x:cfRule>
  </x:conditionalFormatting>
  <x:conditionalFormatting sqref="U4:U44">
    <x:cfRule type="dataBar" priority="10">
      <x:dataBar>
        <x:cfvo type="min"/>
        <x:cfvo type="max"/>
        <x:color rgb="FFA02B93"/>
      </x:dataBar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8" style="361" customWidth="1"/>
    <x:col min="2" max="2" width="21" style="361" customWidth="1"/>
    <x:col min="3" max="3" width="14" style="361" customWidth="1"/>
    <x:col min="4" max="4" width="18" style="361" customWidth="1"/>
    <x:col min="5" max="5" width="22" style="361" customWidth="1"/>
    <x:col min="6" max="6" width="11" style="361" customWidth="1"/>
    <x:col min="7" max="7" width="11" style="361" customWidth="1"/>
    <x:col min="8" max="8" width="11" style="361" customWidth="1"/>
    <x:col min="9" max="9" width="18" style="361" customWidth="1"/>
    <x:col min="10" max="10" width="17" style="361" customWidth="1"/>
    <x:col min="11" max="11" width="11" style="361" customWidth="1"/>
  </x:cols>
  <x:sheetData>
    <x:row r="1" s="361" customFormat="1" ht="30" customHeight="1">
      <x:c r="A1" s="484" t="inlineStr">
        <x:is>
          <x:t xml:space="preserve">LISTONE ASTA FANTACALCIO 2026/27</x:t>
        </x:is>
      </x:c>
    </x:row>
    <x:row r="2" s="361" customFormat="1" ht="32" customHeight="1">
      <x:c r="A2" s="485" t="inlineStr">
        <x:is>
          <x:t xml:space="preserve">Ruoli/quotazioni: listone Fantacalcio.it 2026/27 riportato da Sky TG24 (05/08/2026) · Titolarità, ballottaggi, rigoristi e piazzati: probabili formazioni Fantacalcio.it aggiornate 03/09/2026.</x:t>
        </x:is>
      </x:c>
      <x:c r="B2" s="481" t="n"/>
      <x:c r="C2" s="481" t="n"/>
      <x:c r="D2" s="481" t="n"/>
      <x:c r="E2" s="481" t="n"/>
      <x:c r="F2" s="481" t="n"/>
      <x:c r="G2" s="481" t="n"/>
      <x:c r="H2" s="481" t="n"/>
      <x:c r="I2" s="481" t="n"/>
      <x:c r="J2" s="481" t="n"/>
      <x:c r="K2" s="481" t="n"/>
    </x:row>
    <x:row r="3" s="361" customFormat="1" ht="28" customHeight="1">
      <x:c r="A3" s="410" t="inlineStr">
        <x:is>
          <x:t xml:space="preserve">Legenda Mantra: Por=Portiere · Dc=Difensore centrale · Dd/Ds=Terzino dx/sx · B=Braccetto · E=Esterno · M=Mediano · C=Centrocampista · W=Ala · T=Trequartista · A=Attaccante di supporto · Pc=Punta centrale</x:t>
        </x:is>
      </x:c>
      <x:c r="B3" s="486" t="n"/>
      <x:c r="C3" s="486" t="n"/>
      <x:c r="D3" s="486" t="n"/>
      <x:c r="E3" s="486" t="n"/>
      <x:c r="F3" s="486" t="n"/>
      <x:c r="G3" s="486" t="n"/>
      <x:c r="H3" s="486" t="n"/>
      <x:c r="I3" s="486" t="n"/>
      <x:c r="J3" s="486" t="n"/>
      <x:c r="K3" s="482" t="n"/>
    </x:row>
    <x:row r="4" s="361" customFormat="1" ht="8" customHeight="1">
      <x:c r="A4" s="487" t="n"/>
      <x:c r="B4" s="487" t="n"/>
      <x:c r="C4" s="487" t="n"/>
      <x:c r="D4" s="487" t="n"/>
      <x:c r="E4" s="487" t="n"/>
      <x:c r="F4" s="487" t="n"/>
      <x:c r="G4" s="487" t="n"/>
      <x:c r="H4" s="487" t="n"/>
      <x:c r="I4" s="487" t="n"/>
      <x:c r="J4" s="487" t="n"/>
      <x:c r="K4" s="487" t="n"/>
    </x:row>
    <x:row r="5">
      <x:c r="A5" s="412" t="inlineStr">
        <x:is>
          <x:t xml:space="preserve">PORTIERI</x:t>
        </x:is>
      </x:c>
      <x:c r="K5" s="488" t="n"/>
    </x:row>
    <x:row r="6">
      <x:c r="A6" s="416" t="inlineStr">
        <x:is>
          <x:t xml:space="preserve">Ruolo</x:t>
        </x:is>
      </x:c>
      <x:c r="B6" s="417" t="inlineStr">
        <x:is>
          <x:t xml:space="preserve">Calciatore</x:t>
        </x:is>
      </x:c>
      <x:c r="C6" s="417" t="inlineStr">
        <x:is>
          <x:t xml:space="preserve">Squadra</x:t>
        </x:is>
      </x:c>
      <x:c r="D6" s="417" t="inlineStr">
        <x:is>
          <x:t xml:space="preserve">Posizione specifica</x:t>
        </x:is>
      </x:c>
      <x:c r="E6" s="417" t="inlineStr">
        <x:is>
          <x:t xml:space="preserve">Status</x:t>
        </x:is>
      </x:c>
      <x:c r="F6" s="417" t="inlineStr">
        <x:is>
          <x:t xml:space="preserve">Quotazione</x:t>
        </x:is>
      </x:c>
      <x:c r="G6" s="417" t="inlineStr">
        <x:is>
          <x:t xml:space="preserve">FVM / 1000</x:t>
        </x:is>
      </x:c>
      <x:c r="H6" s="417" t="inlineStr">
        <x:is>
          <x:t xml:space="preserve">FVM su 504</x:t>
        </x:is>
      </x:c>
      <x:c r="I6" s="418" t="inlineStr">
        <x:is>
          <x:t xml:space="preserve">Specialità</x:t>
        </x:is>
      </x:c>
      <x:c r="J6" s="418" t="inlineStr">
        <x:is>
          <x:t xml:space="preserve">Acquistato da</x:t>
        </x:is>
      </x:c>
      <x:c r="K6" s="419" t="inlineStr">
        <x:is>
          <x:t xml:space="preserve">Prezzo asta</x:t>
        </x:is>
      </x:c>
    </x:row>
    <x:row r="7">
      <x:c r="A7" s="420" t="str">
        <x:f>IF($J7&lt;&gt;"",REGEXREPLACE(TO_TEXT('_Supporto Listone'!A7),"(.)","$1"&amp;UNICHAR(822)),'_Supporto Listone'!A7)</x:f>
        <x:v>P</x:v>
      </x:c>
      <x:c r="B7" s="421" t="str">
        <x:f>IF($J7&lt;&gt;"",REGEXREPLACE(TO_TEXT('_Supporto Listone'!B7),"(.)","$1"&amp;UNICHAR(822)),'_Supporto Listone'!B7)</x:f>
        <x:v>Svilar</x:v>
      </x:c>
      <x:c r="C7" s="421" t="str">
        <x:f>IF($J7&lt;&gt;"",REGEXREPLACE(TO_TEXT('_Supporto Listone'!C7),"(.)","$1"&amp;UNICHAR(822)),'_Supporto Listone'!C7)</x:f>
        <x:v>Roma</x:v>
      </x:c>
      <x:c r="D7" s="421" t="str">
        <x:f>IF($J7&lt;&gt;"",REGEXREPLACE(TO_TEXT('_Supporto Listone'!D7),"(.)","$1"&amp;UNICHAR(822)),'_Supporto Listone'!D7)</x:f>
        <x:v>Por</x:v>
      </x:c>
      <x:c r="E7" s="421" t="str">
        <x:f>IF($J7&lt;&gt;"",REGEXREPLACE(TO_TEXT('_Supporto Listone'!E7),"(.)","$1"&amp;UNICHAR(822)),'_Supporto Listone'!E7)</x:f>
        <x:v>Titolare</x:v>
      </x:c>
      <x:c r="F7" s="457" t="n">
        <x:f>IF($J7&lt;&gt;"",REGEXREPLACE(TO_TEXT('_Supporto Listone'!F7),"(.)","$1"&amp;UNICHAR(822)),'_Supporto Listone'!F7)</x:f>
        <x:v>18</x:v>
      </x:c>
      <x:c r="G7" s="457" t="n">
        <x:f>IF($J7&lt;&gt;"",REGEXREPLACE(TO_TEXT('_Supporto Listone'!G7),"(.)","$1"&amp;UNICHAR(822)),'_Supporto Listone'!G7)</x:f>
        <x:v>65</x:v>
      </x:c>
      <x:c r="H7" s="457" t="n">
        <x:f>IF($J7&lt;&gt;"",REGEXREPLACE(TO_TEXT('_Supporto Listone'!H7),"(.)","$1"&amp;UNICHAR(822)),'_Supporto Listone'!H7)</x:f>
        <x:v>33</x:v>
      </x:c>
      <x:c r="I7" s="422"/>
      <x:c r="J7" s="423" t="str">
        <x:f>IF(COUNTIF(Asta!$B$4:$B$47,'_Supporto Listone'!B7)&gt;0,"Simone",IF(COUNTIF(Asta!$D$4:$D$47,'_Supporto Listone'!B7)&gt;0,"Giacomo",IF(COUNTIF(Asta!$F$4:$F$47,'_Supporto Listone'!B7)&gt;0,"Niko",IF(COUNTIF(Asta!$H$4:$H$47,'_Supporto Listone'!B7)&gt;0,"Quici",IF(COUNTIF(Asta!$J$4:$J$47,'_Supporto Listone'!B7)&gt;0,"Fratello Quici",IF(COUNTIF(Asta!$L$4:$L$47,'_Supporto Listone'!B7)&gt;0,"Nicolò",IF(COUNTIF(Asta!$N$4:$N$47,'_Supporto Listone'!B7)&gt;0,"Vi",IF(COUNTIF(Asta!$P$4:$P$47,'_Supporto Listone'!B7)&gt;0,"Lore",IF(COUNTIF(Asta!$R$4:$R$47,'_Supporto Listone'!B7)&gt;0,"Robbo",IF(COUNTIF(Asta!$T$4:$T$47,'_Supporto Listone'!B7)&gt;0,"Ale",""))))))))))</x:f>
      </x:c>
      <x:c r="K7" s="489" t="str">
        <x:f>IF(COUNTIF(Asta!$B$4:$B$47,'_Supporto Listone'!B7)&gt;0,INDEX(Asta!$C$4:$C$47,MATCH('_Supporto Listone'!B7,Asta!$B$4:$B$47,0)),IF(COUNTIF(Asta!$D$4:$D$47,'_Supporto Listone'!B7)&gt;0,INDEX(Asta!$E$4:$E$47,MATCH('_Supporto Listone'!B7,Asta!$D$4:$D$47,0)),IF(COUNTIF(Asta!$F$4:$F$47,'_Supporto Listone'!B7)&gt;0,INDEX(Asta!$G$4:$G$47,MATCH('_Supporto Listone'!B7,Asta!$F$4:$F$47,0)),IF(COUNTIF(Asta!$H$4:$H$47,'_Supporto Listone'!B7)&gt;0,INDEX(Asta!$I$4:$I$47,MATCH('_Supporto Listone'!B7,Asta!$H$4:$H$47,0)),IF(COUNTIF(Asta!$J$4:$J$47,'_Supporto Listone'!B7)&gt;0,INDEX(Asta!$K$4:$K$47,MATCH('_Supporto Listone'!B7,Asta!$J$4:$J$47,0)),IF(COUNTIF(Asta!$L$4:$L$47,'_Supporto Listone'!B7)&gt;0,INDEX(Asta!$M$4:$M$47,MATCH('_Supporto Listone'!B7,Asta!$L$4:$L$47,0)),IF(COUNTIF(Asta!$N$4:$N$47,'_Supporto Listone'!B7)&gt;0,INDEX(Asta!$O$4:$O$47,MATCH('_Supporto Listone'!B7,Asta!$N$4:$N$47,0)),IF(COUNTIF(Asta!$P$4:$P$47,'_Supporto Listone'!B7)&gt;0,INDEX(Asta!$Q$4:$Q$47,MATCH('_Supporto Listone'!B7,Asta!$P$4:$P$47,0)),IF(COUNTIF(Asta!$R$4:$R$47,'_Supporto Listone'!B7)&gt;0,INDEX(Asta!$S$4:$S$47,MATCH('_Supporto Listone'!B7,Asta!$R$4:$R$47,0)),IF(COUNTIF(Asta!$T$4:$T$47,'_Supporto Listone'!B7)&gt;0,INDEX(Asta!$U$4:$U$47,MATCH('_Supporto Listone'!B7,Asta!$T$4:$T$47,0)),""))))))))))</x:f>
      </x:c>
    </x:row>
    <x:row r="8">
      <x:c r="A8" s="420" t="str">
        <x:f>IF($J8&lt;&gt;"",REGEXREPLACE(TO_TEXT('_Supporto Listone'!A8),"(.)","$1"&amp;UNICHAR(822)),'_Supporto Listone'!A8)</x:f>
        <x:v>P</x:v>
      </x:c>
      <x:c r="B8" s="421" t="str">
        <x:f>IF($J8&lt;&gt;"",REGEXREPLACE(TO_TEXT('_Supporto Listone'!B8),"(.)","$1"&amp;UNICHAR(822)),'_Supporto Listone'!B8)</x:f>
        <x:v>Martinez Jo.</x:v>
      </x:c>
      <x:c r="C8" s="421" t="str">
        <x:f>IF($J8&lt;&gt;"",REGEXREPLACE(TO_TEXT('_Supporto Listone'!C8),"(.)","$1"&amp;UNICHAR(822)),'_Supporto Listone'!C8)</x:f>
        <x:v>Inter</x:v>
      </x:c>
      <x:c r="D8" s="421" t="str">
        <x:f>IF($J8&lt;&gt;"",REGEXREPLACE(TO_TEXT('_Supporto Listone'!D8),"(.)","$1"&amp;UNICHAR(822)),'_Supporto Listone'!D8)</x:f>
        <x:v>Por</x:v>
      </x:c>
      <x:c r="E8" s="421" t="str">
        <x:f>IF($J8&lt;&gt;"",REGEXREPLACE(TO_TEXT('_Supporto Listone'!E8),"(.)","$1"&amp;UNICHAR(822)),'_Supporto Listone'!E8)</x:f>
        <x:v>Titolare</x:v>
      </x:c>
      <x:c r="F8" s="457" t="n">
        <x:f>IF($J8&lt;&gt;"",REGEXREPLACE(TO_TEXT('_Supporto Listone'!F8),"(.)","$1"&amp;UNICHAR(822)),'_Supporto Listone'!F8)</x:f>
        <x:v>17</x:v>
      </x:c>
      <x:c r="G8" s="457" t="n">
        <x:f>IF($J8&lt;&gt;"",REGEXREPLACE(TO_TEXT('_Supporto Listone'!G8),"(.)","$1"&amp;UNICHAR(822)),'_Supporto Listone'!G8)</x:f>
        <x:v>63</x:v>
      </x:c>
      <x:c r="H8" s="457" t="n">
        <x:f>IF($J8&lt;&gt;"",REGEXREPLACE(TO_TEXT('_Supporto Listone'!H8),"(.)","$1"&amp;UNICHAR(822)),'_Supporto Listone'!H8)</x:f>
        <x:v>32</x:v>
      </x:c>
      <x:c r="I8" s="422"/>
      <x:c r="J8" s="423" t="str">
        <x:f>IF(COUNTIF(Asta!$B$4:$B$47,'_Supporto Listone'!B8)&gt;0,"Simone",IF(COUNTIF(Asta!$D$4:$D$47,'_Supporto Listone'!B8)&gt;0,"Giacomo",IF(COUNTIF(Asta!$F$4:$F$47,'_Supporto Listone'!B8)&gt;0,"Niko",IF(COUNTIF(Asta!$H$4:$H$47,'_Supporto Listone'!B8)&gt;0,"Quici",IF(COUNTIF(Asta!$J$4:$J$47,'_Supporto Listone'!B8)&gt;0,"Fratello Quici",IF(COUNTIF(Asta!$L$4:$L$47,'_Supporto Listone'!B8)&gt;0,"Nicolò",IF(COUNTIF(Asta!$N$4:$N$47,'_Supporto Listone'!B8)&gt;0,"Vi",IF(COUNTIF(Asta!$P$4:$P$47,'_Supporto Listone'!B8)&gt;0,"Lore",IF(COUNTIF(Asta!$R$4:$R$47,'_Supporto Listone'!B8)&gt;0,"Robbo",IF(COUNTIF(Asta!$T$4:$T$47,'_Supporto Listone'!B8)&gt;0,"Ale",""))))))))))</x:f>
      </x:c>
      <x:c r="K8" s="489" t="str">
        <x:f>IF(COUNTIF(Asta!$B$4:$B$47,'_Supporto Listone'!B8)&gt;0,INDEX(Asta!$C$4:$C$47,MATCH('_Supporto Listone'!B8,Asta!$B$4:$B$47,0)),IF(COUNTIF(Asta!$D$4:$D$47,'_Supporto Listone'!B8)&gt;0,INDEX(Asta!$E$4:$E$47,MATCH('_Supporto Listone'!B8,Asta!$D$4:$D$47,0)),IF(COUNTIF(Asta!$F$4:$F$47,'_Supporto Listone'!B8)&gt;0,INDEX(Asta!$G$4:$G$47,MATCH('_Supporto Listone'!B8,Asta!$F$4:$F$47,0)),IF(COUNTIF(Asta!$H$4:$H$47,'_Supporto Listone'!B8)&gt;0,INDEX(Asta!$I$4:$I$47,MATCH('_Supporto Listone'!B8,Asta!$H$4:$H$47,0)),IF(COUNTIF(Asta!$J$4:$J$47,'_Supporto Listone'!B8)&gt;0,INDEX(Asta!$K$4:$K$47,MATCH('_Supporto Listone'!B8,Asta!$J$4:$J$47,0)),IF(COUNTIF(Asta!$L$4:$L$47,'_Supporto Listone'!B8)&gt;0,INDEX(Asta!$M$4:$M$47,MATCH('_Supporto Listone'!B8,Asta!$L$4:$L$47,0)),IF(COUNTIF(Asta!$N$4:$N$47,'_Supporto Listone'!B8)&gt;0,INDEX(Asta!$O$4:$O$47,MATCH('_Supporto Listone'!B8,Asta!$N$4:$N$47,0)),IF(COUNTIF(Asta!$P$4:$P$47,'_Supporto Listone'!B8)&gt;0,INDEX(Asta!$Q$4:$Q$47,MATCH('_Supporto Listone'!B8,Asta!$P$4:$P$47,0)),IF(COUNTIF(Asta!$R$4:$R$47,'_Supporto Listone'!B8)&gt;0,INDEX(Asta!$S$4:$S$47,MATCH('_Supporto Listone'!B8,Asta!$R$4:$R$47,0)),IF(COUNTIF(Asta!$T$4:$T$47,'_Supporto Listone'!B8)&gt;0,INDEX(Asta!$U$4:$U$47,MATCH('_Supporto Listone'!B8,Asta!$T$4:$T$47,0)),""))))))))))</x:f>
      </x:c>
    </x:row>
    <x:row r="9">
      <x:c r="A9" s="420" t="str">
        <x:f>IF($J9&lt;&gt;"",REGEXREPLACE(TO_TEXT('_Supporto Listone'!A9),"(.)","$1"&amp;UNICHAR(822)),'_Supporto Listone'!A9)</x:f>
        <x:v>P</x:v>
      </x:c>
      <x:c r="B9" s="421" t="str">
        <x:f>IF($J9&lt;&gt;"",REGEXREPLACE(TO_TEXT('_Supporto Listone'!B9),"(.)","$1"&amp;UNICHAR(822)),'_Supporto Listone'!B9)</x:f>
        <x:v>Carnesecchi</x:v>
      </x:c>
      <x:c r="C9" s="421" t="str">
        <x:f>IF($J9&lt;&gt;"",REGEXREPLACE(TO_TEXT('_Supporto Listone'!C9),"(.)","$1"&amp;UNICHAR(822)),'_Supporto Listone'!C9)</x:f>
        <x:v>Atalanta</x:v>
      </x:c>
      <x:c r="D9" s="421" t="str">
        <x:f>IF($J9&lt;&gt;"",REGEXREPLACE(TO_TEXT('_Supporto Listone'!D9),"(.)","$1"&amp;UNICHAR(822)),'_Supporto Listone'!D9)</x:f>
        <x:v>Por</x:v>
      </x:c>
      <x:c r="E9" s="421" t="str">
        <x:f>IF($J9&lt;&gt;"",REGEXREPLACE(TO_TEXT('_Supporto Listone'!E9),"(.)","$1"&amp;UNICHAR(822)),'_Supporto Listone'!E9)</x:f>
        <x:v>Titolare</x:v>
      </x:c>
      <x:c r="F9" s="457" t="n">
        <x:f>IF($J9&lt;&gt;"",REGEXREPLACE(TO_TEXT('_Supporto Listone'!F9),"(.)","$1"&amp;UNICHAR(822)),'_Supporto Listone'!F9)</x:f>
        <x:v>16</x:v>
      </x:c>
      <x:c r="G9" s="457" t="n">
        <x:f>IF($J9&lt;&gt;"",REGEXREPLACE(TO_TEXT('_Supporto Listone'!G9),"(.)","$1"&amp;UNICHAR(822)),'_Supporto Listone'!G9)</x:f>
        <x:v>52</x:v>
      </x:c>
      <x:c r="H9" s="457" t="n">
        <x:f>IF($J9&lt;&gt;"",REGEXREPLACE(TO_TEXT('_Supporto Listone'!H9),"(.)","$1"&amp;UNICHAR(822)),'_Supporto Listone'!H9)</x:f>
        <x:v>26</x:v>
      </x:c>
      <x:c r="I9" s="422"/>
      <x:c r="J9" s="423" t="str">
        <x:f>IF(COUNTIF(Asta!$B$4:$B$47,'_Supporto Listone'!B9)&gt;0,"Simone",IF(COUNTIF(Asta!$D$4:$D$47,'_Supporto Listone'!B9)&gt;0,"Giacomo",IF(COUNTIF(Asta!$F$4:$F$47,'_Supporto Listone'!B9)&gt;0,"Niko",IF(COUNTIF(Asta!$H$4:$H$47,'_Supporto Listone'!B9)&gt;0,"Quici",IF(COUNTIF(Asta!$J$4:$J$47,'_Supporto Listone'!B9)&gt;0,"Fratello Quici",IF(COUNTIF(Asta!$L$4:$L$47,'_Supporto Listone'!B9)&gt;0,"Nicolò",IF(COUNTIF(Asta!$N$4:$N$47,'_Supporto Listone'!B9)&gt;0,"Vi",IF(COUNTIF(Asta!$P$4:$P$47,'_Supporto Listone'!B9)&gt;0,"Lore",IF(COUNTIF(Asta!$R$4:$R$47,'_Supporto Listone'!B9)&gt;0,"Robbo",IF(COUNTIF(Asta!$T$4:$T$47,'_Supporto Listone'!B9)&gt;0,"Ale",""))))))))))</x:f>
      </x:c>
      <x:c r="K9" s="489" t="str">
        <x:f>IF(COUNTIF(Asta!$B$4:$B$47,'_Supporto Listone'!B9)&gt;0,INDEX(Asta!$C$4:$C$47,MATCH('_Supporto Listone'!B9,Asta!$B$4:$B$47,0)),IF(COUNTIF(Asta!$D$4:$D$47,'_Supporto Listone'!B9)&gt;0,INDEX(Asta!$E$4:$E$47,MATCH('_Supporto Listone'!B9,Asta!$D$4:$D$47,0)),IF(COUNTIF(Asta!$F$4:$F$47,'_Supporto Listone'!B9)&gt;0,INDEX(Asta!$G$4:$G$47,MATCH('_Supporto Listone'!B9,Asta!$F$4:$F$47,0)),IF(COUNTIF(Asta!$H$4:$H$47,'_Supporto Listone'!B9)&gt;0,INDEX(Asta!$I$4:$I$47,MATCH('_Supporto Listone'!B9,Asta!$H$4:$H$47,0)),IF(COUNTIF(Asta!$J$4:$J$47,'_Supporto Listone'!B9)&gt;0,INDEX(Asta!$K$4:$K$47,MATCH('_Supporto Listone'!B9,Asta!$J$4:$J$47,0)),IF(COUNTIF(Asta!$L$4:$L$47,'_Supporto Listone'!B9)&gt;0,INDEX(Asta!$M$4:$M$47,MATCH('_Supporto Listone'!B9,Asta!$L$4:$L$47,0)),IF(COUNTIF(Asta!$N$4:$N$47,'_Supporto Listone'!B9)&gt;0,INDEX(Asta!$O$4:$O$47,MATCH('_Supporto Listone'!B9,Asta!$N$4:$N$47,0)),IF(COUNTIF(Asta!$P$4:$P$47,'_Supporto Listone'!B9)&gt;0,INDEX(Asta!$Q$4:$Q$47,MATCH('_Supporto Listone'!B9,Asta!$P$4:$P$47,0)),IF(COUNTIF(Asta!$R$4:$R$47,'_Supporto Listone'!B9)&gt;0,INDEX(Asta!$S$4:$S$47,MATCH('_Supporto Listone'!B9,Asta!$R$4:$R$47,0)),IF(COUNTIF(Asta!$T$4:$T$47,'_Supporto Listone'!B9)&gt;0,INDEX(Asta!$U$4:$U$47,MATCH('_Supporto Listone'!B9,Asta!$T$4:$T$47,0)),""))))))))))</x:f>
      </x:c>
    </x:row>
    <x:row r="10">
      <x:c r="A10" s="420" t="str">
        <x:f>IF($J10&lt;&gt;"",REGEXREPLACE(TO_TEXT('_Supporto Listone'!A10),"(.)","$1"&amp;UNICHAR(822)),'_Supporto Listone'!A10)</x:f>
        <x:v>P</x:v>
      </x:c>
      <x:c r="B10" s="421" t="str">
        <x:f>IF($J10&lt;&gt;"",REGEXREPLACE(TO_TEXT('_Supporto Listone'!B10),"(.)","$1"&amp;UNICHAR(822)),'_Supporto Listone'!B10)</x:f>
        <x:v>Butez</x:v>
      </x:c>
      <x:c r="C10" s="421" t="str">
        <x:f>IF($J10&lt;&gt;"",REGEXREPLACE(TO_TEXT('_Supporto Listone'!C10),"(.)","$1"&amp;UNICHAR(822)),'_Supporto Listone'!C10)</x:f>
        <x:v>Como</x:v>
      </x:c>
      <x:c r="D10" s="421" t="str">
        <x:f>IF($J10&lt;&gt;"",REGEXREPLACE(TO_TEXT('_Supporto Listone'!D10),"(.)","$1"&amp;UNICHAR(822)),'_Supporto Listone'!D10)</x:f>
        <x:v>Por</x:v>
      </x:c>
      <x:c r="E10" s="421" t="str">
        <x:f>IF($J10&lt;&gt;"",REGEXREPLACE(TO_TEXT('_Supporto Listone'!E10),"(.)","$1"&amp;UNICHAR(822)),'_Supporto Listone'!E10)</x:f>
        <x:v>Titolare</x:v>
      </x:c>
      <x:c r="F10" s="457" t="n">
        <x:f>IF($J10&lt;&gt;"",REGEXREPLACE(TO_TEXT('_Supporto Listone'!F10),"(.)","$1"&amp;UNICHAR(822)),'_Supporto Listone'!F10)</x:f>
        <x:v>16</x:v>
      </x:c>
      <x:c r="G10" s="457" t="n">
        <x:f>IF($J10&lt;&gt;"",REGEXREPLACE(TO_TEXT('_Supporto Listone'!G10),"(.)","$1"&amp;UNICHAR(822)),'_Supporto Listone'!G10)</x:f>
        <x:v>56</x:v>
      </x:c>
      <x:c r="H10" s="457" t="n">
        <x:f>IF($J10&lt;&gt;"",REGEXREPLACE(TO_TEXT('_Supporto Listone'!H10),"(.)","$1"&amp;UNICHAR(822)),'_Supporto Listone'!H10)</x:f>
        <x:v>28</x:v>
      </x:c>
      <x:c r="I10" s="422"/>
      <x:c r="J10" s="423" t="str">
        <x:f>IF(COUNTIF(Asta!$B$4:$B$47,'_Supporto Listone'!B10)&gt;0,"Simone",IF(COUNTIF(Asta!$D$4:$D$47,'_Supporto Listone'!B10)&gt;0,"Giacomo",IF(COUNTIF(Asta!$F$4:$F$47,'_Supporto Listone'!B10)&gt;0,"Niko",IF(COUNTIF(Asta!$H$4:$H$47,'_Supporto Listone'!B10)&gt;0,"Quici",IF(COUNTIF(Asta!$J$4:$J$47,'_Supporto Listone'!B10)&gt;0,"Fratello Quici",IF(COUNTIF(Asta!$L$4:$L$47,'_Supporto Listone'!B10)&gt;0,"Nicolò",IF(COUNTIF(Asta!$N$4:$N$47,'_Supporto Listone'!B10)&gt;0,"Vi",IF(COUNTIF(Asta!$P$4:$P$47,'_Supporto Listone'!B10)&gt;0,"Lore",IF(COUNTIF(Asta!$R$4:$R$47,'_Supporto Listone'!B10)&gt;0,"Robbo",IF(COUNTIF(Asta!$T$4:$T$47,'_Supporto Listone'!B10)&gt;0,"Ale",""))))))))))</x:f>
      </x:c>
      <x:c r="K10" s="489" t="str">
        <x:f>IF(COUNTIF(Asta!$B$4:$B$47,'_Supporto Listone'!B10)&gt;0,INDEX(Asta!$C$4:$C$47,MATCH('_Supporto Listone'!B10,Asta!$B$4:$B$47,0)),IF(COUNTIF(Asta!$D$4:$D$47,'_Supporto Listone'!B10)&gt;0,INDEX(Asta!$E$4:$E$47,MATCH('_Supporto Listone'!B10,Asta!$D$4:$D$47,0)),IF(COUNTIF(Asta!$F$4:$F$47,'_Supporto Listone'!B10)&gt;0,INDEX(Asta!$G$4:$G$47,MATCH('_Supporto Listone'!B10,Asta!$F$4:$F$47,0)),IF(COUNTIF(Asta!$H$4:$H$47,'_Supporto Listone'!B10)&gt;0,INDEX(Asta!$I$4:$I$47,MATCH('_Supporto Listone'!B10,Asta!$H$4:$H$47,0)),IF(COUNTIF(Asta!$J$4:$J$47,'_Supporto Listone'!B10)&gt;0,INDEX(Asta!$K$4:$K$47,MATCH('_Supporto Listone'!B10,Asta!$J$4:$J$47,0)),IF(COUNTIF(Asta!$L$4:$L$47,'_Supporto Listone'!B10)&gt;0,INDEX(Asta!$M$4:$M$47,MATCH('_Supporto Listone'!B10,Asta!$L$4:$L$47,0)),IF(COUNTIF(Asta!$N$4:$N$47,'_Supporto Listone'!B10)&gt;0,INDEX(Asta!$O$4:$O$47,MATCH('_Supporto Listone'!B10,Asta!$N$4:$N$47,0)),IF(COUNTIF(Asta!$P$4:$P$47,'_Supporto Listone'!B10)&gt;0,INDEX(Asta!$Q$4:$Q$47,MATCH('_Supporto Listone'!B10,Asta!$P$4:$P$47,0)),IF(COUNTIF(Asta!$R$4:$R$47,'_Supporto Listone'!B10)&gt;0,INDEX(Asta!$S$4:$S$47,MATCH('_Supporto Listone'!B10,Asta!$R$4:$R$47,0)),IF(COUNTIF(Asta!$T$4:$T$47,'_Supporto Listone'!B10)&gt;0,INDEX(Asta!$U$4:$U$47,MATCH('_Supporto Listone'!B10,Asta!$T$4:$T$47,0)),""))))))))))</x:f>
      </x:c>
    </x:row>
    <x:row r="11">
      <x:c r="A11" s="420" t="str">
        <x:f>IF($J11&lt;&gt;"",REGEXREPLACE(TO_TEXT('_Supporto Listone'!A11),"(.)","$1"&amp;UNICHAR(822)),'_Supporto Listone'!A11)</x:f>
        <x:v>P</x:v>
      </x:c>
      <x:c r="B11" s="421" t="str">
        <x:f>IF($J11&lt;&gt;"",REGEXREPLACE(TO_TEXT('_Supporto Listone'!B11),"(.)","$1"&amp;UNICHAR(822)),'_Supporto Listone'!B11)</x:f>
        <x:v>Maignan</x:v>
      </x:c>
      <x:c r="C11" s="421" t="str">
        <x:f>IF($J11&lt;&gt;"",REGEXREPLACE(TO_TEXT('_Supporto Listone'!C11),"(.)","$1"&amp;UNICHAR(822)),'_Supporto Listone'!C11)</x:f>
        <x:v>Milan</x:v>
      </x:c>
      <x:c r="D11" s="421" t="str">
        <x:f>IF($J11&lt;&gt;"",REGEXREPLACE(TO_TEXT('_Supporto Listone'!D11),"(.)","$1"&amp;UNICHAR(822)),'_Supporto Listone'!D11)</x:f>
        <x:v>Por</x:v>
      </x:c>
      <x:c r="E11" s="421" t="str">
        <x:f>IF($J11&lt;&gt;"",REGEXREPLACE(TO_TEXT('_Supporto Listone'!E11),"(.)","$1"&amp;UNICHAR(822)),'_Supporto Listone'!E11)</x:f>
        <x:v>Titolare</x:v>
      </x:c>
      <x:c r="F11" s="457" t="n">
        <x:f>IF($J11&lt;&gt;"",REGEXREPLACE(TO_TEXT('_Supporto Listone'!F11),"(.)","$1"&amp;UNICHAR(822)),'_Supporto Listone'!F11)</x:f>
        <x:v>15</x:v>
      </x:c>
      <x:c r="G11" s="457" t="n">
        <x:f>IF($J11&lt;&gt;"",REGEXREPLACE(TO_TEXT('_Supporto Listone'!G11),"(.)","$1"&amp;UNICHAR(822)),'_Supporto Listone'!G11)</x:f>
        <x:v>50</x:v>
      </x:c>
      <x:c r="H11" s="457" t="n">
        <x:f>IF($J11&lt;&gt;"",REGEXREPLACE(TO_TEXT('_Supporto Listone'!H11),"(.)","$1"&amp;UNICHAR(822)),'_Supporto Listone'!H11)</x:f>
        <x:v>25</x:v>
      </x:c>
      <x:c r="I11" s="422"/>
      <x:c r="J11" s="423" t="str">
        <x:f>IF(COUNTIF(Asta!$B$4:$B$47,'_Supporto Listone'!B11)&gt;0,"Simone",IF(COUNTIF(Asta!$D$4:$D$47,'_Supporto Listone'!B11)&gt;0,"Giacomo",IF(COUNTIF(Asta!$F$4:$F$47,'_Supporto Listone'!B11)&gt;0,"Niko",IF(COUNTIF(Asta!$H$4:$H$47,'_Supporto Listone'!B11)&gt;0,"Quici",IF(COUNTIF(Asta!$J$4:$J$47,'_Supporto Listone'!B11)&gt;0,"Fratello Quici",IF(COUNTIF(Asta!$L$4:$L$47,'_Supporto Listone'!B11)&gt;0,"Nicolò",IF(COUNTIF(Asta!$N$4:$N$47,'_Supporto Listone'!B11)&gt;0,"Vi",IF(COUNTIF(Asta!$P$4:$P$47,'_Supporto Listone'!B11)&gt;0,"Lore",IF(COUNTIF(Asta!$R$4:$R$47,'_Supporto Listone'!B11)&gt;0,"Robbo",IF(COUNTIF(Asta!$T$4:$T$47,'_Supporto Listone'!B11)&gt;0,"Ale",""))))))))))</x:f>
      </x:c>
      <x:c r="K11" s="489" t="str">
        <x:f>IF(COUNTIF(Asta!$B$4:$B$47,'_Supporto Listone'!B11)&gt;0,INDEX(Asta!$C$4:$C$47,MATCH('_Supporto Listone'!B11,Asta!$B$4:$B$47,0)),IF(COUNTIF(Asta!$D$4:$D$47,'_Supporto Listone'!B11)&gt;0,INDEX(Asta!$E$4:$E$47,MATCH('_Supporto Listone'!B11,Asta!$D$4:$D$47,0)),IF(COUNTIF(Asta!$F$4:$F$47,'_Supporto Listone'!B11)&gt;0,INDEX(Asta!$G$4:$G$47,MATCH('_Supporto Listone'!B11,Asta!$F$4:$F$47,0)),IF(COUNTIF(Asta!$H$4:$H$47,'_Supporto Listone'!B11)&gt;0,INDEX(Asta!$I$4:$I$47,MATCH('_Supporto Listone'!B11,Asta!$H$4:$H$47,0)),IF(COUNTIF(Asta!$J$4:$J$47,'_Supporto Listone'!B11)&gt;0,INDEX(Asta!$K$4:$K$47,MATCH('_Supporto Listone'!B11,Asta!$J$4:$J$47,0)),IF(COUNTIF(Asta!$L$4:$L$47,'_Supporto Listone'!B11)&gt;0,INDEX(Asta!$M$4:$M$47,MATCH('_Supporto Listone'!B11,Asta!$L$4:$L$47,0)),IF(COUNTIF(Asta!$N$4:$N$47,'_Supporto Listone'!B11)&gt;0,INDEX(Asta!$O$4:$O$47,MATCH('_Supporto Listone'!B11,Asta!$N$4:$N$47,0)),IF(COUNTIF(Asta!$P$4:$P$47,'_Supporto Listone'!B11)&gt;0,INDEX(Asta!$Q$4:$Q$47,MATCH('_Supporto Listone'!B11,Asta!$P$4:$P$47,0)),IF(COUNTIF(Asta!$R$4:$R$47,'_Supporto Listone'!B11)&gt;0,INDEX(Asta!$S$4:$S$47,MATCH('_Supporto Listone'!B11,Asta!$R$4:$R$47,0)),IF(COUNTIF(Asta!$T$4:$T$47,'_Supporto Listone'!B11)&gt;0,INDEX(Asta!$U$4:$U$47,MATCH('_Supporto Listone'!B11,Asta!$T$4:$T$47,0)),""))))))))))</x:f>
      </x:c>
    </x:row>
    <x:row r="12">
      <x:c r="A12" s="420" t="str">
        <x:f>IF($J12&lt;&gt;"",REGEXREPLACE(TO_TEXT('_Supporto Listone'!A12),"(.)","$1"&amp;UNICHAR(822)),'_Supporto Listone'!A12)</x:f>
        <x:v>P</x:v>
      </x:c>
      <x:c r="B12" s="421" t="str">
        <x:f>IF($J12&lt;&gt;"",REGEXREPLACE(TO_TEXT('_Supporto Listone'!B12),"(.)","$1"&amp;UNICHAR(822)),'_Supporto Listone'!B12)</x:f>
        <x:v>De Gea</x:v>
      </x:c>
      <x:c r="C12" s="421" t="str">
        <x:f>IF($J12&lt;&gt;"",REGEXREPLACE(TO_TEXT('_Supporto Listone'!C12),"(.)","$1"&amp;UNICHAR(822)),'_Supporto Listone'!C12)</x:f>
        <x:v>Fiorentina</x:v>
      </x:c>
      <x:c r="D12" s="421" t="str">
        <x:f>IF($J12&lt;&gt;"",REGEXREPLACE(TO_TEXT('_Supporto Listone'!D12),"(.)","$1"&amp;UNICHAR(822)),'_Supporto Listone'!D12)</x:f>
        <x:v>Por</x:v>
      </x:c>
      <x:c r="E12" s="421" t="str">
        <x:f>IF($J12&lt;&gt;"",REGEXREPLACE(TO_TEXT('_Supporto Listone'!E12),"(.)","$1"&amp;UNICHAR(822)),'_Supporto Listone'!E12)</x:f>
        <x:v>Titolare</x:v>
      </x:c>
      <x:c r="F12" s="457" t="n">
        <x:f>IF($J12&lt;&gt;"",REGEXREPLACE(TO_TEXT('_Supporto Listone'!F12),"(.)","$1"&amp;UNICHAR(822)),'_Supporto Listone'!F12)</x:f>
        <x:v>13</x:v>
      </x:c>
      <x:c r="G12" s="457" t="n">
        <x:f>IF($J12&lt;&gt;"",REGEXREPLACE(TO_TEXT('_Supporto Listone'!G12),"(.)","$1"&amp;UNICHAR(822)),'_Supporto Listone'!G12)</x:f>
        <x:v>45</x:v>
      </x:c>
      <x:c r="H12" s="457" t="n">
        <x:f>IF($J12&lt;&gt;"",REGEXREPLACE(TO_TEXT('_Supporto Listone'!H12),"(.)","$1"&amp;UNICHAR(822)),'_Supporto Listone'!H12)</x:f>
        <x:v>23</x:v>
      </x:c>
      <x:c r="I12" s="422"/>
      <x:c r="J12" s="423" t="str">
        <x:f>IF(COUNTIF(Asta!$B$4:$B$47,'_Supporto Listone'!B12)&gt;0,"Simone",IF(COUNTIF(Asta!$D$4:$D$47,'_Supporto Listone'!B12)&gt;0,"Giacomo",IF(COUNTIF(Asta!$F$4:$F$47,'_Supporto Listone'!B12)&gt;0,"Niko",IF(COUNTIF(Asta!$H$4:$H$47,'_Supporto Listone'!B12)&gt;0,"Quici",IF(COUNTIF(Asta!$J$4:$J$47,'_Supporto Listone'!B12)&gt;0,"Fratello Quici",IF(COUNTIF(Asta!$L$4:$L$47,'_Supporto Listone'!B12)&gt;0,"Nicolò",IF(COUNTIF(Asta!$N$4:$N$47,'_Supporto Listone'!B12)&gt;0,"Vi",IF(COUNTIF(Asta!$P$4:$P$47,'_Supporto Listone'!B12)&gt;0,"Lore",IF(COUNTIF(Asta!$R$4:$R$47,'_Supporto Listone'!B12)&gt;0,"Robbo",IF(COUNTIF(Asta!$T$4:$T$47,'_Supporto Listone'!B12)&gt;0,"Ale",""))))))))))</x:f>
      </x:c>
      <x:c r="K12" s="489" t="str">
        <x:f>IF(COUNTIF(Asta!$B$4:$B$47,'_Supporto Listone'!B12)&gt;0,INDEX(Asta!$C$4:$C$47,MATCH('_Supporto Listone'!B12,Asta!$B$4:$B$47,0)),IF(COUNTIF(Asta!$D$4:$D$47,'_Supporto Listone'!B12)&gt;0,INDEX(Asta!$E$4:$E$47,MATCH('_Supporto Listone'!B12,Asta!$D$4:$D$47,0)),IF(COUNTIF(Asta!$F$4:$F$47,'_Supporto Listone'!B12)&gt;0,INDEX(Asta!$G$4:$G$47,MATCH('_Supporto Listone'!B12,Asta!$F$4:$F$47,0)),IF(COUNTIF(Asta!$H$4:$H$47,'_Supporto Listone'!B12)&gt;0,INDEX(Asta!$I$4:$I$47,MATCH('_Supporto Listone'!B12,Asta!$H$4:$H$47,0)),IF(COUNTIF(Asta!$J$4:$J$47,'_Supporto Listone'!B12)&gt;0,INDEX(Asta!$K$4:$K$47,MATCH('_Supporto Listone'!B12,Asta!$J$4:$J$47,0)),IF(COUNTIF(Asta!$L$4:$L$47,'_Supporto Listone'!B12)&gt;0,INDEX(Asta!$M$4:$M$47,MATCH('_Supporto Listone'!B12,Asta!$L$4:$L$47,0)),IF(COUNTIF(Asta!$N$4:$N$47,'_Supporto Listone'!B12)&gt;0,INDEX(Asta!$O$4:$O$47,MATCH('_Supporto Listone'!B12,Asta!$N$4:$N$47,0)),IF(COUNTIF(Asta!$P$4:$P$47,'_Supporto Listone'!B12)&gt;0,INDEX(Asta!$Q$4:$Q$47,MATCH('_Supporto Listone'!B12,Asta!$P$4:$P$47,0)),IF(COUNTIF(Asta!$R$4:$R$47,'_Supporto Listone'!B12)&gt;0,INDEX(Asta!$S$4:$S$47,MATCH('_Supporto Listone'!B12,Asta!$R$4:$R$47,0)),IF(COUNTIF(Asta!$T$4:$T$47,'_Supporto Listone'!B12)&gt;0,INDEX(Asta!$U$4:$U$47,MATCH('_Supporto Listone'!B12,Asta!$T$4:$T$47,0)),""))))))))))</x:f>
      </x:c>
    </x:row>
    <x:row r="13">
      <x:c r="A13" s="420" t="str">
        <x:f>IF($J13&lt;&gt;"",REGEXREPLACE(TO_TEXT('_Supporto Listone'!A13),"(.)","$1"&amp;UNICHAR(822)),'_Supporto Listone'!A13)</x:f>
        <x:v>P</x:v>
      </x:c>
      <x:c r="B13" s="421" t="str">
        <x:f>IF($J13&lt;&gt;"",REGEXREPLACE(TO_TEXT('_Supporto Listone'!B13),"(.)","$1"&amp;UNICHAR(822)),'_Supporto Listone'!B13)</x:f>
        <x:v>Meret</x:v>
      </x:c>
      <x:c r="C13" s="421" t="str">
        <x:f>IF($J13&lt;&gt;"",REGEXREPLACE(TO_TEXT('_Supporto Listone'!C13),"(.)","$1"&amp;UNICHAR(822)),'_Supporto Listone'!C13)</x:f>
        <x:v>Napoli</x:v>
      </x:c>
      <x:c r="D13" s="421" t="str">
        <x:f>IF($J13&lt;&gt;"",REGEXREPLACE(TO_TEXT('_Supporto Listone'!D13),"(.)","$1"&amp;UNICHAR(822)),'_Supporto Listone'!D13)</x:f>
        <x:v>Por</x:v>
      </x:c>
      <x:c r="E13" s="421" t="str">
        <x:f>IF($J13&lt;&gt;"",REGEXREPLACE(TO_TEXT('_Supporto Listone'!E13),"(.)","$1"&amp;UNICHAR(822)),'_Supporto Listone'!E13)</x:f>
        <x:v>Titolare</x:v>
      </x:c>
      <x:c r="F13" s="457" t="n">
        <x:f>IF($J13&lt;&gt;"",REGEXREPLACE(TO_TEXT('_Supporto Listone'!F13),"(.)","$1"&amp;UNICHAR(822)),'_Supporto Listone'!F13)</x:f>
        <x:v>11</x:v>
      </x:c>
      <x:c r="G13" s="457" t="n">
        <x:f>IF($J13&lt;&gt;"",REGEXREPLACE(TO_TEXT('_Supporto Listone'!G13),"(.)","$1"&amp;UNICHAR(822)),'_Supporto Listone'!G13)</x:f>
        <x:v>45</x:v>
      </x:c>
      <x:c r="H13" s="457" t="n">
        <x:f>IF($J13&lt;&gt;"",REGEXREPLACE(TO_TEXT('_Supporto Listone'!H13),"(.)","$1"&amp;UNICHAR(822)),'_Supporto Listone'!H13)</x:f>
        <x:v>23</x:v>
      </x:c>
      <x:c r="I13" s="422"/>
      <x:c r="J13" s="423" t="str">
        <x:f>IF(COUNTIF(Asta!$B$4:$B$47,'_Supporto Listone'!B13)&gt;0,"Simone",IF(COUNTIF(Asta!$D$4:$D$47,'_Supporto Listone'!B13)&gt;0,"Giacomo",IF(COUNTIF(Asta!$F$4:$F$47,'_Supporto Listone'!B13)&gt;0,"Niko",IF(COUNTIF(Asta!$H$4:$H$47,'_Supporto Listone'!B13)&gt;0,"Quici",IF(COUNTIF(Asta!$J$4:$J$47,'_Supporto Listone'!B13)&gt;0,"Fratello Quici",IF(COUNTIF(Asta!$L$4:$L$47,'_Supporto Listone'!B13)&gt;0,"Nicolò",IF(COUNTIF(Asta!$N$4:$N$47,'_Supporto Listone'!B13)&gt;0,"Vi",IF(COUNTIF(Asta!$P$4:$P$47,'_Supporto Listone'!B13)&gt;0,"Lore",IF(COUNTIF(Asta!$R$4:$R$47,'_Supporto Listone'!B13)&gt;0,"Robbo",IF(COUNTIF(Asta!$T$4:$T$47,'_Supporto Listone'!B13)&gt;0,"Ale",""))))))))))</x:f>
      </x:c>
      <x:c r="K13" s="489" t="str">
        <x:f>IF(COUNTIF(Asta!$B$4:$B$47,'_Supporto Listone'!B13)&gt;0,INDEX(Asta!$C$4:$C$47,MATCH('_Supporto Listone'!B13,Asta!$B$4:$B$47,0)),IF(COUNTIF(Asta!$D$4:$D$47,'_Supporto Listone'!B13)&gt;0,INDEX(Asta!$E$4:$E$47,MATCH('_Supporto Listone'!B13,Asta!$D$4:$D$47,0)),IF(COUNTIF(Asta!$F$4:$F$47,'_Supporto Listone'!B13)&gt;0,INDEX(Asta!$G$4:$G$47,MATCH('_Supporto Listone'!B13,Asta!$F$4:$F$47,0)),IF(COUNTIF(Asta!$H$4:$H$47,'_Supporto Listone'!B13)&gt;0,INDEX(Asta!$I$4:$I$47,MATCH('_Supporto Listone'!B13,Asta!$H$4:$H$47,0)),IF(COUNTIF(Asta!$J$4:$J$47,'_Supporto Listone'!B13)&gt;0,INDEX(Asta!$K$4:$K$47,MATCH('_Supporto Listone'!B13,Asta!$J$4:$J$47,0)),IF(COUNTIF(Asta!$L$4:$L$47,'_Supporto Listone'!B13)&gt;0,INDEX(Asta!$M$4:$M$47,MATCH('_Supporto Listone'!B13,Asta!$L$4:$L$47,0)),IF(COUNTIF(Asta!$N$4:$N$47,'_Supporto Listone'!B13)&gt;0,INDEX(Asta!$O$4:$O$47,MATCH('_Supporto Listone'!B13,Asta!$N$4:$N$47,0)),IF(COUNTIF(Asta!$P$4:$P$47,'_Supporto Listone'!B13)&gt;0,INDEX(Asta!$Q$4:$Q$47,MATCH('_Supporto Listone'!B13,Asta!$P$4:$P$47,0)),IF(COUNTIF(Asta!$R$4:$R$47,'_Supporto Listone'!B13)&gt;0,INDEX(Asta!$S$4:$S$47,MATCH('_Supporto Listone'!B13,Asta!$R$4:$R$47,0)),IF(COUNTIF(Asta!$T$4:$T$47,'_Supporto Listone'!B13)&gt;0,INDEX(Asta!$U$4:$U$47,MATCH('_Supporto Listone'!B13,Asta!$T$4:$T$47,0)),""))))))))))</x:f>
      </x:c>
    </x:row>
    <x:row r="14">
      <x:c r="A14" s="425" t="str">
        <x:f>IF($J14&lt;&gt;"",REGEXREPLACE(TO_TEXT('_Supporto Listone'!A14),"(.)","$1"&amp;UNICHAR(822)),'_Supporto Listone'!A14)</x:f>
        <x:v>P</x:v>
      </x:c>
      <x:c r="B14" s="423" t="str">
        <x:f>IF($J14&lt;&gt;"",REGEXREPLACE(TO_TEXT('_Supporto Listone'!B14),"(.)","$1"&amp;UNICHAR(822)),'_Supporto Listone'!B14)</x:f>
        <x:v>Skorupski</x:v>
      </x:c>
      <x:c r="C14" s="423" t="str">
        <x:f>IF($J14&lt;&gt;"",REGEXREPLACE(TO_TEXT('_Supporto Listone'!C14),"(.)","$1"&amp;UNICHAR(822)),'_Supporto Listone'!C14)</x:f>
        <x:v>Bologna</x:v>
      </x:c>
      <x:c r="D14" s="423" t="str">
        <x:f>IF($J14&lt;&gt;"",REGEXREPLACE(TO_TEXT('_Supporto Listone'!D14),"(.)","$1"&amp;UNICHAR(822)),'_Supporto Listone'!D14)</x:f>
        <x:v>Por</x:v>
      </x:c>
      <x:c r="E14" s="423" t="str">
        <x:f>IF($J14&lt;&gt;"",REGEXREPLACE(TO_TEXT('_Supporto Listone'!E14),"(.)","$1"&amp;UNICHAR(822)),'_Supporto Listone'!E14)</x:f>
        <x:v>Titolare</x:v>
      </x:c>
      <x:c r="F14" s="458" t="n">
        <x:f>IF($J14&lt;&gt;"",REGEXREPLACE(TO_TEXT('_Supporto Listone'!F14),"(.)","$1"&amp;UNICHAR(822)),'_Supporto Listone'!F14)</x:f>
        <x:v>10</x:v>
      </x:c>
      <x:c r="G14" s="458" t="n">
        <x:f>IF($J14&lt;&gt;"",REGEXREPLACE(TO_TEXT('_Supporto Listone'!G14),"(.)","$1"&amp;UNICHAR(822)),'_Supporto Listone'!G14)</x:f>
        <x:v>37</x:v>
      </x:c>
      <x:c r="H14" s="458" t="n">
        <x:f>IF($J14&lt;&gt;"",REGEXREPLACE(TO_TEXT('_Supporto Listone'!H14),"(.)","$1"&amp;UNICHAR(822)),'_Supporto Listone'!H14)</x:f>
        <x:v>19</x:v>
      </x:c>
      <x:c r="I14" s="422"/>
      <x:c r="J14" s="423" t="str">
        <x:f>IF(COUNTIF(Asta!$B$4:$B$47,'_Supporto Listone'!B14)&gt;0,"Simone",IF(COUNTIF(Asta!$D$4:$D$47,'_Supporto Listone'!B14)&gt;0,"Giacomo",IF(COUNTIF(Asta!$F$4:$F$47,'_Supporto Listone'!B14)&gt;0,"Niko",IF(COUNTIF(Asta!$H$4:$H$47,'_Supporto Listone'!B14)&gt;0,"Quici",IF(COUNTIF(Asta!$J$4:$J$47,'_Supporto Listone'!B14)&gt;0,"Fratello Quici",IF(COUNTIF(Asta!$L$4:$L$47,'_Supporto Listone'!B14)&gt;0,"Nicolò",IF(COUNTIF(Asta!$N$4:$N$47,'_Supporto Listone'!B14)&gt;0,"Vi",IF(COUNTIF(Asta!$P$4:$P$47,'_Supporto Listone'!B14)&gt;0,"Lore",IF(COUNTIF(Asta!$R$4:$R$47,'_Supporto Listone'!B14)&gt;0,"Robbo",IF(COUNTIF(Asta!$T$4:$T$47,'_Supporto Listone'!B14)&gt;0,"Ale",""))))))))))</x:f>
      </x:c>
      <x:c r="K14" s="489" t="str">
        <x:f>IF(COUNTIF(Asta!$B$4:$B$47,'_Supporto Listone'!B14)&gt;0,INDEX(Asta!$C$4:$C$47,MATCH('_Supporto Listone'!B14,Asta!$B$4:$B$47,0)),IF(COUNTIF(Asta!$D$4:$D$47,'_Supporto Listone'!B14)&gt;0,INDEX(Asta!$E$4:$E$47,MATCH('_Supporto Listone'!B14,Asta!$D$4:$D$47,0)),IF(COUNTIF(Asta!$F$4:$F$47,'_Supporto Listone'!B14)&gt;0,INDEX(Asta!$G$4:$G$47,MATCH('_Supporto Listone'!B14,Asta!$F$4:$F$47,0)),IF(COUNTIF(Asta!$H$4:$H$47,'_Supporto Listone'!B14)&gt;0,INDEX(Asta!$I$4:$I$47,MATCH('_Supporto Listone'!B14,Asta!$H$4:$H$47,0)),IF(COUNTIF(Asta!$J$4:$J$47,'_Supporto Listone'!B14)&gt;0,INDEX(Asta!$K$4:$K$47,MATCH('_Supporto Listone'!B14,Asta!$J$4:$J$47,0)),IF(COUNTIF(Asta!$L$4:$L$47,'_Supporto Listone'!B14)&gt;0,INDEX(Asta!$M$4:$M$47,MATCH('_Supporto Listone'!B14,Asta!$L$4:$L$47,0)),IF(COUNTIF(Asta!$N$4:$N$47,'_Supporto Listone'!B14)&gt;0,INDEX(Asta!$O$4:$O$47,MATCH('_Supporto Listone'!B14,Asta!$N$4:$N$47,0)),IF(COUNTIF(Asta!$P$4:$P$47,'_Supporto Listone'!B14)&gt;0,INDEX(Asta!$Q$4:$Q$47,MATCH('_Supporto Listone'!B14,Asta!$P$4:$P$47,0)),IF(COUNTIF(Asta!$R$4:$R$47,'_Supporto Listone'!B14)&gt;0,INDEX(Asta!$S$4:$S$47,MATCH('_Supporto Listone'!B14,Asta!$R$4:$R$47,0)),IF(COUNTIF(Asta!$T$4:$T$47,'_Supporto Listone'!B14)&gt;0,INDEX(Asta!$U$4:$U$47,MATCH('_Supporto Listone'!B14,Asta!$T$4:$T$47,0)),""))))))))))</x:f>
      </x:c>
    </x:row>
    <x:row r="15">
      <x:c r="A15" s="425" t="str">
        <x:f>IF($J15&lt;&gt;"",REGEXREPLACE(TO_TEXT('_Supporto Listone'!A15),"(.)","$1"&amp;UNICHAR(822)),'_Supporto Listone'!A15)</x:f>
        <x:v>P</x:v>
      </x:c>
      <x:c r="B15" s="423" t="str">
        <x:f>IF($J15&lt;&gt;"",REGEXREPLACE(TO_TEXT('_Supporto Listone'!B15),"(.)","$1"&amp;UNICHAR(822)),'_Supporto Listone'!B15)</x:f>
        <x:v>Caprile</x:v>
      </x:c>
      <x:c r="C15" s="423" t="str">
        <x:f>IF($J15&lt;&gt;"",REGEXREPLACE(TO_TEXT('_Supporto Listone'!C15),"(.)","$1"&amp;UNICHAR(822)),'_Supporto Listone'!C15)</x:f>
        <x:v>Cagliari</x:v>
      </x:c>
      <x:c r="D15" s="423" t="str">
        <x:f>IF($J15&lt;&gt;"",REGEXREPLACE(TO_TEXT('_Supporto Listone'!D15),"(.)","$1"&amp;UNICHAR(822)),'_Supporto Listone'!D15)</x:f>
        <x:v>Por</x:v>
      </x:c>
      <x:c r="E15" s="423" t="str">
        <x:f>IF($J15&lt;&gt;"",REGEXREPLACE(TO_TEXT('_Supporto Listone'!E15),"(.)","$1"&amp;UNICHAR(822)),'_Supporto Listone'!E15)</x:f>
        <x:v>Titolare</x:v>
      </x:c>
      <x:c r="F15" s="458" t="n">
        <x:f>IF($J15&lt;&gt;"",REGEXREPLACE(TO_TEXT('_Supporto Listone'!F15),"(.)","$1"&amp;UNICHAR(822)),'_Supporto Listone'!F15)</x:f>
        <x:v>9</x:v>
      </x:c>
      <x:c r="G15" s="458" t="n">
        <x:f>IF($J15&lt;&gt;"",REGEXREPLACE(TO_TEXT('_Supporto Listone'!G15),"(.)","$1"&amp;UNICHAR(822)),'_Supporto Listone'!G15)</x:f>
        <x:v>27</x:v>
      </x:c>
      <x:c r="H15" s="458" t="n">
        <x:f>IF($J15&lt;&gt;"",REGEXREPLACE(TO_TEXT('_Supporto Listone'!H15),"(.)","$1"&amp;UNICHAR(822)),'_Supporto Listone'!H15)</x:f>
        <x:v>14</x:v>
      </x:c>
      <x:c r="I15" s="422"/>
      <x:c r="J15" s="423" t="str">
        <x:f>IF(COUNTIF(Asta!$B$4:$B$47,'_Supporto Listone'!B15)&gt;0,"Simone",IF(COUNTIF(Asta!$D$4:$D$47,'_Supporto Listone'!B15)&gt;0,"Giacomo",IF(COUNTIF(Asta!$F$4:$F$47,'_Supporto Listone'!B15)&gt;0,"Niko",IF(COUNTIF(Asta!$H$4:$H$47,'_Supporto Listone'!B15)&gt;0,"Quici",IF(COUNTIF(Asta!$J$4:$J$47,'_Supporto Listone'!B15)&gt;0,"Fratello Quici",IF(COUNTIF(Asta!$L$4:$L$47,'_Supporto Listone'!B15)&gt;0,"Nicolò",IF(COUNTIF(Asta!$N$4:$N$47,'_Supporto Listone'!B15)&gt;0,"Vi",IF(COUNTIF(Asta!$P$4:$P$47,'_Supporto Listone'!B15)&gt;0,"Lore",IF(COUNTIF(Asta!$R$4:$R$47,'_Supporto Listone'!B15)&gt;0,"Robbo",IF(COUNTIF(Asta!$T$4:$T$47,'_Supporto Listone'!B15)&gt;0,"Ale",""))))))))))</x:f>
      </x:c>
      <x:c r="K15" s="489" t="str">
        <x:f>IF(COUNTIF(Asta!$B$4:$B$47,'_Supporto Listone'!B15)&gt;0,INDEX(Asta!$C$4:$C$47,MATCH('_Supporto Listone'!B15,Asta!$B$4:$B$47,0)),IF(COUNTIF(Asta!$D$4:$D$47,'_Supporto Listone'!B15)&gt;0,INDEX(Asta!$E$4:$E$47,MATCH('_Supporto Listone'!B15,Asta!$D$4:$D$47,0)),IF(COUNTIF(Asta!$F$4:$F$47,'_Supporto Listone'!B15)&gt;0,INDEX(Asta!$G$4:$G$47,MATCH('_Supporto Listone'!B15,Asta!$F$4:$F$47,0)),IF(COUNTIF(Asta!$H$4:$H$47,'_Supporto Listone'!B15)&gt;0,INDEX(Asta!$I$4:$I$47,MATCH('_Supporto Listone'!B15,Asta!$H$4:$H$47,0)),IF(COUNTIF(Asta!$J$4:$J$47,'_Supporto Listone'!B15)&gt;0,INDEX(Asta!$K$4:$K$47,MATCH('_Supporto Listone'!B15,Asta!$J$4:$J$47,0)),IF(COUNTIF(Asta!$L$4:$L$47,'_Supporto Listone'!B15)&gt;0,INDEX(Asta!$M$4:$M$47,MATCH('_Supporto Listone'!B15,Asta!$L$4:$L$47,0)),IF(COUNTIF(Asta!$N$4:$N$47,'_Supporto Listone'!B15)&gt;0,INDEX(Asta!$O$4:$O$47,MATCH('_Supporto Listone'!B15,Asta!$N$4:$N$47,0)),IF(COUNTIF(Asta!$P$4:$P$47,'_Supporto Listone'!B15)&gt;0,INDEX(Asta!$Q$4:$Q$47,MATCH('_Supporto Listone'!B15,Asta!$P$4:$P$47,0)),IF(COUNTIF(Asta!$R$4:$R$47,'_Supporto Listone'!B15)&gt;0,INDEX(Asta!$S$4:$S$47,MATCH('_Supporto Listone'!B15,Asta!$R$4:$R$47,0)),IF(COUNTIF(Asta!$T$4:$T$47,'_Supporto Listone'!B15)&gt;0,INDEX(Asta!$U$4:$U$47,MATCH('_Supporto Listone'!B15,Asta!$T$4:$T$47,0)),""))))))))))</x:f>
      </x:c>
    </x:row>
    <x:row r="16">
      <x:c r="A16" s="425" t="str">
        <x:f>IF($J16&lt;&gt;"",REGEXREPLACE(TO_TEXT('_Supporto Listone'!A16),"(.)","$1"&amp;UNICHAR(822)),'_Supporto Listone'!A16)</x:f>
        <x:v>P</x:v>
      </x:c>
      <x:c r="B16" s="423" t="str">
        <x:f>IF($J16&lt;&gt;"",REGEXREPLACE(TO_TEXT('_Supporto Listone'!B16),"(.)","$1"&amp;UNICHAR(822)),'_Supporto Listone'!B16)</x:f>
        <x:v>Di Gregorio</x:v>
      </x:c>
      <x:c r="C16" s="423" t="str">
        <x:f>IF($J16&lt;&gt;"",REGEXREPLACE(TO_TEXT('_Supporto Listone'!C16),"(.)","$1"&amp;UNICHAR(822)),'_Supporto Listone'!C16)</x:f>
        <x:v>Juventus</x:v>
      </x:c>
      <x:c r="D16" s="423" t="str">
        <x:f>IF($J16&lt;&gt;"",REGEXREPLACE(TO_TEXT('_Supporto Listone'!D16),"(.)","$1"&amp;UNICHAR(822)),'_Supporto Listone'!D16)</x:f>
        <x:v>Por</x:v>
      </x:c>
      <x:c r="E16" s="423" t="str">
        <x:f>IF($J16&lt;&gt;"",REGEXREPLACE(TO_TEXT('_Supporto Listone'!E16),"(.)","$1"&amp;UNICHAR(822)),'_Supporto Listone'!E16)</x:f>
        <x:v>Riserva / rotazione</x:v>
      </x:c>
      <x:c r="F16" s="458" t="n">
        <x:f>IF($J16&lt;&gt;"",REGEXREPLACE(TO_TEXT('_Supporto Listone'!F16),"(.)","$1"&amp;UNICHAR(822)),'_Supporto Listone'!F16)</x:f>
        <x:v>9</x:v>
      </x:c>
      <x:c r="G16" s="458" t="n">
        <x:f>IF($J16&lt;&gt;"",REGEXREPLACE(TO_TEXT('_Supporto Listone'!G16),"(.)","$1"&amp;UNICHAR(822)),'_Supporto Listone'!G16)</x:f>
        <x:v>40</x:v>
      </x:c>
      <x:c r="H16" s="458" t="n">
        <x:f>IF($J16&lt;&gt;"",REGEXREPLACE(TO_TEXT('_Supporto Listone'!H16),"(.)","$1"&amp;UNICHAR(822)),'_Supporto Listone'!H16)</x:f>
        <x:v>20</x:v>
      </x:c>
      <x:c r="I16" s="422"/>
      <x:c r="J16" s="423" t="str">
        <x:f>IF(COUNTIF(Asta!$B$4:$B$47,'_Supporto Listone'!B16)&gt;0,"Simone",IF(COUNTIF(Asta!$D$4:$D$47,'_Supporto Listone'!B16)&gt;0,"Giacomo",IF(COUNTIF(Asta!$F$4:$F$47,'_Supporto Listone'!B16)&gt;0,"Niko",IF(COUNTIF(Asta!$H$4:$H$47,'_Supporto Listone'!B16)&gt;0,"Quici",IF(COUNTIF(Asta!$J$4:$J$47,'_Supporto Listone'!B16)&gt;0,"Fratello Quici",IF(COUNTIF(Asta!$L$4:$L$47,'_Supporto Listone'!B16)&gt;0,"Nicolò",IF(COUNTIF(Asta!$N$4:$N$47,'_Supporto Listone'!B16)&gt;0,"Vi",IF(COUNTIF(Asta!$P$4:$P$47,'_Supporto Listone'!B16)&gt;0,"Lore",IF(COUNTIF(Asta!$R$4:$R$47,'_Supporto Listone'!B16)&gt;0,"Robbo",IF(COUNTIF(Asta!$T$4:$T$47,'_Supporto Listone'!B16)&gt;0,"Ale",""))))))))))</x:f>
      </x:c>
      <x:c r="K16" s="489" t="str">
        <x:f>IF(COUNTIF(Asta!$B$4:$B$47,'_Supporto Listone'!B16)&gt;0,INDEX(Asta!$C$4:$C$47,MATCH('_Supporto Listone'!B16,Asta!$B$4:$B$47,0)),IF(COUNTIF(Asta!$D$4:$D$47,'_Supporto Listone'!B16)&gt;0,INDEX(Asta!$E$4:$E$47,MATCH('_Supporto Listone'!B16,Asta!$D$4:$D$47,0)),IF(COUNTIF(Asta!$F$4:$F$47,'_Supporto Listone'!B16)&gt;0,INDEX(Asta!$G$4:$G$47,MATCH('_Supporto Listone'!B16,Asta!$F$4:$F$47,0)),IF(COUNTIF(Asta!$H$4:$H$47,'_Supporto Listone'!B16)&gt;0,INDEX(Asta!$I$4:$I$47,MATCH('_Supporto Listone'!B16,Asta!$H$4:$H$47,0)),IF(COUNTIF(Asta!$J$4:$J$47,'_Supporto Listone'!B16)&gt;0,INDEX(Asta!$K$4:$K$47,MATCH('_Supporto Listone'!B16,Asta!$J$4:$J$47,0)),IF(COUNTIF(Asta!$L$4:$L$47,'_Supporto Listone'!B16)&gt;0,INDEX(Asta!$M$4:$M$47,MATCH('_Supporto Listone'!B16,Asta!$L$4:$L$47,0)),IF(COUNTIF(Asta!$N$4:$N$47,'_Supporto Listone'!B16)&gt;0,INDEX(Asta!$O$4:$O$47,MATCH('_Supporto Listone'!B16,Asta!$N$4:$N$47,0)),IF(COUNTIF(Asta!$P$4:$P$47,'_Supporto Listone'!B16)&gt;0,INDEX(Asta!$Q$4:$Q$47,MATCH('_Supporto Listone'!B16,Asta!$P$4:$P$47,0)),IF(COUNTIF(Asta!$R$4:$R$47,'_Supporto Listone'!B16)&gt;0,INDEX(Asta!$S$4:$S$47,MATCH('_Supporto Listone'!B16,Asta!$R$4:$R$47,0)),IF(COUNTIF(Asta!$T$4:$T$47,'_Supporto Listone'!B16)&gt;0,INDEX(Asta!$U$4:$U$47,MATCH('_Supporto Listone'!B16,Asta!$T$4:$T$47,0)),""))))))))))</x:f>
      </x:c>
    </x:row>
    <x:row r="17">
      <x:c r="A17" s="425" t="str">
        <x:f>IF($J17&lt;&gt;"",REGEXREPLACE(TO_TEXT('_Supporto Listone'!A17),"(.)","$1"&amp;UNICHAR(822)),'_Supporto Listone'!A17)</x:f>
        <x:v>P</x:v>
      </x:c>
      <x:c r="B17" s="423" t="str">
        <x:f>IF($J17&lt;&gt;"",REGEXREPLACE(TO_TEXT('_Supporto Listone'!B17),"(.)","$1"&amp;UNICHAR(822)),'_Supporto Listone'!B17)</x:f>
        <x:v>Mandas</x:v>
      </x:c>
      <x:c r="C17" s="423" t="str">
        <x:f>IF($J17&lt;&gt;"",REGEXREPLACE(TO_TEXT('_Supporto Listone'!C17),"(.)","$1"&amp;UNICHAR(822)),'_Supporto Listone'!C17)</x:f>
        <x:v>Lazio</x:v>
      </x:c>
      <x:c r="D17" s="423" t="str">
        <x:f>IF($J17&lt;&gt;"",REGEXREPLACE(TO_TEXT('_Supporto Listone'!D17),"(.)","$1"&amp;UNICHAR(822)),'_Supporto Listone'!D17)</x:f>
        <x:v>Por</x:v>
      </x:c>
      <x:c r="E17" s="423" t="str">
        <x:f>IF($J17&lt;&gt;"",REGEXREPLACE(TO_TEXT('_Supporto Listone'!E17),"(.)","$1"&amp;UNICHAR(822)),'_Supporto Listone'!E17)</x:f>
        <x:v>Titolare</x:v>
      </x:c>
      <x:c r="F17" s="458" t="n">
        <x:f>IF($J17&lt;&gt;"",REGEXREPLACE(TO_TEXT('_Supporto Listone'!F17),"(.)","$1"&amp;UNICHAR(822)),'_Supporto Listone'!F17)</x:f>
        <x:v>9</x:v>
      </x:c>
      <x:c r="G17" s="458" t="n">
        <x:f>IF($J17&lt;&gt;"",REGEXREPLACE(TO_TEXT('_Supporto Listone'!G17),"(.)","$1"&amp;UNICHAR(822)),'_Supporto Listone'!G17)</x:f>
        <x:v>30</x:v>
      </x:c>
      <x:c r="H17" s="458" t="n">
        <x:f>IF($J17&lt;&gt;"",REGEXREPLACE(TO_TEXT('_Supporto Listone'!H17),"(.)","$1"&amp;UNICHAR(822)),'_Supporto Listone'!H17)</x:f>
        <x:v>15</x:v>
      </x:c>
      <x:c r="I17" s="422"/>
      <x:c r="J17" s="423" t="str">
        <x:f>IF(COUNTIF(Asta!$B$4:$B$47,'_Supporto Listone'!B17)&gt;0,"Simone",IF(COUNTIF(Asta!$D$4:$D$47,'_Supporto Listone'!B17)&gt;0,"Giacomo",IF(COUNTIF(Asta!$F$4:$F$47,'_Supporto Listone'!B17)&gt;0,"Niko",IF(COUNTIF(Asta!$H$4:$H$47,'_Supporto Listone'!B17)&gt;0,"Quici",IF(COUNTIF(Asta!$J$4:$J$47,'_Supporto Listone'!B17)&gt;0,"Fratello Quici",IF(COUNTIF(Asta!$L$4:$L$47,'_Supporto Listone'!B17)&gt;0,"Nicolò",IF(COUNTIF(Asta!$N$4:$N$47,'_Supporto Listone'!B17)&gt;0,"Vi",IF(COUNTIF(Asta!$P$4:$P$47,'_Supporto Listone'!B17)&gt;0,"Lore",IF(COUNTIF(Asta!$R$4:$R$47,'_Supporto Listone'!B17)&gt;0,"Robbo",IF(COUNTIF(Asta!$T$4:$T$47,'_Supporto Listone'!B17)&gt;0,"Ale",""))))))))))</x:f>
      </x:c>
      <x:c r="K17" s="489" t="str">
        <x:f>IF(COUNTIF(Asta!$B$4:$B$47,'_Supporto Listone'!B17)&gt;0,INDEX(Asta!$C$4:$C$47,MATCH('_Supporto Listone'!B17,Asta!$B$4:$B$47,0)),IF(COUNTIF(Asta!$D$4:$D$47,'_Supporto Listone'!B17)&gt;0,INDEX(Asta!$E$4:$E$47,MATCH('_Supporto Listone'!B17,Asta!$D$4:$D$47,0)),IF(COUNTIF(Asta!$F$4:$F$47,'_Supporto Listone'!B17)&gt;0,INDEX(Asta!$G$4:$G$47,MATCH('_Supporto Listone'!B17,Asta!$F$4:$F$47,0)),IF(COUNTIF(Asta!$H$4:$H$47,'_Supporto Listone'!B17)&gt;0,INDEX(Asta!$I$4:$I$47,MATCH('_Supporto Listone'!B17,Asta!$H$4:$H$47,0)),IF(COUNTIF(Asta!$J$4:$J$47,'_Supporto Listone'!B17)&gt;0,INDEX(Asta!$K$4:$K$47,MATCH('_Supporto Listone'!B17,Asta!$J$4:$J$47,0)),IF(COUNTIF(Asta!$L$4:$L$47,'_Supporto Listone'!B17)&gt;0,INDEX(Asta!$M$4:$M$47,MATCH('_Supporto Listone'!B17,Asta!$L$4:$L$47,0)),IF(COUNTIF(Asta!$N$4:$N$47,'_Supporto Listone'!B17)&gt;0,INDEX(Asta!$O$4:$O$47,MATCH('_Supporto Listone'!B17,Asta!$N$4:$N$47,0)),IF(COUNTIF(Asta!$P$4:$P$47,'_Supporto Listone'!B17)&gt;0,INDEX(Asta!$Q$4:$Q$47,MATCH('_Supporto Listone'!B17,Asta!$P$4:$P$47,0)),IF(COUNTIF(Asta!$R$4:$R$47,'_Supporto Listone'!B17)&gt;0,INDEX(Asta!$S$4:$S$47,MATCH('_Supporto Listone'!B17,Asta!$R$4:$R$47,0)),IF(COUNTIF(Asta!$T$4:$T$47,'_Supporto Listone'!B17)&gt;0,INDEX(Asta!$U$4:$U$47,MATCH('_Supporto Listone'!B17,Asta!$T$4:$T$47,0)),""))))))))))</x:f>
      </x:c>
    </x:row>
    <x:row r="18">
      <x:c r="A18" s="425" t="str">
        <x:f>IF($J18&lt;&gt;"",REGEXREPLACE(TO_TEXT('_Supporto Listone'!A18),"(.)","$1"&amp;UNICHAR(822)),'_Supporto Listone'!A18)</x:f>
        <x:v>P</x:v>
      </x:c>
      <x:c r="B18" s="423" t="str">
        <x:f>IF($J18&lt;&gt;"",REGEXREPLACE(TO_TEXT('_Supporto Listone'!B18),"(.)","$1"&amp;UNICHAR(822)),'_Supporto Listone'!B18)</x:f>
        <x:v>Okoye</x:v>
      </x:c>
      <x:c r="C18" s="423" t="str">
        <x:f>IF($J18&lt;&gt;"",REGEXREPLACE(TO_TEXT('_Supporto Listone'!C18),"(.)","$1"&amp;UNICHAR(822)),'_Supporto Listone'!C18)</x:f>
        <x:v>Udinese</x:v>
      </x:c>
      <x:c r="D18" s="423" t="str">
        <x:f>IF($J18&lt;&gt;"",REGEXREPLACE(TO_TEXT('_Supporto Listone'!D18),"(.)","$1"&amp;UNICHAR(822)),'_Supporto Listone'!D18)</x:f>
        <x:v>Por</x:v>
      </x:c>
      <x:c r="E18" s="423" t="str">
        <x:f>IF($J18&lt;&gt;"",REGEXREPLACE(TO_TEXT('_Supporto Listone'!E18),"(.)","$1"&amp;UNICHAR(822)),'_Supporto Listone'!E18)</x:f>
        <x:v>Titolare</x:v>
      </x:c>
      <x:c r="F18" s="458" t="n">
        <x:f>IF($J18&lt;&gt;"",REGEXREPLACE(TO_TEXT('_Supporto Listone'!F18),"(.)","$1"&amp;UNICHAR(822)),'_Supporto Listone'!F18)</x:f>
        <x:v>9</x:v>
      </x:c>
      <x:c r="G18" s="458" t="n">
        <x:f>IF($J18&lt;&gt;"",REGEXREPLACE(TO_TEXT('_Supporto Listone'!G18),"(.)","$1"&amp;UNICHAR(822)),'_Supporto Listone'!G18)</x:f>
        <x:v>29</x:v>
      </x:c>
      <x:c r="H18" s="458" t="n">
        <x:f>IF($J18&lt;&gt;"",REGEXREPLACE(TO_TEXT('_Supporto Listone'!H18),"(.)","$1"&amp;UNICHAR(822)),'_Supporto Listone'!H18)</x:f>
        <x:v>15</x:v>
      </x:c>
      <x:c r="I18" s="422"/>
      <x:c r="J18" s="423" t="str">
        <x:f>IF(COUNTIF(Asta!$B$4:$B$47,'_Supporto Listone'!B18)&gt;0,"Simone",IF(COUNTIF(Asta!$D$4:$D$47,'_Supporto Listone'!B18)&gt;0,"Giacomo",IF(COUNTIF(Asta!$F$4:$F$47,'_Supporto Listone'!B18)&gt;0,"Niko",IF(COUNTIF(Asta!$H$4:$H$47,'_Supporto Listone'!B18)&gt;0,"Quici",IF(COUNTIF(Asta!$J$4:$J$47,'_Supporto Listone'!B18)&gt;0,"Fratello Quici",IF(COUNTIF(Asta!$L$4:$L$47,'_Supporto Listone'!B18)&gt;0,"Nicolò",IF(COUNTIF(Asta!$N$4:$N$47,'_Supporto Listone'!B18)&gt;0,"Vi",IF(COUNTIF(Asta!$P$4:$P$47,'_Supporto Listone'!B18)&gt;0,"Lore",IF(COUNTIF(Asta!$R$4:$R$47,'_Supporto Listone'!B18)&gt;0,"Robbo",IF(COUNTIF(Asta!$T$4:$T$47,'_Supporto Listone'!B18)&gt;0,"Ale",""))))))))))</x:f>
      </x:c>
      <x:c r="K18" s="489" t="str">
        <x:f>IF(COUNTIF(Asta!$B$4:$B$47,'_Supporto Listone'!B18)&gt;0,INDEX(Asta!$C$4:$C$47,MATCH('_Supporto Listone'!B18,Asta!$B$4:$B$47,0)),IF(COUNTIF(Asta!$D$4:$D$47,'_Supporto Listone'!B18)&gt;0,INDEX(Asta!$E$4:$E$47,MATCH('_Supporto Listone'!B18,Asta!$D$4:$D$47,0)),IF(COUNTIF(Asta!$F$4:$F$47,'_Supporto Listone'!B18)&gt;0,INDEX(Asta!$G$4:$G$47,MATCH('_Supporto Listone'!B18,Asta!$F$4:$F$47,0)),IF(COUNTIF(Asta!$H$4:$H$47,'_Supporto Listone'!B18)&gt;0,INDEX(Asta!$I$4:$I$47,MATCH('_Supporto Listone'!B18,Asta!$H$4:$H$47,0)),IF(COUNTIF(Asta!$J$4:$J$47,'_Supporto Listone'!B18)&gt;0,INDEX(Asta!$K$4:$K$47,MATCH('_Supporto Listone'!B18,Asta!$J$4:$J$47,0)),IF(COUNTIF(Asta!$L$4:$L$47,'_Supporto Listone'!B18)&gt;0,INDEX(Asta!$M$4:$M$47,MATCH('_Supporto Listone'!B18,Asta!$L$4:$L$47,0)),IF(COUNTIF(Asta!$N$4:$N$47,'_Supporto Listone'!B18)&gt;0,INDEX(Asta!$O$4:$O$47,MATCH('_Supporto Listone'!B18,Asta!$N$4:$N$47,0)),IF(COUNTIF(Asta!$P$4:$P$47,'_Supporto Listone'!B18)&gt;0,INDEX(Asta!$Q$4:$Q$47,MATCH('_Supporto Listone'!B18,Asta!$P$4:$P$47,0)),IF(COUNTIF(Asta!$R$4:$R$47,'_Supporto Listone'!B18)&gt;0,INDEX(Asta!$S$4:$S$47,MATCH('_Supporto Listone'!B18,Asta!$R$4:$R$47,0)),IF(COUNTIF(Asta!$T$4:$T$47,'_Supporto Listone'!B18)&gt;0,INDEX(Asta!$U$4:$U$47,MATCH('_Supporto Listone'!B18,Asta!$T$4:$T$47,0)),""))))))))))</x:f>
      </x:c>
    </x:row>
    <x:row r="19">
      <x:c r="A19" s="425" t="str">
        <x:f>IF($J19&lt;&gt;"",REGEXREPLACE(TO_TEXT('_Supporto Listone'!A19),"(.)","$1"&amp;UNICHAR(822)),'_Supporto Listone'!A19)</x:f>
        <x:v>P</x:v>
      </x:c>
      <x:c r="B19" s="423" t="str">
        <x:f>IF($J19&lt;&gt;"",REGEXREPLACE(TO_TEXT('_Supporto Listone'!B19),"(.)","$1"&amp;UNICHAR(822)),'_Supporto Listone'!B19)</x:f>
        <x:v>Bijlow</x:v>
      </x:c>
      <x:c r="C19" s="423" t="str">
        <x:f>IF($J19&lt;&gt;"",REGEXREPLACE(TO_TEXT('_Supporto Listone'!C19),"(.)","$1"&amp;UNICHAR(822)),'_Supporto Listone'!C19)</x:f>
        <x:v>Genoa</x:v>
      </x:c>
      <x:c r="D19" s="423" t="str">
        <x:f>IF($J19&lt;&gt;"",REGEXREPLACE(TO_TEXT('_Supporto Listone'!D19),"(.)","$1"&amp;UNICHAR(822)),'_Supporto Listone'!D19)</x:f>
        <x:v>Por</x:v>
      </x:c>
      <x:c r="E19" s="423" t="str">
        <x:f>IF($J19&lt;&gt;"",REGEXREPLACE(TO_TEXT('_Supporto Listone'!E19),"(.)","$1"&amp;UNICHAR(822)),'_Supporto Listone'!E19)</x:f>
        <x:v>Titolare</x:v>
      </x:c>
      <x:c r="F19" s="458" t="n">
        <x:f>IF($J19&lt;&gt;"",REGEXREPLACE(TO_TEXT('_Supporto Listone'!F19),"(.)","$1"&amp;UNICHAR(822)),'_Supporto Listone'!F19)</x:f>
        <x:v>8</x:v>
      </x:c>
      <x:c r="G19" s="458" t="n">
        <x:f>IF($J19&lt;&gt;"",REGEXREPLACE(TO_TEXT('_Supporto Listone'!G19),"(.)","$1"&amp;UNICHAR(822)),'_Supporto Listone'!G19)</x:f>
        <x:v>18</x:v>
      </x:c>
      <x:c r="H19" s="458" t="n">
        <x:f>IF($J19&lt;&gt;"",REGEXREPLACE(TO_TEXT('_Supporto Listone'!H19),"(.)","$1"&amp;UNICHAR(822)),'_Supporto Listone'!H19)</x:f>
        <x:v>9</x:v>
      </x:c>
      <x:c r="I19" s="422"/>
      <x:c r="J19" s="423" t="str">
        <x:f>IF(COUNTIF(Asta!$B$4:$B$47,'_Supporto Listone'!B19)&gt;0,"Simone",IF(COUNTIF(Asta!$D$4:$D$47,'_Supporto Listone'!B19)&gt;0,"Giacomo",IF(COUNTIF(Asta!$F$4:$F$47,'_Supporto Listone'!B19)&gt;0,"Niko",IF(COUNTIF(Asta!$H$4:$H$47,'_Supporto Listone'!B19)&gt;0,"Quici",IF(COUNTIF(Asta!$J$4:$J$47,'_Supporto Listone'!B19)&gt;0,"Fratello Quici",IF(COUNTIF(Asta!$L$4:$L$47,'_Supporto Listone'!B19)&gt;0,"Nicolò",IF(COUNTIF(Asta!$N$4:$N$47,'_Supporto Listone'!B19)&gt;0,"Vi",IF(COUNTIF(Asta!$P$4:$P$47,'_Supporto Listone'!B19)&gt;0,"Lore",IF(COUNTIF(Asta!$R$4:$R$47,'_Supporto Listone'!B19)&gt;0,"Robbo",IF(COUNTIF(Asta!$T$4:$T$47,'_Supporto Listone'!B19)&gt;0,"Ale",""))))))))))</x:f>
      </x:c>
      <x:c r="K19" s="489" t="str">
        <x:f>IF(COUNTIF(Asta!$B$4:$B$47,'_Supporto Listone'!B19)&gt;0,INDEX(Asta!$C$4:$C$47,MATCH('_Supporto Listone'!B19,Asta!$B$4:$B$47,0)),IF(COUNTIF(Asta!$D$4:$D$47,'_Supporto Listone'!B19)&gt;0,INDEX(Asta!$E$4:$E$47,MATCH('_Supporto Listone'!B19,Asta!$D$4:$D$47,0)),IF(COUNTIF(Asta!$F$4:$F$47,'_Supporto Listone'!B19)&gt;0,INDEX(Asta!$G$4:$G$47,MATCH('_Supporto Listone'!B19,Asta!$F$4:$F$47,0)),IF(COUNTIF(Asta!$H$4:$H$47,'_Supporto Listone'!B19)&gt;0,INDEX(Asta!$I$4:$I$47,MATCH('_Supporto Listone'!B19,Asta!$H$4:$H$47,0)),IF(COUNTIF(Asta!$J$4:$J$47,'_Supporto Listone'!B19)&gt;0,INDEX(Asta!$K$4:$K$47,MATCH('_Supporto Listone'!B19,Asta!$J$4:$J$47,0)),IF(COUNTIF(Asta!$L$4:$L$47,'_Supporto Listone'!B19)&gt;0,INDEX(Asta!$M$4:$M$47,MATCH('_Supporto Listone'!B19,Asta!$L$4:$L$47,0)),IF(COUNTIF(Asta!$N$4:$N$47,'_Supporto Listone'!B19)&gt;0,INDEX(Asta!$O$4:$O$47,MATCH('_Supporto Listone'!B19,Asta!$N$4:$N$47,0)),IF(COUNTIF(Asta!$P$4:$P$47,'_Supporto Listone'!B19)&gt;0,INDEX(Asta!$Q$4:$Q$47,MATCH('_Supporto Listone'!B19,Asta!$P$4:$P$47,0)),IF(COUNTIF(Asta!$R$4:$R$47,'_Supporto Listone'!B19)&gt;0,INDEX(Asta!$S$4:$S$47,MATCH('_Supporto Listone'!B19,Asta!$R$4:$R$47,0)),IF(COUNTIF(Asta!$T$4:$T$47,'_Supporto Listone'!B19)&gt;0,INDEX(Asta!$U$4:$U$47,MATCH('_Supporto Listone'!B19,Asta!$T$4:$T$47,0)),""))))))))))</x:f>
      </x:c>
    </x:row>
    <x:row r="20">
      <x:c r="A20" s="425" t="str">
        <x:f>IF($J20&lt;&gt;"",REGEXREPLACE(TO_TEXT('_Supporto Listone'!A20),"(.)","$1"&amp;UNICHAR(822)),'_Supporto Listone'!A20)</x:f>
        <x:v>P</x:v>
      </x:c>
      <x:c r="B20" s="423" t="str">
        <x:f>IF($J20&lt;&gt;"",REGEXREPLACE(TO_TEXT('_Supporto Listone'!B20),"(.)","$1"&amp;UNICHAR(822)),'_Supporto Listone'!B20)</x:f>
        <x:v>Falcone</x:v>
      </x:c>
      <x:c r="C20" s="423" t="str">
        <x:f>IF($J20&lt;&gt;"",REGEXREPLACE(TO_TEXT('_Supporto Listone'!C20),"(.)","$1"&amp;UNICHAR(822)),'_Supporto Listone'!C20)</x:f>
        <x:v>Lecce</x:v>
      </x:c>
      <x:c r="D20" s="423" t="str">
        <x:f>IF($J20&lt;&gt;"",REGEXREPLACE(TO_TEXT('_Supporto Listone'!D20),"(.)","$1"&amp;UNICHAR(822)),'_Supporto Listone'!D20)</x:f>
        <x:v>Por</x:v>
      </x:c>
      <x:c r="E20" s="423" t="str">
        <x:f>IF($J20&lt;&gt;"",REGEXREPLACE(TO_TEXT('_Supporto Listone'!E20),"(.)","$1"&amp;UNICHAR(822)),'_Supporto Listone'!E20)</x:f>
        <x:v>Titolare</x:v>
      </x:c>
      <x:c r="F20" s="458" t="n">
        <x:f>IF($J20&lt;&gt;"",REGEXREPLACE(TO_TEXT('_Supporto Listone'!F20),"(.)","$1"&amp;UNICHAR(822)),'_Supporto Listone'!F20)</x:f>
        <x:v>8</x:v>
      </x:c>
      <x:c r="G20" s="458" t="n">
        <x:f>IF($J20&lt;&gt;"",REGEXREPLACE(TO_TEXT('_Supporto Listone'!G20),"(.)","$1"&amp;UNICHAR(822)),'_Supporto Listone'!G20)</x:f>
        <x:v>25</x:v>
      </x:c>
      <x:c r="H20" s="458" t="n">
        <x:f>IF($J20&lt;&gt;"",REGEXREPLACE(TO_TEXT('_Supporto Listone'!H20),"(.)","$1"&amp;UNICHAR(822)),'_Supporto Listone'!H20)</x:f>
        <x:v>13</x:v>
      </x:c>
      <x:c r="I20" s="422"/>
      <x:c r="J20" s="423" t="str">
        <x:f>IF(COUNTIF(Asta!$B$4:$B$47,'_Supporto Listone'!B20)&gt;0,"Simone",IF(COUNTIF(Asta!$D$4:$D$47,'_Supporto Listone'!B20)&gt;0,"Giacomo",IF(COUNTIF(Asta!$F$4:$F$47,'_Supporto Listone'!B20)&gt;0,"Niko",IF(COUNTIF(Asta!$H$4:$H$47,'_Supporto Listone'!B20)&gt;0,"Quici",IF(COUNTIF(Asta!$J$4:$J$47,'_Supporto Listone'!B20)&gt;0,"Fratello Quici",IF(COUNTIF(Asta!$L$4:$L$47,'_Supporto Listone'!B20)&gt;0,"Nicolò",IF(COUNTIF(Asta!$N$4:$N$47,'_Supporto Listone'!B20)&gt;0,"Vi",IF(COUNTIF(Asta!$P$4:$P$47,'_Supporto Listone'!B20)&gt;0,"Lore",IF(COUNTIF(Asta!$R$4:$R$47,'_Supporto Listone'!B20)&gt;0,"Robbo",IF(COUNTIF(Asta!$T$4:$T$47,'_Supporto Listone'!B20)&gt;0,"Ale",""))))))))))</x:f>
      </x:c>
      <x:c r="K20" s="489" t="str">
        <x:f>IF(COUNTIF(Asta!$B$4:$B$47,'_Supporto Listone'!B20)&gt;0,INDEX(Asta!$C$4:$C$47,MATCH('_Supporto Listone'!B20,Asta!$B$4:$B$47,0)),IF(COUNTIF(Asta!$D$4:$D$47,'_Supporto Listone'!B20)&gt;0,INDEX(Asta!$E$4:$E$47,MATCH('_Supporto Listone'!B20,Asta!$D$4:$D$47,0)),IF(COUNTIF(Asta!$F$4:$F$47,'_Supporto Listone'!B20)&gt;0,INDEX(Asta!$G$4:$G$47,MATCH('_Supporto Listone'!B20,Asta!$F$4:$F$47,0)),IF(COUNTIF(Asta!$H$4:$H$47,'_Supporto Listone'!B20)&gt;0,INDEX(Asta!$I$4:$I$47,MATCH('_Supporto Listone'!B20,Asta!$H$4:$H$47,0)),IF(COUNTIF(Asta!$J$4:$J$47,'_Supporto Listone'!B20)&gt;0,INDEX(Asta!$K$4:$K$47,MATCH('_Supporto Listone'!B20,Asta!$J$4:$J$47,0)),IF(COUNTIF(Asta!$L$4:$L$47,'_Supporto Listone'!B20)&gt;0,INDEX(Asta!$M$4:$M$47,MATCH('_Supporto Listone'!B20,Asta!$L$4:$L$47,0)),IF(COUNTIF(Asta!$N$4:$N$47,'_Supporto Listone'!B20)&gt;0,INDEX(Asta!$O$4:$O$47,MATCH('_Supporto Listone'!B20,Asta!$N$4:$N$47,0)),IF(COUNTIF(Asta!$P$4:$P$47,'_Supporto Listone'!B20)&gt;0,INDEX(Asta!$Q$4:$Q$47,MATCH('_Supporto Listone'!B20,Asta!$P$4:$P$47,0)),IF(COUNTIF(Asta!$R$4:$R$47,'_Supporto Listone'!B20)&gt;0,INDEX(Asta!$S$4:$S$47,MATCH('_Supporto Listone'!B20,Asta!$R$4:$R$47,0)),IF(COUNTIF(Asta!$T$4:$T$47,'_Supporto Listone'!B20)&gt;0,INDEX(Asta!$U$4:$U$47,MATCH('_Supporto Listone'!B20,Asta!$T$4:$T$47,0)),""))))))))))</x:f>
      </x:c>
    </x:row>
    <x:row r="21">
      <x:c r="A21" s="425" t="str">
        <x:f>IF($J21&lt;&gt;"",REGEXREPLACE(TO_TEXT('_Supporto Listone'!A21),"(.)","$1"&amp;UNICHAR(822)),'_Supporto Listone'!A21)</x:f>
        <x:v>P</x:v>
      </x:c>
      <x:c r="B21" s="423" t="str">
        <x:f>IF($J21&lt;&gt;"",REGEXREPLACE(TO_TEXT('_Supporto Listone'!B21),"(.)","$1"&amp;UNICHAR(822)),'_Supporto Listone'!B21)</x:f>
        <x:v>Daffara</x:v>
      </x:c>
      <x:c r="C21" s="423" t="str">
        <x:f>IF($J21&lt;&gt;"",REGEXREPLACE(TO_TEXT('_Supporto Listone'!C21),"(.)","$1"&amp;UNICHAR(822)),'_Supporto Listone'!C21)</x:f>
        <x:v>Parma</x:v>
      </x:c>
      <x:c r="D21" s="423" t="str">
        <x:f>IF($J21&lt;&gt;"",REGEXREPLACE(TO_TEXT('_Supporto Listone'!D21),"(.)","$1"&amp;UNICHAR(822)),'_Supporto Listone'!D21)</x:f>
        <x:v>Por</x:v>
      </x:c>
      <x:c r="E21" s="423" t="str">
        <x:f>IF($J21&lt;&gt;"",REGEXREPLACE(TO_TEXT('_Supporto Listone'!E21),"(.)","$1"&amp;UNICHAR(822)),'_Supporto Listone'!E21)</x:f>
        <x:v>Ballottaggio</x:v>
      </x:c>
      <x:c r="F21" s="458" t="n">
        <x:f>IF($J21&lt;&gt;"",REGEXREPLACE(TO_TEXT('_Supporto Listone'!F21),"(.)","$1"&amp;UNICHAR(822)),'_Supporto Listone'!F21)</x:f>
        <x:v>7</x:v>
      </x:c>
      <x:c r="G21" s="458" t="n">
        <x:f>IF($J21&lt;&gt;"",REGEXREPLACE(TO_TEXT('_Supporto Listone'!G21),"(.)","$1"&amp;UNICHAR(822)),'_Supporto Listone'!G21)</x:f>
        <x:v>5</x:v>
      </x:c>
      <x:c r="H21" s="458" t="n">
        <x:f>IF($J21&lt;&gt;"",REGEXREPLACE(TO_TEXT('_Supporto Listone'!H21),"(.)","$1"&amp;UNICHAR(822)),'_Supporto Listone'!H21)</x:f>
        <x:v>3</x:v>
      </x:c>
      <x:c r="I21" s="422"/>
      <x:c r="J21" s="423" t="str">
        <x:f>IF(COUNTIF(Asta!$B$4:$B$47,'_Supporto Listone'!B21)&gt;0,"Simone",IF(COUNTIF(Asta!$D$4:$D$47,'_Supporto Listone'!B21)&gt;0,"Giacomo",IF(COUNTIF(Asta!$F$4:$F$47,'_Supporto Listone'!B21)&gt;0,"Niko",IF(COUNTIF(Asta!$H$4:$H$47,'_Supporto Listone'!B21)&gt;0,"Quici",IF(COUNTIF(Asta!$J$4:$J$47,'_Supporto Listone'!B21)&gt;0,"Fratello Quici",IF(COUNTIF(Asta!$L$4:$L$47,'_Supporto Listone'!B21)&gt;0,"Nicolò",IF(COUNTIF(Asta!$N$4:$N$47,'_Supporto Listone'!B21)&gt;0,"Vi",IF(COUNTIF(Asta!$P$4:$P$47,'_Supporto Listone'!B21)&gt;0,"Lore",IF(COUNTIF(Asta!$R$4:$R$47,'_Supporto Listone'!B21)&gt;0,"Robbo",IF(COUNTIF(Asta!$T$4:$T$47,'_Supporto Listone'!B21)&gt;0,"Ale",""))))))))))</x:f>
      </x:c>
      <x:c r="K21" s="489" t="str">
        <x:f>IF(COUNTIF(Asta!$B$4:$B$47,'_Supporto Listone'!B21)&gt;0,INDEX(Asta!$C$4:$C$47,MATCH('_Supporto Listone'!B21,Asta!$B$4:$B$47,0)),IF(COUNTIF(Asta!$D$4:$D$47,'_Supporto Listone'!B21)&gt;0,INDEX(Asta!$E$4:$E$47,MATCH('_Supporto Listone'!B21,Asta!$D$4:$D$47,0)),IF(COUNTIF(Asta!$F$4:$F$47,'_Supporto Listone'!B21)&gt;0,INDEX(Asta!$G$4:$G$47,MATCH('_Supporto Listone'!B21,Asta!$F$4:$F$47,0)),IF(COUNTIF(Asta!$H$4:$H$47,'_Supporto Listone'!B21)&gt;0,INDEX(Asta!$I$4:$I$47,MATCH('_Supporto Listone'!B21,Asta!$H$4:$H$47,0)),IF(COUNTIF(Asta!$J$4:$J$47,'_Supporto Listone'!B21)&gt;0,INDEX(Asta!$K$4:$K$47,MATCH('_Supporto Listone'!B21,Asta!$J$4:$J$47,0)),IF(COUNTIF(Asta!$L$4:$L$47,'_Supporto Listone'!B21)&gt;0,INDEX(Asta!$M$4:$M$47,MATCH('_Supporto Listone'!B21,Asta!$L$4:$L$47,0)),IF(COUNTIF(Asta!$N$4:$N$47,'_Supporto Listone'!B21)&gt;0,INDEX(Asta!$O$4:$O$47,MATCH('_Supporto Listone'!B21,Asta!$N$4:$N$47,0)),IF(COUNTIF(Asta!$P$4:$P$47,'_Supporto Listone'!B21)&gt;0,INDEX(Asta!$Q$4:$Q$47,MATCH('_Supporto Listone'!B21,Asta!$P$4:$P$47,0)),IF(COUNTIF(Asta!$R$4:$R$47,'_Supporto Listone'!B21)&gt;0,INDEX(Asta!$S$4:$S$47,MATCH('_Supporto Listone'!B21,Asta!$R$4:$R$47,0)),IF(COUNTIF(Asta!$T$4:$T$47,'_Supporto Listone'!B21)&gt;0,INDEX(Asta!$U$4:$U$47,MATCH('_Supporto Listone'!B21,Asta!$T$4:$T$47,0)),""))))))))))</x:f>
      </x:c>
    </x:row>
    <x:row r="22">
      <x:c r="A22" s="425" t="str">
        <x:f>IF($J22&lt;&gt;"",REGEXREPLACE(TO_TEXT('_Supporto Listone'!A22),"(.)","$1"&amp;UNICHAR(822)),'_Supporto Listone'!A22)</x:f>
        <x:v>P</x:v>
      </x:c>
      <x:c r="B22" s="423" t="str">
        <x:f>IF($J22&lt;&gt;"",REGEXREPLACE(TO_TEXT('_Supporto Listone'!B22),"(.)","$1"&amp;UNICHAR(822)),'_Supporto Listone'!B22)</x:f>
        <x:v>Suzuki</x:v>
      </x:c>
      <x:c r="C22" s="423" t="str">
        <x:f>IF($J22&lt;&gt;"",REGEXREPLACE(TO_TEXT('_Supporto Listone'!C22),"(.)","$1"&amp;UNICHAR(822)),'_Supporto Listone'!C22)</x:f>
        <x:v>Parma</x:v>
      </x:c>
      <x:c r="D22" s="423" t="str">
        <x:f>IF($J22&lt;&gt;"",REGEXREPLACE(TO_TEXT('_Supporto Listone'!D22),"(.)","$1"&amp;UNICHAR(822)),'_Supporto Listone'!D22)</x:f>
        <x:v>Por</x:v>
      </x:c>
      <x:c r="E22" s="423" t="str">
        <x:f>IF($J22&lt;&gt;"",REGEXREPLACE(TO_TEXT('_Supporto Listone'!E22),"(.)","$1"&amp;UNICHAR(822)),'_Supporto Listone'!E22)</x:f>
        <x:v>Riserva / rotazione</x:v>
      </x:c>
      <x:c r="F22" s="458" t="n">
        <x:f>IF($J22&lt;&gt;"",REGEXREPLACE(TO_TEXT('_Supporto Listone'!F22),"(.)","$1"&amp;UNICHAR(822)),'_Supporto Listone'!F22)</x:f>
        <x:v>7</x:v>
      </x:c>
      <x:c r="G22" s="458" t="n">
        <x:f>IF($J22&lt;&gt;"",REGEXREPLACE(TO_TEXT('_Supporto Listone'!G22),"(.)","$1"&amp;UNICHAR(822)),'_Supporto Listone'!G22)</x:f>
        <x:v>20</x:v>
      </x:c>
      <x:c r="H22" s="458" t="n">
        <x:f>IF($J22&lt;&gt;"",REGEXREPLACE(TO_TEXT('_Supporto Listone'!H22),"(.)","$1"&amp;UNICHAR(822)),'_Supporto Listone'!H22)</x:f>
        <x:v>10</x:v>
      </x:c>
      <x:c r="I22" s="422"/>
      <x:c r="J22" s="423" t="str">
        <x:f>IF(COUNTIF(Asta!$B$4:$B$47,'_Supporto Listone'!B22)&gt;0,"Simone",IF(COUNTIF(Asta!$D$4:$D$47,'_Supporto Listone'!B22)&gt;0,"Giacomo",IF(COUNTIF(Asta!$F$4:$F$47,'_Supporto Listone'!B22)&gt;0,"Niko",IF(COUNTIF(Asta!$H$4:$H$47,'_Supporto Listone'!B22)&gt;0,"Quici",IF(COUNTIF(Asta!$J$4:$J$47,'_Supporto Listone'!B22)&gt;0,"Fratello Quici",IF(COUNTIF(Asta!$L$4:$L$47,'_Supporto Listone'!B22)&gt;0,"Nicolò",IF(COUNTIF(Asta!$N$4:$N$47,'_Supporto Listone'!B22)&gt;0,"Vi",IF(COUNTIF(Asta!$P$4:$P$47,'_Supporto Listone'!B22)&gt;0,"Lore",IF(COUNTIF(Asta!$R$4:$R$47,'_Supporto Listone'!B22)&gt;0,"Robbo",IF(COUNTIF(Asta!$T$4:$T$47,'_Supporto Listone'!B22)&gt;0,"Ale",""))))))))))</x:f>
      </x:c>
      <x:c r="K22" s="489" t="str">
        <x:f>IF(COUNTIF(Asta!$B$4:$B$47,'_Supporto Listone'!B22)&gt;0,INDEX(Asta!$C$4:$C$47,MATCH('_Supporto Listone'!B22,Asta!$B$4:$B$47,0)),IF(COUNTIF(Asta!$D$4:$D$47,'_Supporto Listone'!B22)&gt;0,INDEX(Asta!$E$4:$E$47,MATCH('_Supporto Listone'!B22,Asta!$D$4:$D$47,0)),IF(COUNTIF(Asta!$F$4:$F$47,'_Supporto Listone'!B22)&gt;0,INDEX(Asta!$G$4:$G$47,MATCH('_Supporto Listone'!B22,Asta!$F$4:$F$47,0)),IF(COUNTIF(Asta!$H$4:$H$47,'_Supporto Listone'!B22)&gt;0,INDEX(Asta!$I$4:$I$47,MATCH('_Supporto Listone'!B22,Asta!$H$4:$H$47,0)),IF(COUNTIF(Asta!$J$4:$J$47,'_Supporto Listone'!B22)&gt;0,INDEX(Asta!$K$4:$K$47,MATCH('_Supporto Listone'!B22,Asta!$J$4:$J$47,0)),IF(COUNTIF(Asta!$L$4:$L$47,'_Supporto Listone'!B22)&gt;0,INDEX(Asta!$M$4:$M$47,MATCH('_Supporto Listone'!B22,Asta!$L$4:$L$47,0)),IF(COUNTIF(Asta!$N$4:$N$47,'_Supporto Listone'!B22)&gt;0,INDEX(Asta!$O$4:$O$47,MATCH('_Supporto Listone'!B22,Asta!$N$4:$N$47,0)),IF(COUNTIF(Asta!$P$4:$P$47,'_Supporto Listone'!B22)&gt;0,INDEX(Asta!$Q$4:$Q$47,MATCH('_Supporto Listone'!B22,Asta!$P$4:$P$47,0)),IF(COUNTIF(Asta!$R$4:$R$47,'_Supporto Listone'!B22)&gt;0,INDEX(Asta!$S$4:$S$47,MATCH('_Supporto Listone'!B22,Asta!$R$4:$R$47,0)),IF(COUNTIF(Asta!$T$4:$T$47,'_Supporto Listone'!B22)&gt;0,INDEX(Asta!$U$4:$U$47,MATCH('_Supporto Listone'!B22,Asta!$T$4:$T$47,0)),""))))))))))</x:f>
      </x:c>
    </x:row>
    <x:row r="23">
      <x:c r="A23" s="425" t="str">
        <x:f>IF($J23&lt;&gt;"",REGEXREPLACE(TO_TEXT('_Supporto Listone'!A23),"(.)","$1"&amp;UNICHAR(822)),'_Supporto Listone'!A23)</x:f>
        <x:v>P</x:v>
      </x:c>
      <x:c r="B23" s="423" t="str">
        <x:f>IF($J23&lt;&gt;"",REGEXREPLACE(TO_TEXT('_Supporto Listone'!B23),"(.)","$1"&amp;UNICHAR(822)),'_Supporto Listone'!B23)</x:f>
        <x:v>Muric</x:v>
      </x:c>
      <x:c r="C23" s="423" t="str">
        <x:f>IF($J23&lt;&gt;"",REGEXREPLACE(TO_TEXT('_Supporto Listone'!C23),"(.)","$1"&amp;UNICHAR(822)),'_Supporto Listone'!C23)</x:f>
        <x:v>Sassuolo</x:v>
      </x:c>
      <x:c r="D23" s="423" t="str">
        <x:f>IF($J23&lt;&gt;"",REGEXREPLACE(TO_TEXT('_Supporto Listone'!D23),"(.)","$1"&amp;UNICHAR(822)),'_Supporto Listone'!D23)</x:f>
        <x:v>Por</x:v>
      </x:c>
      <x:c r="E23" s="423" t="str">
        <x:f>IF($J23&lt;&gt;"",REGEXREPLACE(TO_TEXT('_Supporto Listone'!E23),"(.)","$1"&amp;UNICHAR(822)),'_Supporto Listone'!E23)</x:f>
        <x:v>Titolare</x:v>
      </x:c>
      <x:c r="F23" s="458" t="n">
        <x:f>IF($J23&lt;&gt;"",REGEXREPLACE(TO_TEXT('_Supporto Listone'!F23),"(.)","$1"&amp;UNICHAR(822)),'_Supporto Listone'!F23)</x:f>
        <x:v>7</x:v>
      </x:c>
      <x:c r="G23" s="458" t="n">
        <x:f>IF($J23&lt;&gt;"",REGEXREPLACE(TO_TEXT('_Supporto Listone'!G23),"(.)","$1"&amp;UNICHAR(822)),'_Supporto Listone'!G23)</x:f>
        <x:v>15</x:v>
      </x:c>
      <x:c r="H23" s="458" t="n">
        <x:f>IF($J23&lt;&gt;"",REGEXREPLACE(TO_TEXT('_Supporto Listone'!H23),"(.)","$1"&amp;UNICHAR(822)),'_Supporto Listone'!H23)</x:f>
        <x:v>8</x:v>
      </x:c>
      <x:c r="I23" s="422"/>
      <x:c r="J23" s="423" t="str">
        <x:f>IF(COUNTIF(Asta!$B$4:$B$47,'_Supporto Listone'!B23)&gt;0,"Simone",IF(COUNTIF(Asta!$D$4:$D$47,'_Supporto Listone'!B23)&gt;0,"Giacomo",IF(COUNTIF(Asta!$F$4:$F$47,'_Supporto Listone'!B23)&gt;0,"Niko",IF(COUNTIF(Asta!$H$4:$H$47,'_Supporto Listone'!B23)&gt;0,"Quici",IF(COUNTIF(Asta!$J$4:$J$47,'_Supporto Listone'!B23)&gt;0,"Fratello Quici",IF(COUNTIF(Asta!$L$4:$L$47,'_Supporto Listone'!B23)&gt;0,"Nicolò",IF(COUNTIF(Asta!$N$4:$N$47,'_Supporto Listone'!B23)&gt;0,"Vi",IF(COUNTIF(Asta!$P$4:$P$47,'_Supporto Listone'!B23)&gt;0,"Lore",IF(COUNTIF(Asta!$R$4:$R$47,'_Supporto Listone'!B23)&gt;0,"Robbo",IF(COUNTIF(Asta!$T$4:$T$47,'_Supporto Listone'!B23)&gt;0,"Ale",""))))))))))</x:f>
      </x:c>
      <x:c r="K23" s="489" t="str">
        <x:f>IF(COUNTIF(Asta!$B$4:$B$47,'_Supporto Listone'!B23)&gt;0,INDEX(Asta!$C$4:$C$47,MATCH('_Supporto Listone'!B23,Asta!$B$4:$B$47,0)),IF(COUNTIF(Asta!$D$4:$D$47,'_Supporto Listone'!B23)&gt;0,INDEX(Asta!$E$4:$E$47,MATCH('_Supporto Listone'!B23,Asta!$D$4:$D$47,0)),IF(COUNTIF(Asta!$F$4:$F$47,'_Supporto Listone'!B23)&gt;0,INDEX(Asta!$G$4:$G$47,MATCH('_Supporto Listone'!B23,Asta!$F$4:$F$47,0)),IF(COUNTIF(Asta!$H$4:$H$47,'_Supporto Listone'!B23)&gt;0,INDEX(Asta!$I$4:$I$47,MATCH('_Supporto Listone'!B23,Asta!$H$4:$H$47,0)),IF(COUNTIF(Asta!$J$4:$J$47,'_Supporto Listone'!B23)&gt;0,INDEX(Asta!$K$4:$K$47,MATCH('_Supporto Listone'!B23,Asta!$J$4:$J$47,0)),IF(COUNTIF(Asta!$L$4:$L$47,'_Supporto Listone'!B23)&gt;0,INDEX(Asta!$M$4:$M$47,MATCH('_Supporto Listone'!B23,Asta!$L$4:$L$47,0)),IF(COUNTIF(Asta!$N$4:$N$47,'_Supporto Listone'!B23)&gt;0,INDEX(Asta!$O$4:$O$47,MATCH('_Supporto Listone'!B23,Asta!$N$4:$N$47,0)),IF(COUNTIF(Asta!$P$4:$P$47,'_Supporto Listone'!B23)&gt;0,INDEX(Asta!$Q$4:$Q$47,MATCH('_Supporto Listone'!B23,Asta!$P$4:$P$47,0)),IF(COUNTIF(Asta!$R$4:$R$47,'_Supporto Listone'!B23)&gt;0,INDEX(Asta!$S$4:$S$47,MATCH('_Supporto Listone'!B23,Asta!$R$4:$R$47,0)),IF(COUNTIF(Asta!$T$4:$T$47,'_Supporto Listone'!B23)&gt;0,INDEX(Asta!$U$4:$U$47,MATCH('_Supporto Listone'!B23,Asta!$T$4:$T$47,0)),""))))))))))</x:f>
      </x:c>
    </x:row>
    <x:row r="24">
      <x:c r="A24" s="425" t="str">
        <x:f>IF($J24&lt;&gt;"",REGEXREPLACE(TO_TEXT('_Supporto Listone'!A24),"(.)","$1"&amp;UNICHAR(822)),'_Supporto Listone'!A24)</x:f>
        <x:v>P</x:v>
      </x:c>
      <x:c r="B24" s="423" t="str">
        <x:f>IF($J24&lt;&gt;"",REGEXREPLACE(TO_TEXT('_Supporto Listone'!B24),"(.)","$1"&amp;UNICHAR(822)),'_Supporto Listone'!B24)</x:f>
        <x:v>Perin</x:v>
      </x:c>
      <x:c r="C24" s="423" t="str">
        <x:f>IF($J24&lt;&gt;"",REGEXREPLACE(TO_TEXT('_Supporto Listone'!C24),"(.)","$1"&amp;UNICHAR(822)),'_Supporto Listone'!C24)</x:f>
        <x:v>Juventus</x:v>
      </x:c>
      <x:c r="D24" s="423" t="str">
        <x:f>IF($J24&lt;&gt;"",REGEXREPLACE(TO_TEXT('_Supporto Listone'!D24),"(.)","$1"&amp;UNICHAR(822)),'_Supporto Listone'!D24)</x:f>
        <x:v>Por</x:v>
      </x:c>
      <x:c r="E24" s="423" t="str">
        <x:f>IF($J24&lt;&gt;"",REGEXREPLACE(TO_TEXT('_Supporto Listone'!E24),"(.)","$1"&amp;UNICHAR(822)),'_Supporto Listone'!E24)</x:f>
        <x:v>Riserva / rotazione</x:v>
      </x:c>
      <x:c r="F24" s="458" t="n">
        <x:f>IF($J24&lt;&gt;"",REGEXREPLACE(TO_TEXT('_Supporto Listone'!F24),"(.)","$1"&amp;UNICHAR(822)),'_Supporto Listone'!F24)</x:f>
        <x:v>6</x:v>
      </x:c>
      <x:c r="G24" s="458" t="n">
        <x:f>IF($J24&lt;&gt;"",REGEXREPLACE(TO_TEXT('_Supporto Listone'!G24),"(.)","$1"&amp;UNICHAR(822)),'_Supporto Listone'!G24)</x:f>
        <x:v>10</x:v>
      </x:c>
      <x:c r="H24" s="458" t="n">
        <x:f>IF($J24&lt;&gt;"",REGEXREPLACE(TO_TEXT('_Supporto Listone'!H24),"(.)","$1"&amp;UNICHAR(822)),'_Supporto Listone'!H24)</x:f>
        <x:v>5</x:v>
      </x:c>
      <x:c r="I24" s="422"/>
      <x:c r="J24" s="423" t="str">
        <x:f>IF(COUNTIF(Asta!$B$4:$B$47,'_Supporto Listone'!B24)&gt;0,"Simone",IF(COUNTIF(Asta!$D$4:$D$47,'_Supporto Listone'!B24)&gt;0,"Giacomo",IF(COUNTIF(Asta!$F$4:$F$47,'_Supporto Listone'!B24)&gt;0,"Niko",IF(COUNTIF(Asta!$H$4:$H$47,'_Supporto Listone'!B24)&gt;0,"Quici",IF(COUNTIF(Asta!$J$4:$J$47,'_Supporto Listone'!B24)&gt;0,"Fratello Quici",IF(COUNTIF(Asta!$L$4:$L$47,'_Supporto Listone'!B24)&gt;0,"Nicolò",IF(COUNTIF(Asta!$N$4:$N$47,'_Supporto Listone'!B24)&gt;0,"Vi",IF(COUNTIF(Asta!$P$4:$P$47,'_Supporto Listone'!B24)&gt;0,"Lore",IF(COUNTIF(Asta!$R$4:$R$47,'_Supporto Listone'!B24)&gt;0,"Robbo",IF(COUNTIF(Asta!$T$4:$T$47,'_Supporto Listone'!B24)&gt;0,"Ale",""))))))))))</x:f>
      </x:c>
      <x:c r="K24" s="489" t="str">
        <x:f>IF(COUNTIF(Asta!$B$4:$B$47,'_Supporto Listone'!B24)&gt;0,INDEX(Asta!$C$4:$C$47,MATCH('_Supporto Listone'!B24,Asta!$B$4:$B$47,0)),IF(COUNTIF(Asta!$D$4:$D$47,'_Supporto Listone'!B24)&gt;0,INDEX(Asta!$E$4:$E$47,MATCH('_Supporto Listone'!B24,Asta!$D$4:$D$47,0)),IF(COUNTIF(Asta!$F$4:$F$47,'_Supporto Listone'!B24)&gt;0,INDEX(Asta!$G$4:$G$47,MATCH('_Supporto Listone'!B24,Asta!$F$4:$F$47,0)),IF(COUNTIF(Asta!$H$4:$H$47,'_Supporto Listone'!B24)&gt;0,INDEX(Asta!$I$4:$I$47,MATCH('_Supporto Listone'!B24,Asta!$H$4:$H$47,0)),IF(COUNTIF(Asta!$J$4:$J$47,'_Supporto Listone'!B24)&gt;0,INDEX(Asta!$K$4:$K$47,MATCH('_Supporto Listone'!B24,Asta!$J$4:$J$47,0)),IF(COUNTIF(Asta!$L$4:$L$47,'_Supporto Listone'!B24)&gt;0,INDEX(Asta!$M$4:$M$47,MATCH('_Supporto Listone'!B24,Asta!$L$4:$L$47,0)),IF(COUNTIF(Asta!$N$4:$N$47,'_Supporto Listone'!B24)&gt;0,INDEX(Asta!$O$4:$O$47,MATCH('_Supporto Listone'!B24,Asta!$N$4:$N$47,0)),IF(COUNTIF(Asta!$P$4:$P$47,'_Supporto Listone'!B24)&gt;0,INDEX(Asta!$Q$4:$Q$47,MATCH('_Supporto Listone'!B24,Asta!$P$4:$P$47,0)),IF(COUNTIF(Asta!$R$4:$R$47,'_Supporto Listone'!B24)&gt;0,INDEX(Asta!$S$4:$S$47,MATCH('_Supporto Listone'!B24,Asta!$R$4:$R$47,0)),IF(COUNTIF(Asta!$T$4:$T$47,'_Supporto Listone'!B24)&gt;0,INDEX(Asta!$U$4:$U$47,MATCH('_Supporto Listone'!B24,Asta!$T$4:$T$47,0)),""))))))))))</x:f>
      </x:c>
    </x:row>
    <x:row r="25">
      <x:c r="A25" s="425" t="str">
        <x:f>IF($J25&lt;&gt;"",REGEXREPLACE(TO_TEXT('_Supporto Listone'!A25),"(.)","$1"&amp;UNICHAR(822)),'_Supporto Listone'!A25)</x:f>
        <x:v>P</x:v>
      </x:c>
      <x:c r="B25" s="423" t="str">
        <x:f>IF($J25&lt;&gt;"",REGEXREPLACE(TO_TEXT('_Supporto Listone'!B25),"(.)","$1"&amp;UNICHAR(822)),'_Supporto Listone'!B25)</x:f>
        <x:v>Stankovic F.</x:v>
      </x:c>
      <x:c r="C25" s="423" t="str">
        <x:f>IF($J25&lt;&gt;"",REGEXREPLACE(TO_TEXT('_Supporto Listone'!C25),"(.)","$1"&amp;UNICHAR(822)),'_Supporto Listone'!C25)</x:f>
        <x:v>Venezia</x:v>
      </x:c>
      <x:c r="D25" s="423" t="str">
        <x:f>IF($J25&lt;&gt;"",REGEXREPLACE(TO_TEXT('_Supporto Listone'!D25),"(.)","$1"&amp;UNICHAR(822)),'_Supporto Listone'!D25)</x:f>
        <x:v>Por</x:v>
      </x:c>
      <x:c r="E25" s="423" t="str">
        <x:f>IF($J25&lt;&gt;"",REGEXREPLACE(TO_TEXT('_Supporto Listone'!E25),"(.)","$1"&amp;UNICHAR(822)),'_Supporto Listone'!E25)</x:f>
        <x:v>Titolare</x:v>
      </x:c>
      <x:c r="F25" s="458" t="n">
        <x:f>IF($J25&lt;&gt;"",REGEXREPLACE(TO_TEXT('_Supporto Listone'!F25),"(.)","$1"&amp;UNICHAR(822)),'_Supporto Listone'!F25)</x:f>
        <x:v>6</x:v>
      </x:c>
      <x:c r="G25" s="458" t="n">
        <x:f>IF($J25&lt;&gt;"",REGEXREPLACE(TO_TEXT('_Supporto Listone'!G25),"(.)","$1"&amp;UNICHAR(822)),'_Supporto Listone'!G25)</x:f>
        <x:v>14</x:v>
      </x:c>
      <x:c r="H25" s="458" t="n">
        <x:f>IF($J25&lt;&gt;"",REGEXREPLACE(TO_TEXT('_Supporto Listone'!H25),"(.)","$1"&amp;UNICHAR(822)),'_Supporto Listone'!H25)</x:f>
        <x:v>7</x:v>
      </x:c>
      <x:c r="I25" s="422"/>
      <x:c r="J25" s="423" t="str">
        <x:f>IF(COUNTIF(Asta!$B$4:$B$47,'_Supporto Listone'!B25)&gt;0,"Simone",IF(COUNTIF(Asta!$D$4:$D$47,'_Supporto Listone'!B25)&gt;0,"Giacomo",IF(COUNTIF(Asta!$F$4:$F$47,'_Supporto Listone'!B25)&gt;0,"Niko",IF(COUNTIF(Asta!$H$4:$H$47,'_Supporto Listone'!B25)&gt;0,"Quici",IF(COUNTIF(Asta!$J$4:$J$47,'_Supporto Listone'!B25)&gt;0,"Fratello Quici",IF(COUNTIF(Asta!$L$4:$L$47,'_Supporto Listone'!B25)&gt;0,"Nicolò",IF(COUNTIF(Asta!$N$4:$N$47,'_Supporto Listone'!B25)&gt;0,"Vi",IF(COUNTIF(Asta!$P$4:$P$47,'_Supporto Listone'!B25)&gt;0,"Lore",IF(COUNTIF(Asta!$R$4:$R$47,'_Supporto Listone'!B25)&gt;0,"Robbo",IF(COUNTIF(Asta!$T$4:$T$47,'_Supporto Listone'!B25)&gt;0,"Ale",""))))))))))</x:f>
      </x:c>
      <x:c r="K25" s="489" t="str">
        <x:f>IF(COUNTIF(Asta!$B$4:$B$47,'_Supporto Listone'!B25)&gt;0,INDEX(Asta!$C$4:$C$47,MATCH('_Supporto Listone'!B25,Asta!$B$4:$B$47,0)),IF(COUNTIF(Asta!$D$4:$D$47,'_Supporto Listone'!B25)&gt;0,INDEX(Asta!$E$4:$E$47,MATCH('_Supporto Listone'!B25,Asta!$D$4:$D$47,0)),IF(COUNTIF(Asta!$F$4:$F$47,'_Supporto Listone'!B25)&gt;0,INDEX(Asta!$G$4:$G$47,MATCH('_Supporto Listone'!B25,Asta!$F$4:$F$47,0)),IF(COUNTIF(Asta!$H$4:$H$47,'_Supporto Listone'!B25)&gt;0,INDEX(Asta!$I$4:$I$47,MATCH('_Supporto Listone'!B25,Asta!$H$4:$H$47,0)),IF(COUNTIF(Asta!$J$4:$J$47,'_Supporto Listone'!B25)&gt;0,INDEX(Asta!$K$4:$K$47,MATCH('_Supporto Listone'!B25,Asta!$J$4:$J$47,0)),IF(COUNTIF(Asta!$L$4:$L$47,'_Supporto Listone'!B25)&gt;0,INDEX(Asta!$M$4:$M$47,MATCH('_Supporto Listone'!B25,Asta!$L$4:$L$47,0)),IF(COUNTIF(Asta!$N$4:$N$47,'_Supporto Listone'!B25)&gt;0,INDEX(Asta!$O$4:$O$47,MATCH('_Supporto Listone'!B25,Asta!$N$4:$N$47,0)),IF(COUNTIF(Asta!$P$4:$P$47,'_Supporto Listone'!B25)&gt;0,INDEX(Asta!$Q$4:$Q$47,MATCH('_Supporto Listone'!B25,Asta!$P$4:$P$47,0)),IF(COUNTIF(Asta!$R$4:$R$47,'_Supporto Listone'!B25)&gt;0,INDEX(Asta!$S$4:$S$47,MATCH('_Supporto Listone'!B25,Asta!$R$4:$R$47,0)),IF(COUNTIF(Asta!$T$4:$T$47,'_Supporto Listone'!B25)&gt;0,INDEX(Asta!$U$4:$U$47,MATCH('_Supporto Listone'!B25,Asta!$T$4:$T$47,0)),""))))))))))</x:f>
      </x:c>
    </x:row>
    <x:row r="26">
      <x:c r="A26" s="425" t="str">
        <x:f>IF($J26&lt;&gt;"",REGEXREPLACE(TO_TEXT('_Supporto Listone'!A26),"(.)","$1"&amp;UNICHAR(822)),'_Supporto Listone'!A26)</x:f>
        <x:v>P</x:v>
      </x:c>
      <x:c r="B26" s="423" t="str">
        <x:f>IF($J26&lt;&gt;"",REGEXREPLACE(TO_TEXT('_Supporto Listone'!B26),"(.)","$1"&amp;UNICHAR(822)),'_Supporto Listone'!B26)</x:f>
        <x:v>Thiam</x:v>
      </x:c>
      <x:c r="C26" s="423" t="str">
        <x:f>IF($J26&lt;&gt;"",REGEXREPLACE(TO_TEXT('_Supporto Listone'!C26),"(.)","$1"&amp;UNICHAR(822)),'_Supporto Listone'!C26)</x:f>
        <x:v>Monza</x:v>
      </x:c>
      <x:c r="D26" s="423" t="str">
        <x:f>IF($J26&lt;&gt;"",REGEXREPLACE(TO_TEXT('_Supporto Listone'!D26),"(.)","$1"&amp;UNICHAR(822)),'_Supporto Listone'!D26)</x:f>
        <x:v>Por</x:v>
      </x:c>
      <x:c r="E26" s="423" t="str">
        <x:f>IF($J26&lt;&gt;"",REGEXREPLACE(TO_TEXT('_Supporto Listone'!E26),"(.)","$1"&amp;UNICHAR(822)),'_Supporto Listone'!E26)</x:f>
        <x:v>Riserva / rotazione</x:v>
      </x:c>
      <x:c r="F26" s="458" t="n">
        <x:f>IF($J26&lt;&gt;"",REGEXREPLACE(TO_TEXT('_Supporto Listone'!F26),"(.)","$1"&amp;UNICHAR(822)),'_Supporto Listone'!F26)</x:f>
        <x:v>5</x:v>
      </x:c>
      <x:c r="G26" s="458" t="n">
        <x:f>IF($J26&lt;&gt;"",REGEXREPLACE(TO_TEXT('_Supporto Listone'!G26),"(.)","$1"&amp;UNICHAR(822)),'_Supporto Listone'!G26)</x:f>
        <x:v>12</x:v>
      </x:c>
      <x:c r="H26" s="458" t="n">
        <x:f>IF($J26&lt;&gt;"",REGEXREPLACE(TO_TEXT('_Supporto Listone'!H26),"(.)","$1"&amp;UNICHAR(822)),'_Supporto Listone'!H26)</x:f>
        <x:v>6</x:v>
      </x:c>
      <x:c r="I26" s="422"/>
      <x:c r="J26" s="423" t="str">
        <x:f>IF(COUNTIF(Asta!$B$4:$B$47,'_Supporto Listone'!B26)&gt;0,"Simone",IF(COUNTIF(Asta!$D$4:$D$47,'_Supporto Listone'!B26)&gt;0,"Giacomo",IF(COUNTIF(Asta!$F$4:$F$47,'_Supporto Listone'!B26)&gt;0,"Niko",IF(COUNTIF(Asta!$H$4:$H$47,'_Supporto Listone'!B26)&gt;0,"Quici",IF(COUNTIF(Asta!$J$4:$J$47,'_Supporto Listone'!B26)&gt;0,"Fratello Quici",IF(COUNTIF(Asta!$L$4:$L$47,'_Supporto Listone'!B26)&gt;0,"Nicolò",IF(COUNTIF(Asta!$N$4:$N$47,'_Supporto Listone'!B26)&gt;0,"Vi",IF(COUNTIF(Asta!$P$4:$P$47,'_Supporto Listone'!B26)&gt;0,"Lore",IF(COUNTIF(Asta!$R$4:$R$47,'_Supporto Listone'!B26)&gt;0,"Robbo",IF(COUNTIF(Asta!$T$4:$T$47,'_Supporto Listone'!B26)&gt;0,"Ale",""))))))))))</x:f>
      </x:c>
      <x:c r="K26" s="489" t="str">
        <x:f>IF(COUNTIF(Asta!$B$4:$B$47,'_Supporto Listone'!B26)&gt;0,INDEX(Asta!$C$4:$C$47,MATCH('_Supporto Listone'!B26,Asta!$B$4:$B$47,0)),IF(COUNTIF(Asta!$D$4:$D$47,'_Supporto Listone'!B26)&gt;0,INDEX(Asta!$E$4:$E$47,MATCH('_Supporto Listone'!B26,Asta!$D$4:$D$47,0)),IF(COUNTIF(Asta!$F$4:$F$47,'_Supporto Listone'!B26)&gt;0,INDEX(Asta!$G$4:$G$47,MATCH('_Supporto Listone'!B26,Asta!$F$4:$F$47,0)),IF(COUNTIF(Asta!$H$4:$H$47,'_Supporto Listone'!B26)&gt;0,INDEX(Asta!$I$4:$I$47,MATCH('_Supporto Listone'!B26,Asta!$H$4:$H$47,0)),IF(COUNTIF(Asta!$J$4:$J$47,'_Supporto Listone'!B26)&gt;0,INDEX(Asta!$K$4:$K$47,MATCH('_Supporto Listone'!B26,Asta!$J$4:$J$47,0)),IF(COUNTIF(Asta!$L$4:$L$47,'_Supporto Listone'!B26)&gt;0,INDEX(Asta!$M$4:$M$47,MATCH('_Supporto Listone'!B26,Asta!$L$4:$L$47,0)),IF(COUNTIF(Asta!$N$4:$N$47,'_Supporto Listone'!B26)&gt;0,INDEX(Asta!$O$4:$O$47,MATCH('_Supporto Listone'!B26,Asta!$N$4:$N$47,0)),IF(COUNTIF(Asta!$P$4:$P$47,'_Supporto Listone'!B26)&gt;0,INDEX(Asta!$Q$4:$Q$47,MATCH('_Supporto Listone'!B26,Asta!$P$4:$P$47,0)),IF(COUNTIF(Asta!$R$4:$R$47,'_Supporto Listone'!B26)&gt;0,INDEX(Asta!$S$4:$S$47,MATCH('_Supporto Listone'!B26,Asta!$R$4:$R$47,0)),IF(COUNTIF(Asta!$T$4:$T$47,'_Supporto Listone'!B26)&gt;0,INDEX(Asta!$U$4:$U$47,MATCH('_Supporto Listone'!B26,Asta!$T$4:$T$47,0)),""))))))))))</x:f>
      </x:c>
    </x:row>
    <x:row r="27">
      <x:c r="A27" s="425" t="str">
        <x:f>IF($J27&lt;&gt;"",REGEXREPLACE(TO_TEXT('_Supporto Listone'!A27),"(.)","$1"&amp;UNICHAR(822)),'_Supporto Listone'!A27)</x:f>
        <x:v>P</x:v>
      </x:c>
      <x:c r="B27" s="423" t="str">
        <x:f>IF($J27&lt;&gt;"",REGEXREPLACE(TO_TEXT('_Supporto Listone'!B27),"(.)","$1"&amp;UNICHAR(822)),'_Supporto Listone'!B27)</x:f>
        <x:v>Milinkovic-Savic V.</x:v>
      </x:c>
      <x:c r="C27" s="423" t="str">
        <x:f>IF($J27&lt;&gt;"",REGEXREPLACE(TO_TEXT('_Supporto Listone'!C27),"(.)","$1"&amp;UNICHAR(822)),'_Supporto Listone'!C27)</x:f>
        <x:v>Napoli</x:v>
      </x:c>
      <x:c r="D27" s="423" t="str">
        <x:f>IF($J27&lt;&gt;"",REGEXREPLACE(TO_TEXT('_Supporto Listone'!D27),"(.)","$1"&amp;UNICHAR(822)),'_Supporto Listone'!D27)</x:f>
        <x:v>Por</x:v>
      </x:c>
      <x:c r="E27" s="423" t="str">
        <x:f>IF($J27&lt;&gt;"",REGEXREPLACE(TO_TEXT('_Supporto Listone'!E27),"(.)","$1"&amp;UNICHAR(822)),'_Supporto Listone'!E27)</x:f>
        <x:v>Riserva / rotazione</x:v>
      </x:c>
      <x:c r="F27" s="458" t="n">
        <x:f>IF($J27&lt;&gt;"",REGEXREPLACE(TO_TEXT('_Supporto Listone'!F27),"(.)","$1"&amp;UNICHAR(822)),'_Supporto Listone'!F27)</x:f>
        <x:v>5</x:v>
      </x:c>
      <x:c r="G27" s="458" t="n">
        <x:f>IF($J27&lt;&gt;"",REGEXREPLACE(TO_TEXT('_Supporto Listone'!G27),"(.)","$1"&amp;UNICHAR(822)),'_Supporto Listone'!G27)</x:f>
        <x:v>10</x:v>
      </x:c>
      <x:c r="H27" s="458" t="n">
        <x:f>IF($J27&lt;&gt;"",REGEXREPLACE(TO_TEXT('_Supporto Listone'!H27),"(.)","$1"&amp;UNICHAR(822)),'_Supporto Listone'!H27)</x:f>
        <x:v>5</x:v>
      </x:c>
      <x:c r="I27" s="422"/>
      <x:c r="J27" s="423" t="str">
        <x:f>IF(COUNTIF(Asta!$B$4:$B$47,'_Supporto Listone'!B27)&gt;0,"Simone",IF(COUNTIF(Asta!$D$4:$D$47,'_Supporto Listone'!B27)&gt;0,"Giacomo",IF(COUNTIF(Asta!$F$4:$F$47,'_Supporto Listone'!B27)&gt;0,"Niko",IF(COUNTIF(Asta!$H$4:$H$47,'_Supporto Listone'!B27)&gt;0,"Quici",IF(COUNTIF(Asta!$J$4:$J$47,'_Supporto Listone'!B27)&gt;0,"Fratello Quici",IF(COUNTIF(Asta!$L$4:$L$47,'_Supporto Listone'!B27)&gt;0,"Nicolò",IF(COUNTIF(Asta!$N$4:$N$47,'_Supporto Listone'!B27)&gt;0,"Vi",IF(COUNTIF(Asta!$P$4:$P$47,'_Supporto Listone'!B27)&gt;0,"Lore",IF(COUNTIF(Asta!$R$4:$R$47,'_Supporto Listone'!B27)&gt;0,"Robbo",IF(COUNTIF(Asta!$T$4:$T$47,'_Supporto Listone'!B27)&gt;0,"Ale",""))))))))))</x:f>
      </x:c>
      <x:c r="K27" s="489" t="str">
        <x:f>IF(COUNTIF(Asta!$B$4:$B$47,'_Supporto Listone'!B27)&gt;0,INDEX(Asta!$C$4:$C$47,MATCH('_Supporto Listone'!B27,Asta!$B$4:$B$47,0)),IF(COUNTIF(Asta!$D$4:$D$47,'_Supporto Listone'!B27)&gt;0,INDEX(Asta!$E$4:$E$47,MATCH('_Supporto Listone'!B27,Asta!$D$4:$D$47,0)),IF(COUNTIF(Asta!$F$4:$F$47,'_Supporto Listone'!B27)&gt;0,INDEX(Asta!$G$4:$G$47,MATCH('_Supporto Listone'!B27,Asta!$F$4:$F$47,0)),IF(COUNTIF(Asta!$H$4:$H$47,'_Supporto Listone'!B27)&gt;0,INDEX(Asta!$I$4:$I$47,MATCH('_Supporto Listone'!B27,Asta!$H$4:$H$47,0)),IF(COUNTIF(Asta!$J$4:$J$47,'_Supporto Listone'!B27)&gt;0,INDEX(Asta!$K$4:$K$47,MATCH('_Supporto Listone'!B27,Asta!$J$4:$J$47,0)),IF(COUNTIF(Asta!$L$4:$L$47,'_Supporto Listone'!B27)&gt;0,INDEX(Asta!$M$4:$M$47,MATCH('_Supporto Listone'!B27,Asta!$L$4:$L$47,0)),IF(COUNTIF(Asta!$N$4:$N$47,'_Supporto Listone'!B27)&gt;0,INDEX(Asta!$O$4:$O$47,MATCH('_Supporto Listone'!B27,Asta!$N$4:$N$47,0)),IF(COUNTIF(Asta!$P$4:$P$47,'_Supporto Listone'!B27)&gt;0,INDEX(Asta!$Q$4:$Q$47,MATCH('_Supporto Listone'!B27,Asta!$P$4:$P$47,0)),IF(COUNTIF(Asta!$R$4:$R$47,'_Supporto Listone'!B27)&gt;0,INDEX(Asta!$S$4:$S$47,MATCH('_Supporto Listone'!B27,Asta!$R$4:$R$47,0)),IF(COUNTIF(Asta!$T$4:$T$47,'_Supporto Listone'!B27)&gt;0,INDEX(Asta!$U$4:$U$47,MATCH('_Supporto Listone'!B27,Asta!$T$4:$T$47,0)),""))))))))))</x:f>
      </x:c>
    </x:row>
    <x:row r="28">
      <x:c r="A28" s="425" t="str">
        <x:f>IF($J28&lt;&gt;"",REGEXREPLACE(TO_TEXT('_Supporto Listone'!A28),"(.)","$1"&amp;UNICHAR(822)),'_Supporto Listone'!A28)</x:f>
        <x:v>P</x:v>
      </x:c>
      <x:c r="B28" s="423" t="str">
        <x:f>IF($J28&lt;&gt;"",REGEXREPLACE(TO_TEXT('_Supporto Listone'!B28),"(.)","$1"&amp;UNICHAR(822)),'_Supporto Listone'!B28)</x:f>
        <x:v>Palmisani</x:v>
      </x:c>
      <x:c r="C28" s="423" t="str">
        <x:f>IF($J28&lt;&gt;"",REGEXREPLACE(TO_TEXT('_Supporto Listone'!C28),"(.)","$1"&amp;UNICHAR(822)),'_Supporto Listone'!C28)</x:f>
        <x:v>Frosinone</x:v>
      </x:c>
      <x:c r="D28" s="423" t="str">
        <x:f>IF($J28&lt;&gt;"",REGEXREPLACE(TO_TEXT('_Supporto Listone'!D28),"(.)","$1"&amp;UNICHAR(822)),'_Supporto Listone'!D28)</x:f>
        <x:v>Por</x:v>
      </x:c>
      <x:c r="E28" s="423" t="str">
        <x:f>IF($J28&lt;&gt;"",REGEXREPLACE(TO_TEXT('_Supporto Listone'!E28),"(.)","$1"&amp;UNICHAR(822)),'_Supporto Listone'!E28)</x:f>
        <x:v>Titolare</x:v>
      </x:c>
      <x:c r="F28" s="458" t="n">
        <x:f>IF($J28&lt;&gt;"",REGEXREPLACE(TO_TEXT('_Supporto Listone'!F28),"(.)","$1"&amp;UNICHAR(822)),'_Supporto Listone'!F28)</x:f>
        <x:v>4</x:v>
      </x:c>
      <x:c r="G28" s="458" t="n">
        <x:f>IF($J28&lt;&gt;"",REGEXREPLACE(TO_TEXT('_Supporto Listone'!G28),"(.)","$1"&amp;UNICHAR(822)),'_Supporto Listone'!G28)</x:f>
        <x:v>8</x:v>
      </x:c>
      <x:c r="H28" s="458" t="n">
        <x:f>IF($J28&lt;&gt;"",REGEXREPLACE(TO_TEXT('_Supporto Listone'!H28),"(.)","$1"&amp;UNICHAR(822)),'_Supporto Listone'!H28)</x:f>
        <x:v>4</x:v>
      </x:c>
      <x:c r="I28" s="422"/>
      <x:c r="J28" s="423" t="str">
        <x:f>IF(COUNTIF(Asta!$B$4:$B$47,'_Supporto Listone'!B28)&gt;0,"Simone",IF(COUNTIF(Asta!$D$4:$D$47,'_Supporto Listone'!B28)&gt;0,"Giacomo",IF(COUNTIF(Asta!$F$4:$F$47,'_Supporto Listone'!B28)&gt;0,"Niko",IF(COUNTIF(Asta!$H$4:$H$47,'_Supporto Listone'!B28)&gt;0,"Quici",IF(COUNTIF(Asta!$J$4:$J$47,'_Supporto Listone'!B28)&gt;0,"Fratello Quici",IF(COUNTIF(Asta!$L$4:$L$47,'_Supporto Listone'!B28)&gt;0,"Nicolò",IF(COUNTIF(Asta!$N$4:$N$47,'_Supporto Listone'!B28)&gt;0,"Vi",IF(COUNTIF(Asta!$P$4:$P$47,'_Supporto Listone'!B28)&gt;0,"Lore",IF(COUNTIF(Asta!$R$4:$R$47,'_Supporto Listone'!B28)&gt;0,"Robbo",IF(COUNTIF(Asta!$T$4:$T$47,'_Supporto Listone'!B28)&gt;0,"Ale",""))))))))))</x:f>
      </x:c>
      <x:c r="K28" s="489" t="str">
        <x:f>IF(COUNTIF(Asta!$B$4:$B$47,'_Supporto Listone'!B28)&gt;0,INDEX(Asta!$C$4:$C$47,MATCH('_Supporto Listone'!B28,Asta!$B$4:$B$47,0)),IF(COUNTIF(Asta!$D$4:$D$47,'_Supporto Listone'!B28)&gt;0,INDEX(Asta!$E$4:$E$47,MATCH('_Supporto Listone'!B28,Asta!$D$4:$D$47,0)),IF(COUNTIF(Asta!$F$4:$F$47,'_Supporto Listone'!B28)&gt;0,INDEX(Asta!$G$4:$G$47,MATCH('_Supporto Listone'!B28,Asta!$F$4:$F$47,0)),IF(COUNTIF(Asta!$H$4:$H$47,'_Supporto Listone'!B28)&gt;0,INDEX(Asta!$I$4:$I$47,MATCH('_Supporto Listone'!B28,Asta!$H$4:$H$47,0)),IF(COUNTIF(Asta!$J$4:$J$47,'_Supporto Listone'!B28)&gt;0,INDEX(Asta!$K$4:$K$47,MATCH('_Supporto Listone'!B28,Asta!$J$4:$J$47,0)),IF(COUNTIF(Asta!$L$4:$L$47,'_Supporto Listone'!B28)&gt;0,INDEX(Asta!$M$4:$M$47,MATCH('_Supporto Listone'!B28,Asta!$L$4:$L$47,0)),IF(COUNTIF(Asta!$N$4:$N$47,'_Supporto Listone'!B28)&gt;0,INDEX(Asta!$O$4:$O$47,MATCH('_Supporto Listone'!B28,Asta!$N$4:$N$47,0)),IF(COUNTIF(Asta!$P$4:$P$47,'_Supporto Listone'!B28)&gt;0,INDEX(Asta!$Q$4:$Q$47,MATCH('_Supporto Listone'!B28,Asta!$P$4:$P$47,0)),IF(COUNTIF(Asta!$R$4:$R$47,'_Supporto Listone'!B28)&gt;0,INDEX(Asta!$S$4:$S$47,MATCH('_Supporto Listone'!B28,Asta!$R$4:$R$47,0)),IF(COUNTIF(Asta!$T$4:$T$47,'_Supporto Listone'!B28)&gt;0,INDEX(Asta!$U$4:$U$47,MATCH('_Supporto Listone'!B28,Asta!$T$4:$T$47,0)),""))))))))))</x:f>
      </x:c>
    </x:row>
    <x:row r="29">
      <x:c r="A29" s="425" t="str">
        <x:f>IF($J29&lt;&gt;"",REGEXREPLACE(TO_TEXT('_Supporto Listone'!A29),"(.)","$1"&amp;UNICHAR(822)),'_Supporto Listone'!A29)</x:f>
        <x:v>P</x:v>
      </x:c>
      <x:c r="B29" s="423" t="str">
        <x:f>IF($J29&lt;&gt;"",REGEXREPLACE(TO_TEXT('_Supporto Listone'!B29),"(.)","$1"&amp;UNICHAR(822)),'_Supporto Listone'!B29)</x:f>
        <x:v>Desplanches</x:v>
      </x:c>
      <x:c r="C29" s="423" t="str">
        <x:f>IF($J29&lt;&gt;"",REGEXREPLACE(TO_TEXT('_Supporto Listone'!C29),"(.)","$1"&amp;UNICHAR(822)),'_Supporto Listone'!C29)</x:f>
        <x:v>Frosinone</x:v>
      </x:c>
      <x:c r="D29" s="423" t="str">
        <x:f>IF($J29&lt;&gt;"",REGEXREPLACE(TO_TEXT('_Supporto Listone'!D29),"(.)","$1"&amp;UNICHAR(822)),'_Supporto Listone'!D29)</x:f>
        <x:v>Por</x:v>
      </x:c>
      <x:c r="E29" s="423" t="str">
        <x:f>IF($J29&lt;&gt;"",REGEXREPLACE(TO_TEXT('_Supporto Listone'!E29),"(.)","$1"&amp;UNICHAR(822)),'_Supporto Listone'!E29)</x:f>
        <x:v>Riserva / rotazione</x:v>
      </x:c>
      <x:c r="F29" s="458" t="n">
        <x:f>IF($J29&lt;&gt;"",REGEXREPLACE(TO_TEXT('_Supporto Listone'!F29),"(.)","$1"&amp;UNICHAR(822)),'_Supporto Listone'!F29)</x:f>
        <x:v>2</x:v>
      </x:c>
      <x:c r="G29" s="458" t="n">
        <x:f>IF($J29&lt;&gt;"",REGEXREPLACE(TO_TEXT('_Supporto Listone'!G29),"(.)","$1"&amp;UNICHAR(822)),'_Supporto Listone'!G29)</x:f>
        <x:v>8</x:v>
      </x:c>
      <x:c r="H29" s="458" t="n">
        <x:f>IF($J29&lt;&gt;"",REGEXREPLACE(TO_TEXT('_Supporto Listone'!H29),"(.)","$1"&amp;UNICHAR(822)),'_Supporto Listone'!H29)</x:f>
        <x:v>4</x:v>
      </x:c>
      <x:c r="I29" s="422"/>
      <x:c r="J29" s="423" t="str">
        <x:f>IF(COUNTIF(Asta!$B$4:$B$47,'_Supporto Listone'!B29)&gt;0,"Simone",IF(COUNTIF(Asta!$D$4:$D$47,'_Supporto Listone'!B29)&gt;0,"Giacomo",IF(COUNTIF(Asta!$F$4:$F$47,'_Supporto Listone'!B29)&gt;0,"Niko",IF(COUNTIF(Asta!$H$4:$H$47,'_Supporto Listone'!B29)&gt;0,"Quici",IF(COUNTIF(Asta!$J$4:$J$47,'_Supporto Listone'!B29)&gt;0,"Fratello Quici",IF(COUNTIF(Asta!$L$4:$L$47,'_Supporto Listone'!B29)&gt;0,"Nicolò",IF(COUNTIF(Asta!$N$4:$N$47,'_Supporto Listone'!B29)&gt;0,"Vi",IF(COUNTIF(Asta!$P$4:$P$47,'_Supporto Listone'!B29)&gt;0,"Lore",IF(COUNTIF(Asta!$R$4:$R$47,'_Supporto Listone'!B29)&gt;0,"Robbo",IF(COUNTIF(Asta!$T$4:$T$47,'_Supporto Listone'!B29)&gt;0,"Ale",""))))))))))</x:f>
      </x:c>
      <x:c r="K29" s="489" t="str">
        <x:f>IF(COUNTIF(Asta!$B$4:$B$47,'_Supporto Listone'!B29)&gt;0,INDEX(Asta!$C$4:$C$47,MATCH('_Supporto Listone'!B29,Asta!$B$4:$B$47,0)),IF(COUNTIF(Asta!$D$4:$D$47,'_Supporto Listone'!B29)&gt;0,INDEX(Asta!$E$4:$E$47,MATCH('_Supporto Listone'!B29,Asta!$D$4:$D$47,0)),IF(COUNTIF(Asta!$F$4:$F$47,'_Supporto Listone'!B29)&gt;0,INDEX(Asta!$G$4:$G$47,MATCH('_Supporto Listone'!B29,Asta!$F$4:$F$47,0)),IF(COUNTIF(Asta!$H$4:$H$47,'_Supporto Listone'!B29)&gt;0,INDEX(Asta!$I$4:$I$47,MATCH('_Supporto Listone'!B29,Asta!$H$4:$H$47,0)),IF(COUNTIF(Asta!$J$4:$J$47,'_Supporto Listone'!B29)&gt;0,INDEX(Asta!$K$4:$K$47,MATCH('_Supporto Listone'!B29,Asta!$J$4:$J$47,0)),IF(COUNTIF(Asta!$L$4:$L$47,'_Supporto Listone'!B29)&gt;0,INDEX(Asta!$M$4:$M$47,MATCH('_Supporto Listone'!B29,Asta!$L$4:$L$47,0)),IF(COUNTIF(Asta!$N$4:$N$47,'_Supporto Listone'!B29)&gt;0,INDEX(Asta!$O$4:$O$47,MATCH('_Supporto Listone'!B29,Asta!$N$4:$N$47,0)),IF(COUNTIF(Asta!$P$4:$P$47,'_Supporto Listone'!B29)&gt;0,INDEX(Asta!$Q$4:$Q$47,MATCH('_Supporto Listone'!B29,Asta!$P$4:$P$47,0)),IF(COUNTIF(Asta!$R$4:$R$47,'_Supporto Listone'!B29)&gt;0,INDEX(Asta!$S$4:$S$47,MATCH('_Supporto Listone'!B29,Asta!$R$4:$R$47,0)),IF(COUNTIF(Asta!$T$4:$T$47,'_Supporto Listone'!B29)&gt;0,INDEX(Asta!$U$4:$U$47,MATCH('_Supporto Listone'!B29,Asta!$T$4:$T$47,0)),""))))))))))</x:f>
      </x:c>
    </x:row>
    <x:row r="30">
      <x:c r="A30" s="425" t="str">
        <x:f>IF($J30&lt;&gt;"",REGEXREPLACE(TO_TEXT('_Supporto Listone'!A30),"(.)","$1"&amp;UNICHAR(822)),'_Supporto Listone'!A30)</x:f>
        <x:v>P</x:v>
      </x:c>
      <x:c r="B30" s="423" t="str">
        <x:f>IF($J30&lt;&gt;"",REGEXREPLACE(TO_TEXT('_Supporto Listone'!B30),"(.)","$1"&amp;UNICHAR(822)),'_Supporto Listone'!B30)</x:f>
        <x:v>Provedel</x:v>
      </x:c>
      <x:c r="C30" s="423" t="str">
        <x:f>IF($J30&lt;&gt;"",REGEXREPLACE(TO_TEXT('_Supporto Listone'!C30),"(.)","$1"&amp;UNICHAR(822)),'_Supporto Listone'!C30)</x:f>
        <x:v>Inter</x:v>
      </x:c>
      <x:c r="D30" s="423" t="str">
        <x:f>IF($J30&lt;&gt;"",REGEXREPLACE(TO_TEXT('_Supporto Listone'!D30),"(.)","$1"&amp;UNICHAR(822)),'_Supporto Listone'!D30)</x:f>
        <x:v>Por</x:v>
      </x:c>
      <x:c r="E30" s="423" t="str">
        <x:f>IF($J30&lt;&gt;"",REGEXREPLACE(TO_TEXT('_Supporto Listone'!E30),"(.)","$1"&amp;UNICHAR(822)),'_Supporto Listone'!E30)</x:f>
        <x:v>Riserva / rotazione</x:v>
      </x:c>
      <x:c r="F30" s="458" t="n">
        <x:f>IF($J30&lt;&gt;"",REGEXREPLACE(TO_TEXT('_Supporto Listone'!F30),"(.)","$1"&amp;UNICHAR(822)),'_Supporto Listone'!F30)</x:f>
        <x:v>2</x:v>
      </x:c>
      <x:c r="G30" s="458" t="n">
        <x:f>IF($J30&lt;&gt;"",REGEXREPLACE(TO_TEXT('_Supporto Listone'!G30),"(.)","$1"&amp;UNICHAR(822)),'_Supporto Listone'!G30)</x:f>
        <x:v>5</x:v>
      </x:c>
      <x:c r="H30" s="458" t="n">
        <x:f>IF($J30&lt;&gt;"",REGEXREPLACE(TO_TEXT('_Supporto Listone'!H30),"(.)","$1"&amp;UNICHAR(822)),'_Supporto Listone'!H30)</x:f>
        <x:v>3</x:v>
      </x:c>
      <x:c r="I30" s="422"/>
      <x:c r="J30" s="423" t="str">
        <x:f>IF(COUNTIF(Asta!$B$4:$B$47,'_Supporto Listone'!B30)&gt;0,"Simone",IF(COUNTIF(Asta!$D$4:$D$47,'_Supporto Listone'!B30)&gt;0,"Giacomo",IF(COUNTIF(Asta!$F$4:$F$47,'_Supporto Listone'!B30)&gt;0,"Niko",IF(COUNTIF(Asta!$H$4:$H$47,'_Supporto Listone'!B30)&gt;0,"Quici",IF(COUNTIF(Asta!$J$4:$J$47,'_Supporto Listone'!B30)&gt;0,"Fratello Quici",IF(COUNTIF(Asta!$L$4:$L$47,'_Supporto Listone'!B30)&gt;0,"Nicolò",IF(COUNTIF(Asta!$N$4:$N$47,'_Supporto Listone'!B30)&gt;0,"Vi",IF(COUNTIF(Asta!$P$4:$P$47,'_Supporto Listone'!B30)&gt;0,"Lore",IF(COUNTIF(Asta!$R$4:$R$47,'_Supporto Listone'!B30)&gt;0,"Robbo",IF(COUNTIF(Asta!$T$4:$T$47,'_Supporto Listone'!B30)&gt;0,"Ale",""))))))))))</x:f>
      </x:c>
      <x:c r="K30" s="489" t="str">
        <x:f>IF(COUNTIF(Asta!$B$4:$B$47,'_Supporto Listone'!B30)&gt;0,INDEX(Asta!$C$4:$C$47,MATCH('_Supporto Listone'!B30,Asta!$B$4:$B$47,0)),IF(COUNTIF(Asta!$D$4:$D$47,'_Supporto Listone'!B30)&gt;0,INDEX(Asta!$E$4:$E$47,MATCH('_Supporto Listone'!B30,Asta!$D$4:$D$47,0)),IF(COUNTIF(Asta!$F$4:$F$47,'_Supporto Listone'!B30)&gt;0,INDEX(Asta!$G$4:$G$47,MATCH('_Supporto Listone'!B30,Asta!$F$4:$F$47,0)),IF(COUNTIF(Asta!$H$4:$H$47,'_Supporto Listone'!B30)&gt;0,INDEX(Asta!$I$4:$I$47,MATCH('_Supporto Listone'!B30,Asta!$H$4:$H$47,0)),IF(COUNTIF(Asta!$J$4:$J$47,'_Supporto Listone'!B30)&gt;0,INDEX(Asta!$K$4:$K$47,MATCH('_Supporto Listone'!B30,Asta!$J$4:$J$47,0)),IF(COUNTIF(Asta!$L$4:$L$47,'_Supporto Listone'!B30)&gt;0,INDEX(Asta!$M$4:$M$47,MATCH('_Supporto Listone'!B30,Asta!$L$4:$L$47,0)),IF(COUNTIF(Asta!$N$4:$N$47,'_Supporto Listone'!B30)&gt;0,INDEX(Asta!$O$4:$O$47,MATCH('_Supporto Listone'!B30,Asta!$N$4:$N$47,0)),IF(COUNTIF(Asta!$P$4:$P$47,'_Supporto Listone'!B30)&gt;0,INDEX(Asta!$Q$4:$Q$47,MATCH('_Supporto Listone'!B30,Asta!$P$4:$P$47,0)),IF(COUNTIF(Asta!$R$4:$R$47,'_Supporto Listone'!B30)&gt;0,INDEX(Asta!$S$4:$S$47,MATCH('_Supporto Listone'!B30,Asta!$R$4:$R$47,0)),IF(COUNTIF(Asta!$T$4:$T$47,'_Supporto Listone'!B30)&gt;0,INDEX(Asta!$U$4:$U$47,MATCH('_Supporto Listone'!B30,Asta!$T$4:$T$47,0)),""))))))))))</x:f>
      </x:c>
    </x:row>
    <x:row r="31">
      <x:c r="A31" s="425" t="str">
        <x:f>IF($J31&lt;&gt;"",REGEXREPLACE(TO_TEXT('_Supporto Listone'!A31),"(.)","$1"&amp;UNICHAR(822)),'_Supporto Listone'!A31)</x:f>
        <x:v>P</x:v>
      </x:c>
      <x:c r="B31" s="423" t="str">
        <x:f>IF($J31&lt;&gt;"",REGEXREPLACE(TO_TEXT('_Supporto Listone'!B31),"(.)","$1"&amp;UNICHAR(822)),'_Supporto Listone'!B31)</x:f>
        <x:v>Rossi F.</x:v>
      </x:c>
      <x:c r="C31" s="423" t="str">
        <x:f>IF($J31&lt;&gt;"",REGEXREPLACE(TO_TEXT('_Supporto Listone'!C31),"(.)","$1"&amp;UNICHAR(822)),'_Supporto Listone'!C31)</x:f>
        <x:v>Atalanta</x:v>
      </x:c>
      <x:c r="D31" s="423" t="str">
        <x:f>IF($J31&lt;&gt;"",REGEXREPLACE(TO_TEXT('_Supporto Listone'!D31),"(.)","$1"&amp;UNICHAR(822)),'_Supporto Listone'!D31)</x:f>
        <x:v>Por</x:v>
      </x:c>
      <x:c r="E31" s="423" t="str">
        <x:f>IF($J31&lt;&gt;"",REGEXREPLACE(TO_TEXT('_Supporto Listone'!E31),"(.)","$1"&amp;UNICHAR(822)),'_Supporto Listone'!E31)</x:f>
        <x:v>Riserva / rotazione</x:v>
      </x:c>
      <x:c r="F31" s="458" t="n">
        <x:f>IF($J31&lt;&gt;"",REGEXREPLACE(TO_TEXT('_Supporto Listone'!F31),"(.)","$1"&amp;UNICHAR(822)),'_Supporto Listone'!F31)</x:f>
        <x:v>1</x:v>
      </x:c>
      <x:c r="G31" s="458" t="n">
        <x:f>IF($J31&lt;&gt;"",REGEXREPLACE(TO_TEXT('_Supporto Listone'!G31),"(.)","$1"&amp;UNICHAR(822)),'_Supporto Listone'!G31)</x:f>
        <x:v>1</x:v>
      </x:c>
      <x:c r="H31" s="458" t="n">
        <x:f>IF($J31&lt;&gt;"",REGEXREPLACE(TO_TEXT('_Supporto Listone'!H31),"(.)","$1"&amp;UNICHAR(822)),'_Supporto Listone'!H31)</x:f>
        <x:v>1</x:v>
      </x:c>
      <x:c r="I31" s="422"/>
      <x:c r="J31" s="423" t="str">
        <x:f>IF(COUNTIF(Asta!$B$4:$B$47,'_Supporto Listone'!B31)&gt;0,"Simone",IF(COUNTIF(Asta!$D$4:$D$47,'_Supporto Listone'!B31)&gt;0,"Giacomo",IF(COUNTIF(Asta!$F$4:$F$47,'_Supporto Listone'!B31)&gt;0,"Niko",IF(COUNTIF(Asta!$H$4:$H$47,'_Supporto Listone'!B31)&gt;0,"Quici",IF(COUNTIF(Asta!$J$4:$J$47,'_Supporto Listone'!B31)&gt;0,"Fratello Quici",IF(COUNTIF(Asta!$L$4:$L$47,'_Supporto Listone'!B31)&gt;0,"Nicolò",IF(COUNTIF(Asta!$N$4:$N$47,'_Supporto Listone'!B31)&gt;0,"Vi",IF(COUNTIF(Asta!$P$4:$P$47,'_Supporto Listone'!B31)&gt;0,"Lore",IF(COUNTIF(Asta!$R$4:$R$47,'_Supporto Listone'!B31)&gt;0,"Robbo",IF(COUNTIF(Asta!$T$4:$T$47,'_Supporto Listone'!B31)&gt;0,"Ale",""))))))))))</x:f>
      </x:c>
      <x:c r="K31" s="489" t="str">
        <x:f>IF(COUNTIF(Asta!$B$4:$B$47,'_Supporto Listone'!B31)&gt;0,INDEX(Asta!$C$4:$C$47,MATCH('_Supporto Listone'!B31,Asta!$B$4:$B$47,0)),IF(COUNTIF(Asta!$D$4:$D$47,'_Supporto Listone'!B31)&gt;0,INDEX(Asta!$E$4:$E$47,MATCH('_Supporto Listone'!B31,Asta!$D$4:$D$47,0)),IF(COUNTIF(Asta!$F$4:$F$47,'_Supporto Listone'!B31)&gt;0,INDEX(Asta!$G$4:$G$47,MATCH('_Supporto Listone'!B31,Asta!$F$4:$F$47,0)),IF(COUNTIF(Asta!$H$4:$H$47,'_Supporto Listone'!B31)&gt;0,INDEX(Asta!$I$4:$I$47,MATCH('_Supporto Listone'!B31,Asta!$H$4:$H$47,0)),IF(COUNTIF(Asta!$J$4:$J$47,'_Supporto Listone'!B31)&gt;0,INDEX(Asta!$K$4:$K$47,MATCH('_Supporto Listone'!B31,Asta!$J$4:$J$47,0)),IF(COUNTIF(Asta!$L$4:$L$47,'_Supporto Listone'!B31)&gt;0,INDEX(Asta!$M$4:$M$47,MATCH('_Supporto Listone'!B31,Asta!$L$4:$L$47,0)),IF(COUNTIF(Asta!$N$4:$N$47,'_Supporto Listone'!B31)&gt;0,INDEX(Asta!$O$4:$O$47,MATCH('_Supporto Listone'!B31,Asta!$N$4:$N$47,0)),IF(COUNTIF(Asta!$P$4:$P$47,'_Supporto Listone'!B31)&gt;0,INDEX(Asta!$Q$4:$Q$47,MATCH('_Supporto Listone'!B31,Asta!$P$4:$P$47,0)),IF(COUNTIF(Asta!$R$4:$R$47,'_Supporto Listone'!B31)&gt;0,INDEX(Asta!$S$4:$S$47,MATCH('_Supporto Listone'!B31,Asta!$R$4:$R$47,0)),IF(COUNTIF(Asta!$T$4:$T$47,'_Supporto Listone'!B31)&gt;0,INDEX(Asta!$U$4:$U$47,MATCH('_Supporto Listone'!B31,Asta!$T$4:$T$47,0)),""))))))))))</x:f>
      </x:c>
    </x:row>
    <x:row r="32">
      <x:c r="A32" s="425" t="str">
        <x:f>IF($J32&lt;&gt;"",REGEXREPLACE(TO_TEXT('_Supporto Listone'!A32),"(.)","$1"&amp;UNICHAR(822)),'_Supporto Listone'!A32)</x:f>
        <x:v>P</x:v>
      </x:c>
      <x:c r="B32" s="423" t="str">
        <x:f>IF($J32&lt;&gt;"",REGEXREPLACE(TO_TEXT('_Supporto Listone'!B32),"(.)","$1"&amp;UNICHAR(822)),'_Supporto Listone'!B32)</x:f>
        <x:v>Sportiello</x:v>
      </x:c>
      <x:c r="C32" s="423" t="str">
        <x:f>IF($J32&lt;&gt;"",REGEXREPLACE(TO_TEXT('_Supporto Listone'!C32),"(.)","$1"&amp;UNICHAR(822)),'_Supporto Listone'!C32)</x:f>
        <x:v>Atalanta</x:v>
      </x:c>
      <x:c r="D32" s="423" t="str">
        <x:f>IF($J32&lt;&gt;"",REGEXREPLACE(TO_TEXT('_Supporto Listone'!D32),"(.)","$1"&amp;UNICHAR(822)),'_Supporto Listone'!D32)</x:f>
        <x:v>Por</x:v>
      </x:c>
      <x:c r="E32" s="423" t="str">
        <x:f>IF($J32&lt;&gt;"",REGEXREPLACE(TO_TEXT('_Supporto Listone'!E32),"(.)","$1"&amp;UNICHAR(822)),'_Supporto Listone'!E32)</x:f>
        <x:v>Riserva / rotazione</x:v>
      </x:c>
      <x:c r="F32" s="458" t="n">
        <x:f>IF($J32&lt;&gt;"",REGEXREPLACE(TO_TEXT('_Supporto Listone'!F32),"(.)","$1"&amp;UNICHAR(822)),'_Supporto Listone'!F32)</x:f>
        <x:v>1</x:v>
      </x:c>
      <x:c r="G32" s="458" t="n">
        <x:f>IF($J32&lt;&gt;"",REGEXREPLACE(TO_TEXT('_Supporto Listone'!G32),"(.)","$1"&amp;UNICHAR(822)),'_Supporto Listone'!G32)</x:f>
        <x:v>1</x:v>
      </x:c>
      <x:c r="H32" s="458" t="n">
        <x:f>IF($J32&lt;&gt;"",REGEXREPLACE(TO_TEXT('_Supporto Listone'!H32),"(.)","$1"&amp;UNICHAR(822)),'_Supporto Listone'!H32)</x:f>
        <x:v>1</x:v>
      </x:c>
      <x:c r="I32" s="422"/>
      <x:c r="J32" s="423" t="str">
        <x:f>IF(COUNTIF(Asta!$B$4:$B$47,'_Supporto Listone'!B32)&gt;0,"Simone",IF(COUNTIF(Asta!$D$4:$D$47,'_Supporto Listone'!B32)&gt;0,"Giacomo",IF(COUNTIF(Asta!$F$4:$F$47,'_Supporto Listone'!B32)&gt;0,"Niko",IF(COUNTIF(Asta!$H$4:$H$47,'_Supporto Listone'!B32)&gt;0,"Quici",IF(COUNTIF(Asta!$J$4:$J$47,'_Supporto Listone'!B32)&gt;0,"Fratello Quici",IF(COUNTIF(Asta!$L$4:$L$47,'_Supporto Listone'!B32)&gt;0,"Nicolò",IF(COUNTIF(Asta!$N$4:$N$47,'_Supporto Listone'!B32)&gt;0,"Vi",IF(COUNTIF(Asta!$P$4:$P$47,'_Supporto Listone'!B32)&gt;0,"Lore",IF(COUNTIF(Asta!$R$4:$R$47,'_Supporto Listone'!B32)&gt;0,"Robbo",IF(COUNTIF(Asta!$T$4:$T$47,'_Supporto Listone'!B32)&gt;0,"Ale",""))))))))))</x:f>
      </x:c>
      <x:c r="K32" s="489" t="str">
        <x:f>IF(COUNTIF(Asta!$B$4:$B$47,'_Supporto Listone'!B32)&gt;0,INDEX(Asta!$C$4:$C$47,MATCH('_Supporto Listone'!B32,Asta!$B$4:$B$47,0)),IF(COUNTIF(Asta!$D$4:$D$47,'_Supporto Listone'!B32)&gt;0,INDEX(Asta!$E$4:$E$47,MATCH('_Supporto Listone'!B32,Asta!$D$4:$D$47,0)),IF(COUNTIF(Asta!$F$4:$F$47,'_Supporto Listone'!B32)&gt;0,INDEX(Asta!$G$4:$G$47,MATCH('_Supporto Listone'!B32,Asta!$F$4:$F$47,0)),IF(COUNTIF(Asta!$H$4:$H$47,'_Supporto Listone'!B32)&gt;0,INDEX(Asta!$I$4:$I$47,MATCH('_Supporto Listone'!B32,Asta!$H$4:$H$47,0)),IF(COUNTIF(Asta!$J$4:$J$47,'_Supporto Listone'!B32)&gt;0,INDEX(Asta!$K$4:$K$47,MATCH('_Supporto Listone'!B32,Asta!$J$4:$J$47,0)),IF(COUNTIF(Asta!$L$4:$L$47,'_Supporto Listone'!B32)&gt;0,INDEX(Asta!$M$4:$M$47,MATCH('_Supporto Listone'!B32,Asta!$L$4:$L$47,0)),IF(COUNTIF(Asta!$N$4:$N$47,'_Supporto Listone'!B32)&gt;0,INDEX(Asta!$O$4:$O$47,MATCH('_Supporto Listone'!B32,Asta!$N$4:$N$47,0)),IF(COUNTIF(Asta!$P$4:$P$47,'_Supporto Listone'!B32)&gt;0,INDEX(Asta!$Q$4:$Q$47,MATCH('_Supporto Listone'!B32,Asta!$P$4:$P$47,0)),IF(COUNTIF(Asta!$R$4:$R$47,'_Supporto Listone'!B32)&gt;0,INDEX(Asta!$S$4:$S$47,MATCH('_Supporto Listone'!B32,Asta!$R$4:$R$47,0)),IF(COUNTIF(Asta!$T$4:$T$47,'_Supporto Listone'!B32)&gt;0,INDEX(Asta!$U$4:$U$47,MATCH('_Supporto Listone'!B32,Asta!$T$4:$T$47,0)),""))))))))))</x:f>
      </x:c>
    </x:row>
    <x:row r="33">
      <x:c r="A33" s="425" t="str">
        <x:f>IF($J33&lt;&gt;"",REGEXREPLACE(TO_TEXT('_Supporto Listone'!A33),"(.)","$1"&amp;UNICHAR(822)),'_Supporto Listone'!A33)</x:f>
        <x:v>P</x:v>
      </x:c>
      <x:c r="B33" s="423" t="str">
        <x:f>IF($J33&lt;&gt;"",REGEXREPLACE(TO_TEXT('_Supporto Listone'!B33),"(.)","$1"&amp;UNICHAR(822)),'_Supporto Listone'!B33)</x:f>
        <x:v>Happonen</x:v>
      </x:c>
      <x:c r="C33" s="423" t="str">
        <x:f>IF($J33&lt;&gt;"",REGEXREPLACE(TO_TEXT('_Supporto Listone'!C33),"(.)","$1"&amp;UNICHAR(822)),'_Supporto Listone'!C33)</x:f>
        <x:v>Bologna</x:v>
      </x:c>
      <x:c r="D33" s="423" t="str">
        <x:f>IF($J33&lt;&gt;"",REGEXREPLACE(TO_TEXT('_Supporto Listone'!D33),"(.)","$1"&amp;UNICHAR(822)),'_Supporto Listone'!D33)</x:f>
        <x:v>Por</x:v>
      </x:c>
      <x:c r="E33" s="423" t="str">
        <x:f>IF($J33&lt;&gt;"",REGEXREPLACE(TO_TEXT('_Supporto Listone'!E33),"(.)","$1"&amp;UNICHAR(822)),'_Supporto Listone'!E33)</x:f>
        <x:v>Riserva / rotazione</x:v>
      </x:c>
      <x:c r="F33" s="458" t="n">
        <x:f>IF($J33&lt;&gt;"",REGEXREPLACE(TO_TEXT('_Supporto Listone'!F33),"(.)","$1"&amp;UNICHAR(822)),'_Supporto Listone'!F33)</x:f>
        <x:v>1</x:v>
      </x:c>
      <x:c r="G33" s="458" t="n">
        <x:f>IF($J33&lt;&gt;"",REGEXREPLACE(TO_TEXT('_Supporto Listone'!G33),"(.)","$1"&amp;UNICHAR(822)),'_Supporto Listone'!G33)</x:f>
        <x:v>1</x:v>
      </x:c>
      <x:c r="H33" s="458" t="n">
        <x:f>IF($J33&lt;&gt;"",REGEXREPLACE(TO_TEXT('_Supporto Listone'!H33),"(.)","$1"&amp;UNICHAR(822)),'_Supporto Listone'!H33)</x:f>
        <x:v>1</x:v>
      </x:c>
      <x:c r="I33" s="422"/>
      <x:c r="J33" s="423" t="str">
        <x:f>IF(COUNTIF(Asta!$B$4:$B$47,'_Supporto Listone'!B33)&gt;0,"Simone",IF(COUNTIF(Asta!$D$4:$D$47,'_Supporto Listone'!B33)&gt;0,"Giacomo",IF(COUNTIF(Asta!$F$4:$F$47,'_Supporto Listone'!B33)&gt;0,"Niko",IF(COUNTIF(Asta!$H$4:$H$47,'_Supporto Listone'!B33)&gt;0,"Quici",IF(COUNTIF(Asta!$J$4:$J$47,'_Supporto Listone'!B33)&gt;0,"Fratello Quici",IF(COUNTIF(Asta!$L$4:$L$47,'_Supporto Listone'!B33)&gt;0,"Nicolò",IF(COUNTIF(Asta!$N$4:$N$47,'_Supporto Listone'!B33)&gt;0,"Vi",IF(COUNTIF(Asta!$P$4:$P$47,'_Supporto Listone'!B33)&gt;0,"Lore",IF(COUNTIF(Asta!$R$4:$R$47,'_Supporto Listone'!B33)&gt;0,"Robbo",IF(COUNTIF(Asta!$T$4:$T$47,'_Supporto Listone'!B33)&gt;0,"Ale",""))))))))))</x:f>
      </x:c>
      <x:c r="K33" s="489" t="str">
        <x:f>IF(COUNTIF(Asta!$B$4:$B$47,'_Supporto Listone'!B33)&gt;0,INDEX(Asta!$C$4:$C$47,MATCH('_Supporto Listone'!B33,Asta!$B$4:$B$47,0)),IF(COUNTIF(Asta!$D$4:$D$47,'_Supporto Listone'!B33)&gt;0,INDEX(Asta!$E$4:$E$47,MATCH('_Supporto Listone'!B33,Asta!$D$4:$D$47,0)),IF(COUNTIF(Asta!$F$4:$F$47,'_Supporto Listone'!B33)&gt;0,INDEX(Asta!$G$4:$G$47,MATCH('_Supporto Listone'!B33,Asta!$F$4:$F$47,0)),IF(COUNTIF(Asta!$H$4:$H$47,'_Supporto Listone'!B33)&gt;0,INDEX(Asta!$I$4:$I$47,MATCH('_Supporto Listone'!B33,Asta!$H$4:$H$47,0)),IF(COUNTIF(Asta!$J$4:$J$47,'_Supporto Listone'!B33)&gt;0,INDEX(Asta!$K$4:$K$47,MATCH('_Supporto Listone'!B33,Asta!$J$4:$J$47,0)),IF(COUNTIF(Asta!$L$4:$L$47,'_Supporto Listone'!B33)&gt;0,INDEX(Asta!$M$4:$M$47,MATCH('_Supporto Listone'!B33,Asta!$L$4:$L$47,0)),IF(COUNTIF(Asta!$N$4:$N$47,'_Supporto Listone'!B33)&gt;0,INDEX(Asta!$O$4:$O$47,MATCH('_Supporto Listone'!B33,Asta!$N$4:$N$47,0)),IF(COUNTIF(Asta!$P$4:$P$47,'_Supporto Listone'!B33)&gt;0,INDEX(Asta!$Q$4:$Q$47,MATCH('_Supporto Listone'!B33,Asta!$P$4:$P$47,0)),IF(COUNTIF(Asta!$R$4:$R$47,'_Supporto Listone'!B33)&gt;0,INDEX(Asta!$S$4:$S$47,MATCH('_Supporto Listone'!B33,Asta!$R$4:$R$47,0)),IF(COUNTIF(Asta!$T$4:$T$47,'_Supporto Listone'!B33)&gt;0,INDEX(Asta!$U$4:$U$47,MATCH('_Supporto Listone'!B33,Asta!$T$4:$T$47,0)),""))))))))))</x:f>
      </x:c>
    </x:row>
    <x:row r="34">
      <x:c r="A34" s="425" t="str">
        <x:f>IF($J34&lt;&gt;"",REGEXREPLACE(TO_TEXT('_Supporto Listone'!A34),"(.)","$1"&amp;UNICHAR(822)),'_Supporto Listone'!A34)</x:f>
        <x:v>P</x:v>
      </x:c>
      <x:c r="B34" s="423" t="str">
        <x:f>IF($J34&lt;&gt;"",REGEXREPLACE(TO_TEXT('_Supporto Listone'!B34),"(.)","$1"&amp;UNICHAR(822)),'_Supporto Listone'!B34)</x:f>
        <x:v>Pessina Mas.</x:v>
      </x:c>
      <x:c r="C34" s="423" t="str">
        <x:f>IF($J34&lt;&gt;"",REGEXREPLACE(TO_TEXT('_Supporto Listone'!C34),"(.)","$1"&amp;UNICHAR(822)),'_Supporto Listone'!C34)</x:f>
        <x:v>Bologna</x:v>
      </x:c>
      <x:c r="D34" s="423" t="str">
        <x:f>IF($J34&lt;&gt;"",REGEXREPLACE(TO_TEXT('_Supporto Listone'!D34),"(.)","$1"&amp;UNICHAR(822)),'_Supporto Listone'!D34)</x:f>
        <x:v>Por</x:v>
      </x:c>
      <x:c r="E34" s="423" t="str">
        <x:f>IF($J34&lt;&gt;"",REGEXREPLACE(TO_TEXT('_Supporto Listone'!E34),"(.)","$1"&amp;UNICHAR(822)),'_Supporto Listone'!E34)</x:f>
        <x:v>Riserva / rotazione</x:v>
      </x:c>
      <x:c r="F34" s="458" t="n">
        <x:f>IF($J34&lt;&gt;"",REGEXREPLACE(TO_TEXT('_Supporto Listone'!F34),"(.)","$1"&amp;UNICHAR(822)),'_Supporto Listone'!F34)</x:f>
        <x:v>1</x:v>
      </x:c>
      <x:c r="G34" s="458" t="n">
        <x:f>IF($J34&lt;&gt;"",REGEXREPLACE(TO_TEXT('_Supporto Listone'!G34),"(.)","$1"&amp;UNICHAR(822)),'_Supporto Listone'!G34)</x:f>
        <x:v>1</x:v>
      </x:c>
      <x:c r="H34" s="458" t="n">
        <x:f>IF($J34&lt;&gt;"",REGEXREPLACE(TO_TEXT('_Supporto Listone'!H34),"(.)","$1"&amp;UNICHAR(822)),'_Supporto Listone'!H34)</x:f>
        <x:v>1</x:v>
      </x:c>
      <x:c r="I34" s="422"/>
      <x:c r="J34" s="423" t="str">
        <x:f>IF(COUNTIF(Asta!$B$4:$B$47,'_Supporto Listone'!B34)&gt;0,"Simone",IF(COUNTIF(Asta!$D$4:$D$47,'_Supporto Listone'!B34)&gt;0,"Giacomo",IF(COUNTIF(Asta!$F$4:$F$47,'_Supporto Listone'!B34)&gt;0,"Niko",IF(COUNTIF(Asta!$H$4:$H$47,'_Supporto Listone'!B34)&gt;0,"Quici",IF(COUNTIF(Asta!$J$4:$J$47,'_Supporto Listone'!B34)&gt;0,"Fratello Quici",IF(COUNTIF(Asta!$L$4:$L$47,'_Supporto Listone'!B34)&gt;0,"Nicolò",IF(COUNTIF(Asta!$N$4:$N$47,'_Supporto Listone'!B34)&gt;0,"Vi",IF(COUNTIF(Asta!$P$4:$P$47,'_Supporto Listone'!B34)&gt;0,"Lore",IF(COUNTIF(Asta!$R$4:$R$47,'_Supporto Listone'!B34)&gt;0,"Robbo",IF(COUNTIF(Asta!$T$4:$T$47,'_Supporto Listone'!B34)&gt;0,"Ale",""))))))))))</x:f>
      </x:c>
      <x:c r="K34" s="489" t="str">
        <x:f>IF(COUNTIF(Asta!$B$4:$B$47,'_Supporto Listone'!B34)&gt;0,INDEX(Asta!$C$4:$C$47,MATCH('_Supporto Listone'!B34,Asta!$B$4:$B$47,0)),IF(COUNTIF(Asta!$D$4:$D$47,'_Supporto Listone'!B34)&gt;0,INDEX(Asta!$E$4:$E$47,MATCH('_Supporto Listone'!B34,Asta!$D$4:$D$47,0)),IF(COUNTIF(Asta!$F$4:$F$47,'_Supporto Listone'!B34)&gt;0,INDEX(Asta!$G$4:$G$47,MATCH('_Supporto Listone'!B34,Asta!$F$4:$F$47,0)),IF(COUNTIF(Asta!$H$4:$H$47,'_Supporto Listone'!B34)&gt;0,INDEX(Asta!$I$4:$I$47,MATCH('_Supporto Listone'!B34,Asta!$H$4:$H$47,0)),IF(COUNTIF(Asta!$J$4:$J$47,'_Supporto Listone'!B34)&gt;0,INDEX(Asta!$K$4:$K$47,MATCH('_Supporto Listone'!B34,Asta!$J$4:$J$47,0)),IF(COUNTIF(Asta!$L$4:$L$47,'_Supporto Listone'!B34)&gt;0,INDEX(Asta!$M$4:$M$47,MATCH('_Supporto Listone'!B34,Asta!$L$4:$L$47,0)),IF(COUNTIF(Asta!$N$4:$N$47,'_Supporto Listone'!B34)&gt;0,INDEX(Asta!$O$4:$O$47,MATCH('_Supporto Listone'!B34,Asta!$N$4:$N$47,0)),IF(COUNTIF(Asta!$P$4:$P$47,'_Supporto Listone'!B34)&gt;0,INDEX(Asta!$Q$4:$Q$47,MATCH('_Supporto Listone'!B34,Asta!$P$4:$P$47,0)),IF(COUNTIF(Asta!$R$4:$R$47,'_Supporto Listone'!B34)&gt;0,INDEX(Asta!$S$4:$S$47,MATCH('_Supporto Listone'!B34,Asta!$R$4:$R$47,0)),IF(COUNTIF(Asta!$T$4:$T$47,'_Supporto Listone'!B34)&gt;0,INDEX(Asta!$U$4:$U$47,MATCH('_Supporto Listone'!B34,Asta!$T$4:$T$47,0)),""))))))))))</x:f>
      </x:c>
    </x:row>
    <x:row r="35">
      <x:c r="A35" s="425" t="str">
        <x:f>IF($J35&lt;&gt;"",REGEXREPLACE(TO_TEXT('_Supporto Listone'!A35),"(.)","$1"&amp;UNICHAR(822)),'_Supporto Listone'!A35)</x:f>
        <x:v>P</x:v>
      </x:c>
      <x:c r="B35" s="423" t="str">
        <x:f>IF($J35&lt;&gt;"",REGEXREPLACE(TO_TEXT('_Supporto Listone'!B35),"(.)","$1"&amp;UNICHAR(822)),'_Supporto Listone'!B35)</x:f>
        <x:v>Ciocci</x:v>
      </x:c>
      <x:c r="C35" s="423" t="str">
        <x:f>IF($J35&lt;&gt;"",REGEXREPLACE(TO_TEXT('_Supporto Listone'!C35),"(.)","$1"&amp;UNICHAR(822)),'_Supporto Listone'!C35)</x:f>
        <x:v>Cagliari</x:v>
      </x:c>
      <x:c r="D35" s="423" t="str">
        <x:f>IF($J35&lt;&gt;"",REGEXREPLACE(TO_TEXT('_Supporto Listone'!D35),"(.)","$1"&amp;UNICHAR(822)),'_Supporto Listone'!D35)</x:f>
        <x:v>Por</x:v>
      </x:c>
      <x:c r="E35" s="423" t="str">
        <x:f>IF($J35&lt;&gt;"",REGEXREPLACE(TO_TEXT('_Supporto Listone'!E35),"(.)","$1"&amp;UNICHAR(822)),'_Supporto Listone'!E35)</x:f>
        <x:v>Riserva / rotazione</x:v>
      </x:c>
      <x:c r="F35" s="458" t="n">
        <x:f>IF($J35&lt;&gt;"",REGEXREPLACE(TO_TEXT('_Supporto Listone'!F35),"(.)","$1"&amp;UNICHAR(822)),'_Supporto Listone'!F35)</x:f>
        <x:v>1</x:v>
      </x:c>
      <x:c r="G35" s="458" t="n">
        <x:f>IF($J35&lt;&gt;"",REGEXREPLACE(TO_TEXT('_Supporto Listone'!G35),"(.)","$1"&amp;UNICHAR(822)),'_Supporto Listone'!G35)</x:f>
        <x:v>1</x:v>
      </x:c>
      <x:c r="H35" s="458" t="n">
        <x:f>IF($J35&lt;&gt;"",REGEXREPLACE(TO_TEXT('_Supporto Listone'!H35),"(.)","$1"&amp;UNICHAR(822)),'_Supporto Listone'!H35)</x:f>
        <x:v>1</x:v>
      </x:c>
      <x:c r="I35" s="422"/>
      <x:c r="J35" s="423" t="str">
        <x:f>IF(COUNTIF(Asta!$B$4:$B$47,'_Supporto Listone'!B35)&gt;0,"Simone",IF(COUNTIF(Asta!$D$4:$D$47,'_Supporto Listone'!B35)&gt;0,"Giacomo",IF(COUNTIF(Asta!$F$4:$F$47,'_Supporto Listone'!B35)&gt;0,"Niko",IF(COUNTIF(Asta!$H$4:$H$47,'_Supporto Listone'!B35)&gt;0,"Quici",IF(COUNTIF(Asta!$J$4:$J$47,'_Supporto Listone'!B35)&gt;0,"Fratello Quici",IF(COUNTIF(Asta!$L$4:$L$47,'_Supporto Listone'!B35)&gt;0,"Nicolò",IF(COUNTIF(Asta!$N$4:$N$47,'_Supporto Listone'!B35)&gt;0,"Vi",IF(COUNTIF(Asta!$P$4:$P$47,'_Supporto Listone'!B35)&gt;0,"Lore",IF(COUNTIF(Asta!$R$4:$R$47,'_Supporto Listone'!B35)&gt;0,"Robbo",IF(COUNTIF(Asta!$T$4:$T$47,'_Supporto Listone'!B35)&gt;0,"Ale",""))))))))))</x:f>
      </x:c>
      <x:c r="K35" s="489" t="str">
        <x:f>IF(COUNTIF(Asta!$B$4:$B$47,'_Supporto Listone'!B35)&gt;0,INDEX(Asta!$C$4:$C$47,MATCH('_Supporto Listone'!B35,Asta!$B$4:$B$47,0)),IF(COUNTIF(Asta!$D$4:$D$47,'_Supporto Listone'!B35)&gt;0,INDEX(Asta!$E$4:$E$47,MATCH('_Supporto Listone'!B35,Asta!$D$4:$D$47,0)),IF(COUNTIF(Asta!$F$4:$F$47,'_Supporto Listone'!B35)&gt;0,INDEX(Asta!$G$4:$G$47,MATCH('_Supporto Listone'!B35,Asta!$F$4:$F$47,0)),IF(COUNTIF(Asta!$H$4:$H$47,'_Supporto Listone'!B35)&gt;0,INDEX(Asta!$I$4:$I$47,MATCH('_Supporto Listone'!B35,Asta!$H$4:$H$47,0)),IF(COUNTIF(Asta!$J$4:$J$47,'_Supporto Listone'!B35)&gt;0,INDEX(Asta!$K$4:$K$47,MATCH('_Supporto Listone'!B35,Asta!$J$4:$J$47,0)),IF(COUNTIF(Asta!$L$4:$L$47,'_Supporto Listone'!B35)&gt;0,INDEX(Asta!$M$4:$M$47,MATCH('_Supporto Listone'!B35,Asta!$L$4:$L$47,0)),IF(COUNTIF(Asta!$N$4:$N$47,'_Supporto Listone'!B35)&gt;0,INDEX(Asta!$O$4:$O$47,MATCH('_Supporto Listone'!B35,Asta!$N$4:$N$47,0)),IF(COUNTIF(Asta!$P$4:$P$47,'_Supporto Listone'!B35)&gt;0,INDEX(Asta!$Q$4:$Q$47,MATCH('_Supporto Listone'!B35,Asta!$P$4:$P$47,0)),IF(COUNTIF(Asta!$R$4:$R$47,'_Supporto Listone'!B35)&gt;0,INDEX(Asta!$S$4:$S$47,MATCH('_Supporto Listone'!B35,Asta!$R$4:$R$47,0)),IF(COUNTIF(Asta!$T$4:$T$47,'_Supporto Listone'!B35)&gt;0,INDEX(Asta!$U$4:$U$47,MATCH('_Supporto Listone'!B35,Asta!$T$4:$T$47,0)),""))))))))))</x:f>
      </x:c>
    </x:row>
    <x:row r="36">
      <x:c r="A36" s="425" t="str">
        <x:f>IF($J36&lt;&gt;"",REGEXREPLACE(TO_TEXT('_Supporto Listone'!A36),"(.)","$1"&amp;UNICHAR(822)),'_Supporto Listone'!A36)</x:f>
        <x:v>P</x:v>
      </x:c>
      <x:c r="B36" s="423" t="str">
        <x:f>IF($J36&lt;&gt;"",REGEXREPLACE(TO_TEXT('_Supporto Listone'!B36),"(.)","$1"&amp;UNICHAR(822)),'_Supporto Listone'!B36)</x:f>
        <x:v>Sherri</x:v>
      </x:c>
      <x:c r="C36" s="423" t="str">
        <x:f>IF($J36&lt;&gt;"",REGEXREPLACE(TO_TEXT('_Supporto Listone'!C36),"(.)","$1"&amp;UNICHAR(822)),'_Supporto Listone'!C36)</x:f>
        <x:v>Cagliari</x:v>
      </x:c>
      <x:c r="D36" s="423" t="str">
        <x:f>IF($J36&lt;&gt;"",REGEXREPLACE(TO_TEXT('_Supporto Listone'!D36),"(.)","$1"&amp;UNICHAR(822)),'_Supporto Listone'!D36)</x:f>
        <x:v>Por</x:v>
      </x:c>
      <x:c r="E36" s="423" t="str">
        <x:f>IF($J36&lt;&gt;"",REGEXREPLACE(TO_TEXT('_Supporto Listone'!E36),"(.)","$1"&amp;UNICHAR(822)),'_Supporto Listone'!E36)</x:f>
        <x:v>Riserva / rotazione</x:v>
      </x:c>
      <x:c r="F36" s="458" t="n">
        <x:f>IF($J36&lt;&gt;"",REGEXREPLACE(TO_TEXT('_Supporto Listone'!F36),"(.)","$1"&amp;UNICHAR(822)),'_Supporto Listone'!F36)</x:f>
        <x:v>1</x:v>
      </x:c>
      <x:c r="G36" s="458" t="n">
        <x:f>IF($J36&lt;&gt;"",REGEXREPLACE(TO_TEXT('_Supporto Listone'!G36),"(.)","$1"&amp;UNICHAR(822)),'_Supporto Listone'!G36)</x:f>
        <x:v>1</x:v>
      </x:c>
      <x:c r="H36" s="458" t="n">
        <x:f>IF($J36&lt;&gt;"",REGEXREPLACE(TO_TEXT('_Supporto Listone'!H36),"(.)","$1"&amp;UNICHAR(822)),'_Supporto Listone'!H36)</x:f>
        <x:v>1</x:v>
      </x:c>
      <x:c r="I36" s="422"/>
      <x:c r="J36" s="423" t="str">
        <x:f>IF(COUNTIF(Asta!$B$4:$B$47,'_Supporto Listone'!B36)&gt;0,"Simone",IF(COUNTIF(Asta!$D$4:$D$47,'_Supporto Listone'!B36)&gt;0,"Giacomo",IF(COUNTIF(Asta!$F$4:$F$47,'_Supporto Listone'!B36)&gt;0,"Niko",IF(COUNTIF(Asta!$H$4:$H$47,'_Supporto Listone'!B36)&gt;0,"Quici",IF(COUNTIF(Asta!$J$4:$J$47,'_Supporto Listone'!B36)&gt;0,"Fratello Quici",IF(COUNTIF(Asta!$L$4:$L$47,'_Supporto Listone'!B36)&gt;0,"Nicolò",IF(COUNTIF(Asta!$N$4:$N$47,'_Supporto Listone'!B36)&gt;0,"Vi",IF(COUNTIF(Asta!$P$4:$P$47,'_Supporto Listone'!B36)&gt;0,"Lore",IF(COUNTIF(Asta!$R$4:$R$47,'_Supporto Listone'!B36)&gt;0,"Robbo",IF(COUNTIF(Asta!$T$4:$T$47,'_Supporto Listone'!B36)&gt;0,"Ale",""))))))))))</x:f>
      </x:c>
      <x:c r="K36" s="489" t="str">
        <x:f>IF(COUNTIF(Asta!$B$4:$B$47,'_Supporto Listone'!B36)&gt;0,INDEX(Asta!$C$4:$C$47,MATCH('_Supporto Listone'!B36,Asta!$B$4:$B$47,0)),IF(COUNTIF(Asta!$D$4:$D$47,'_Supporto Listone'!B36)&gt;0,INDEX(Asta!$E$4:$E$47,MATCH('_Supporto Listone'!B36,Asta!$D$4:$D$47,0)),IF(COUNTIF(Asta!$F$4:$F$47,'_Supporto Listone'!B36)&gt;0,INDEX(Asta!$G$4:$G$47,MATCH('_Supporto Listone'!B36,Asta!$F$4:$F$47,0)),IF(COUNTIF(Asta!$H$4:$H$47,'_Supporto Listone'!B36)&gt;0,INDEX(Asta!$I$4:$I$47,MATCH('_Supporto Listone'!B36,Asta!$H$4:$H$47,0)),IF(COUNTIF(Asta!$J$4:$J$47,'_Supporto Listone'!B36)&gt;0,INDEX(Asta!$K$4:$K$47,MATCH('_Supporto Listone'!B36,Asta!$J$4:$J$47,0)),IF(COUNTIF(Asta!$L$4:$L$47,'_Supporto Listone'!B36)&gt;0,INDEX(Asta!$M$4:$M$47,MATCH('_Supporto Listone'!B36,Asta!$L$4:$L$47,0)),IF(COUNTIF(Asta!$N$4:$N$47,'_Supporto Listone'!B36)&gt;0,INDEX(Asta!$O$4:$O$47,MATCH('_Supporto Listone'!B36,Asta!$N$4:$N$47,0)),IF(COUNTIF(Asta!$P$4:$P$47,'_Supporto Listone'!B36)&gt;0,INDEX(Asta!$Q$4:$Q$47,MATCH('_Supporto Listone'!B36,Asta!$P$4:$P$47,0)),IF(COUNTIF(Asta!$R$4:$R$47,'_Supporto Listone'!B36)&gt;0,INDEX(Asta!$S$4:$S$47,MATCH('_Supporto Listone'!B36,Asta!$R$4:$R$47,0)),IF(COUNTIF(Asta!$T$4:$T$47,'_Supporto Listone'!B36)&gt;0,INDEX(Asta!$U$4:$U$47,MATCH('_Supporto Listone'!B36,Asta!$T$4:$T$47,0)),""))))))))))</x:f>
      </x:c>
    </x:row>
    <x:row r="37">
      <x:c r="A37" s="425" t="str">
        <x:f>IF($J37&lt;&gt;"",REGEXREPLACE(TO_TEXT('_Supporto Listone'!A37),"(.)","$1"&amp;UNICHAR(822)),'_Supporto Listone'!A37)</x:f>
        <x:v>P</x:v>
      </x:c>
      <x:c r="B37" s="423" t="str">
        <x:f>IF($J37&lt;&gt;"",REGEXREPLACE(TO_TEXT('_Supporto Listone'!B37),"(.)","$1"&amp;UNICHAR(822)),'_Supporto Listone'!B37)</x:f>
        <x:v>Tornqvist</x:v>
      </x:c>
      <x:c r="C37" s="423" t="str">
        <x:f>IF($J37&lt;&gt;"",REGEXREPLACE(TO_TEXT('_Supporto Listone'!C37),"(.)","$1"&amp;UNICHAR(822)),'_Supporto Listone'!C37)</x:f>
        <x:v>Como</x:v>
      </x:c>
      <x:c r="D37" s="423" t="str">
        <x:f>IF($J37&lt;&gt;"",REGEXREPLACE(TO_TEXT('_Supporto Listone'!D37),"(.)","$1"&amp;UNICHAR(822)),'_Supporto Listone'!D37)</x:f>
        <x:v>Por</x:v>
      </x:c>
      <x:c r="E37" s="423" t="str">
        <x:f>IF($J37&lt;&gt;"",REGEXREPLACE(TO_TEXT('_Supporto Listone'!E37),"(.)","$1"&amp;UNICHAR(822)),'_Supporto Listone'!E37)</x:f>
        <x:v>Riserva / rotazione</x:v>
      </x:c>
      <x:c r="F37" s="458" t="n">
        <x:f>IF($J37&lt;&gt;"",REGEXREPLACE(TO_TEXT('_Supporto Listone'!F37),"(.)","$1"&amp;UNICHAR(822)),'_Supporto Listone'!F37)</x:f>
        <x:v>1</x:v>
      </x:c>
      <x:c r="G37" s="458" t="n">
        <x:f>IF($J37&lt;&gt;"",REGEXREPLACE(TO_TEXT('_Supporto Listone'!G37),"(.)","$1"&amp;UNICHAR(822)),'_Supporto Listone'!G37)</x:f>
        <x:v>1</x:v>
      </x:c>
      <x:c r="H37" s="458" t="n">
        <x:f>IF($J37&lt;&gt;"",REGEXREPLACE(TO_TEXT('_Supporto Listone'!H37),"(.)","$1"&amp;UNICHAR(822)),'_Supporto Listone'!H37)</x:f>
        <x:v>1</x:v>
      </x:c>
      <x:c r="I37" s="422"/>
      <x:c r="J37" s="423" t="str">
        <x:f>IF(COUNTIF(Asta!$B$4:$B$47,'_Supporto Listone'!B37)&gt;0,"Simone",IF(COUNTIF(Asta!$D$4:$D$47,'_Supporto Listone'!B37)&gt;0,"Giacomo",IF(COUNTIF(Asta!$F$4:$F$47,'_Supporto Listone'!B37)&gt;0,"Niko",IF(COUNTIF(Asta!$H$4:$H$47,'_Supporto Listone'!B37)&gt;0,"Quici",IF(COUNTIF(Asta!$J$4:$J$47,'_Supporto Listone'!B37)&gt;0,"Fratello Quici",IF(COUNTIF(Asta!$L$4:$L$47,'_Supporto Listone'!B37)&gt;0,"Nicolò",IF(COUNTIF(Asta!$N$4:$N$47,'_Supporto Listone'!B37)&gt;0,"Vi",IF(COUNTIF(Asta!$P$4:$P$47,'_Supporto Listone'!B37)&gt;0,"Lore",IF(COUNTIF(Asta!$R$4:$R$47,'_Supporto Listone'!B37)&gt;0,"Robbo",IF(COUNTIF(Asta!$T$4:$T$47,'_Supporto Listone'!B37)&gt;0,"Ale",""))))))))))</x:f>
      </x:c>
      <x:c r="K37" s="489" t="str">
        <x:f>IF(COUNTIF(Asta!$B$4:$B$47,'_Supporto Listone'!B37)&gt;0,INDEX(Asta!$C$4:$C$47,MATCH('_Supporto Listone'!B37,Asta!$B$4:$B$47,0)),IF(COUNTIF(Asta!$D$4:$D$47,'_Supporto Listone'!B37)&gt;0,INDEX(Asta!$E$4:$E$47,MATCH('_Supporto Listone'!B37,Asta!$D$4:$D$47,0)),IF(COUNTIF(Asta!$F$4:$F$47,'_Supporto Listone'!B37)&gt;0,INDEX(Asta!$G$4:$G$47,MATCH('_Supporto Listone'!B37,Asta!$F$4:$F$47,0)),IF(COUNTIF(Asta!$H$4:$H$47,'_Supporto Listone'!B37)&gt;0,INDEX(Asta!$I$4:$I$47,MATCH('_Supporto Listone'!B37,Asta!$H$4:$H$47,0)),IF(COUNTIF(Asta!$J$4:$J$47,'_Supporto Listone'!B37)&gt;0,INDEX(Asta!$K$4:$K$47,MATCH('_Supporto Listone'!B37,Asta!$J$4:$J$47,0)),IF(COUNTIF(Asta!$L$4:$L$47,'_Supporto Listone'!B37)&gt;0,INDEX(Asta!$M$4:$M$47,MATCH('_Supporto Listone'!B37,Asta!$L$4:$L$47,0)),IF(COUNTIF(Asta!$N$4:$N$47,'_Supporto Listone'!B37)&gt;0,INDEX(Asta!$O$4:$O$47,MATCH('_Supporto Listone'!B37,Asta!$N$4:$N$47,0)),IF(COUNTIF(Asta!$P$4:$P$47,'_Supporto Listone'!B37)&gt;0,INDEX(Asta!$Q$4:$Q$47,MATCH('_Supporto Listone'!B37,Asta!$P$4:$P$47,0)),IF(COUNTIF(Asta!$R$4:$R$47,'_Supporto Listone'!B37)&gt;0,INDEX(Asta!$S$4:$S$47,MATCH('_Supporto Listone'!B37,Asta!$R$4:$R$47,0)),IF(COUNTIF(Asta!$T$4:$T$47,'_Supporto Listone'!B37)&gt;0,INDEX(Asta!$U$4:$U$47,MATCH('_Supporto Listone'!B37,Asta!$T$4:$T$47,0)),""))))))))))</x:f>
      </x:c>
    </x:row>
    <x:row r="38">
      <x:c r="A38" s="425" t="str">
        <x:f>IF($J38&lt;&gt;"",REGEXREPLACE(TO_TEXT('_Supporto Listone'!A38),"(.)","$1"&amp;UNICHAR(822)),'_Supporto Listone'!A38)</x:f>
        <x:v>P</x:v>
      </x:c>
      <x:c r="B38" s="423" t="str">
        <x:f>IF($J38&lt;&gt;"",REGEXREPLACE(TO_TEXT('_Supporto Listone'!B38),"(.)","$1"&amp;UNICHAR(822)),'_Supporto Listone'!B38)</x:f>
        <x:v>Vigorito</x:v>
      </x:c>
      <x:c r="C38" s="423" t="str">
        <x:f>IF($J38&lt;&gt;"",REGEXREPLACE(TO_TEXT('_Supporto Listone'!C38),"(.)","$1"&amp;UNICHAR(822)),'_Supporto Listone'!C38)</x:f>
        <x:v>Como</x:v>
      </x:c>
      <x:c r="D38" s="423" t="str">
        <x:f>IF($J38&lt;&gt;"",REGEXREPLACE(TO_TEXT('_Supporto Listone'!D38),"(.)","$1"&amp;UNICHAR(822)),'_Supporto Listone'!D38)</x:f>
        <x:v>Por</x:v>
      </x:c>
      <x:c r="E38" s="423" t="str">
        <x:f>IF($J38&lt;&gt;"",REGEXREPLACE(TO_TEXT('_Supporto Listone'!E38),"(.)","$1"&amp;UNICHAR(822)),'_Supporto Listone'!E38)</x:f>
        <x:v>Riserva / rotazione</x:v>
      </x:c>
      <x:c r="F38" s="458" t="n">
        <x:f>IF($J38&lt;&gt;"",REGEXREPLACE(TO_TEXT('_Supporto Listone'!F38),"(.)","$1"&amp;UNICHAR(822)),'_Supporto Listone'!F38)</x:f>
        <x:v>1</x:v>
      </x:c>
      <x:c r="G38" s="458" t="n">
        <x:f>IF($J38&lt;&gt;"",REGEXREPLACE(TO_TEXT('_Supporto Listone'!G38),"(.)","$1"&amp;UNICHAR(822)),'_Supporto Listone'!G38)</x:f>
        <x:v>1</x:v>
      </x:c>
      <x:c r="H38" s="458" t="n">
        <x:f>IF($J38&lt;&gt;"",REGEXREPLACE(TO_TEXT('_Supporto Listone'!H38),"(.)","$1"&amp;UNICHAR(822)),'_Supporto Listone'!H38)</x:f>
        <x:v>1</x:v>
      </x:c>
      <x:c r="I38" s="422"/>
      <x:c r="J38" s="423" t="str">
        <x:f>IF(COUNTIF(Asta!$B$4:$B$47,'_Supporto Listone'!B38)&gt;0,"Simone",IF(COUNTIF(Asta!$D$4:$D$47,'_Supporto Listone'!B38)&gt;0,"Giacomo",IF(COUNTIF(Asta!$F$4:$F$47,'_Supporto Listone'!B38)&gt;0,"Niko",IF(COUNTIF(Asta!$H$4:$H$47,'_Supporto Listone'!B38)&gt;0,"Quici",IF(COUNTIF(Asta!$J$4:$J$47,'_Supporto Listone'!B38)&gt;0,"Fratello Quici",IF(COUNTIF(Asta!$L$4:$L$47,'_Supporto Listone'!B38)&gt;0,"Nicolò",IF(COUNTIF(Asta!$N$4:$N$47,'_Supporto Listone'!B38)&gt;0,"Vi",IF(COUNTIF(Asta!$P$4:$P$47,'_Supporto Listone'!B38)&gt;0,"Lore",IF(COUNTIF(Asta!$R$4:$R$47,'_Supporto Listone'!B38)&gt;0,"Robbo",IF(COUNTIF(Asta!$T$4:$T$47,'_Supporto Listone'!B38)&gt;0,"Ale",""))))))))))</x:f>
      </x:c>
      <x:c r="K38" s="489" t="str">
        <x:f>IF(COUNTIF(Asta!$B$4:$B$47,'_Supporto Listone'!B38)&gt;0,INDEX(Asta!$C$4:$C$47,MATCH('_Supporto Listone'!B38,Asta!$B$4:$B$47,0)),IF(COUNTIF(Asta!$D$4:$D$47,'_Supporto Listone'!B38)&gt;0,INDEX(Asta!$E$4:$E$47,MATCH('_Supporto Listone'!B38,Asta!$D$4:$D$47,0)),IF(COUNTIF(Asta!$F$4:$F$47,'_Supporto Listone'!B38)&gt;0,INDEX(Asta!$G$4:$G$47,MATCH('_Supporto Listone'!B38,Asta!$F$4:$F$47,0)),IF(COUNTIF(Asta!$H$4:$H$47,'_Supporto Listone'!B38)&gt;0,INDEX(Asta!$I$4:$I$47,MATCH('_Supporto Listone'!B38,Asta!$H$4:$H$47,0)),IF(COUNTIF(Asta!$J$4:$J$47,'_Supporto Listone'!B38)&gt;0,INDEX(Asta!$K$4:$K$47,MATCH('_Supporto Listone'!B38,Asta!$J$4:$J$47,0)),IF(COUNTIF(Asta!$L$4:$L$47,'_Supporto Listone'!B38)&gt;0,INDEX(Asta!$M$4:$M$47,MATCH('_Supporto Listone'!B38,Asta!$L$4:$L$47,0)),IF(COUNTIF(Asta!$N$4:$N$47,'_Supporto Listone'!B38)&gt;0,INDEX(Asta!$O$4:$O$47,MATCH('_Supporto Listone'!B38,Asta!$N$4:$N$47,0)),IF(COUNTIF(Asta!$P$4:$P$47,'_Supporto Listone'!B38)&gt;0,INDEX(Asta!$Q$4:$Q$47,MATCH('_Supporto Listone'!B38,Asta!$P$4:$P$47,0)),IF(COUNTIF(Asta!$R$4:$R$47,'_Supporto Listone'!B38)&gt;0,INDEX(Asta!$S$4:$S$47,MATCH('_Supporto Listone'!B38,Asta!$R$4:$R$47,0)),IF(COUNTIF(Asta!$T$4:$T$47,'_Supporto Listone'!B38)&gt;0,INDEX(Asta!$U$4:$U$47,MATCH('_Supporto Listone'!B38,Asta!$T$4:$T$47,0)),""))))))))))</x:f>
      </x:c>
    </x:row>
    <x:row r="39">
      <x:c r="A39" s="425" t="str">
        <x:f>IF($J39&lt;&gt;"",REGEXREPLACE(TO_TEXT('_Supporto Listone'!A39),"(.)","$1"&amp;UNICHAR(822)),'_Supporto Listone'!A39)</x:f>
        <x:v>P</x:v>
      </x:c>
      <x:c r="B39" s="423" t="str">
        <x:f>IF($J39&lt;&gt;"",REGEXREPLACE(TO_TEXT('_Supporto Listone'!B39),"(.)","$1"&amp;UNICHAR(822)),'_Supporto Listone'!B39)</x:f>
        <x:v>Christensen O.</x:v>
      </x:c>
      <x:c r="C39" s="423" t="str">
        <x:f>IF($J39&lt;&gt;"",REGEXREPLACE(TO_TEXT('_Supporto Listone'!C39),"(.)","$1"&amp;UNICHAR(822)),'_Supporto Listone'!C39)</x:f>
        <x:v>Fiorentina</x:v>
      </x:c>
      <x:c r="D39" s="423" t="str">
        <x:f>IF($J39&lt;&gt;"",REGEXREPLACE(TO_TEXT('_Supporto Listone'!D39),"(.)","$1"&amp;UNICHAR(822)),'_Supporto Listone'!D39)</x:f>
        <x:v>Por</x:v>
      </x:c>
      <x:c r="E39" s="423" t="str">
        <x:f>IF($J39&lt;&gt;"",REGEXREPLACE(TO_TEXT('_Supporto Listone'!E39),"(.)","$1"&amp;UNICHAR(822)),'_Supporto Listone'!E39)</x:f>
        <x:v>Riserva / rotazione</x:v>
      </x:c>
      <x:c r="F39" s="458" t="n">
        <x:f>IF($J39&lt;&gt;"",REGEXREPLACE(TO_TEXT('_Supporto Listone'!F39),"(.)","$1"&amp;UNICHAR(822)),'_Supporto Listone'!F39)</x:f>
        <x:v>1</x:v>
      </x:c>
      <x:c r="G39" s="458" t="n">
        <x:f>IF($J39&lt;&gt;"",REGEXREPLACE(TO_TEXT('_Supporto Listone'!G39),"(.)","$1"&amp;UNICHAR(822)),'_Supporto Listone'!G39)</x:f>
        <x:v>1</x:v>
      </x:c>
      <x:c r="H39" s="458" t="n">
        <x:f>IF($J39&lt;&gt;"",REGEXREPLACE(TO_TEXT('_Supporto Listone'!H39),"(.)","$1"&amp;UNICHAR(822)),'_Supporto Listone'!H39)</x:f>
        <x:v>1</x:v>
      </x:c>
      <x:c r="I39" s="422"/>
      <x:c r="J39" s="423" t="str">
        <x:f>IF(COUNTIF(Asta!$B$4:$B$47,'_Supporto Listone'!B39)&gt;0,"Simone",IF(COUNTIF(Asta!$D$4:$D$47,'_Supporto Listone'!B39)&gt;0,"Giacomo",IF(COUNTIF(Asta!$F$4:$F$47,'_Supporto Listone'!B39)&gt;0,"Niko",IF(COUNTIF(Asta!$H$4:$H$47,'_Supporto Listone'!B39)&gt;0,"Quici",IF(COUNTIF(Asta!$J$4:$J$47,'_Supporto Listone'!B39)&gt;0,"Fratello Quici",IF(COUNTIF(Asta!$L$4:$L$47,'_Supporto Listone'!B39)&gt;0,"Nicolò",IF(COUNTIF(Asta!$N$4:$N$47,'_Supporto Listone'!B39)&gt;0,"Vi",IF(COUNTIF(Asta!$P$4:$P$47,'_Supporto Listone'!B39)&gt;0,"Lore",IF(COUNTIF(Asta!$R$4:$R$47,'_Supporto Listone'!B39)&gt;0,"Robbo",IF(COUNTIF(Asta!$T$4:$T$47,'_Supporto Listone'!B39)&gt;0,"Ale",""))))))))))</x:f>
      </x:c>
      <x:c r="K39" s="489" t="str">
        <x:f>IF(COUNTIF(Asta!$B$4:$B$47,'_Supporto Listone'!B39)&gt;0,INDEX(Asta!$C$4:$C$47,MATCH('_Supporto Listone'!B39,Asta!$B$4:$B$47,0)),IF(COUNTIF(Asta!$D$4:$D$47,'_Supporto Listone'!B39)&gt;0,INDEX(Asta!$E$4:$E$47,MATCH('_Supporto Listone'!B39,Asta!$D$4:$D$47,0)),IF(COUNTIF(Asta!$F$4:$F$47,'_Supporto Listone'!B39)&gt;0,INDEX(Asta!$G$4:$G$47,MATCH('_Supporto Listone'!B39,Asta!$F$4:$F$47,0)),IF(COUNTIF(Asta!$H$4:$H$47,'_Supporto Listone'!B39)&gt;0,INDEX(Asta!$I$4:$I$47,MATCH('_Supporto Listone'!B39,Asta!$H$4:$H$47,0)),IF(COUNTIF(Asta!$J$4:$J$47,'_Supporto Listone'!B39)&gt;0,INDEX(Asta!$K$4:$K$47,MATCH('_Supporto Listone'!B39,Asta!$J$4:$J$47,0)),IF(COUNTIF(Asta!$L$4:$L$47,'_Supporto Listone'!B39)&gt;0,INDEX(Asta!$M$4:$M$47,MATCH('_Supporto Listone'!B39,Asta!$L$4:$L$47,0)),IF(COUNTIF(Asta!$N$4:$N$47,'_Supporto Listone'!B39)&gt;0,INDEX(Asta!$O$4:$O$47,MATCH('_Supporto Listone'!B39,Asta!$N$4:$N$47,0)),IF(COUNTIF(Asta!$P$4:$P$47,'_Supporto Listone'!B39)&gt;0,INDEX(Asta!$Q$4:$Q$47,MATCH('_Supporto Listone'!B39,Asta!$P$4:$P$47,0)),IF(COUNTIF(Asta!$R$4:$R$47,'_Supporto Listone'!B39)&gt;0,INDEX(Asta!$S$4:$S$47,MATCH('_Supporto Listone'!B39,Asta!$R$4:$R$47,0)),IF(COUNTIF(Asta!$T$4:$T$47,'_Supporto Listone'!B39)&gt;0,INDEX(Asta!$U$4:$U$47,MATCH('_Supporto Listone'!B39,Asta!$T$4:$T$47,0)),""))))))))))</x:f>
      </x:c>
    </x:row>
    <x:row r="40">
      <x:c r="A40" s="425" t="str">
        <x:f>IF($J40&lt;&gt;"",REGEXREPLACE(TO_TEXT('_Supporto Listone'!A40),"(.)","$1"&amp;UNICHAR(822)),'_Supporto Listone'!A40)</x:f>
        <x:v>P</x:v>
      </x:c>
      <x:c r="B40" s="423" t="str">
        <x:f>IF($J40&lt;&gt;"",REGEXREPLACE(TO_TEXT('_Supporto Listone'!B40),"(.)","$1"&amp;UNICHAR(822)),'_Supporto Listone'!B40)</x:f>
        <x:v>Lezzerini</x:v>
      </x:c>
      <x:c r="C40" s="423" t="str">
        <x:f>IF($J40&lt;&gt;"",REGEXREPLACE(TO_TEXT('_Supporto Listone'!C40),"(.)","$1"&amp;UNICHAR(822)),'_Supporto Listone'!C40)</x:f>
        <x:v>Fiorentina</x:v>
      </x:c>
      <x:c r="D40" s="423" t="str">
        <x:f>IF($J40&lt;&gt;"",REGEXREPLACE(TO_TEXT('_Supporto Listone'!D40),"(.)","$1"&amp;UNICHAR(822)),'_Supporto Listone'!D40)</x:f>
        <x:v>Por</x:v>
      </x:c>
      <x:c r="E40" s="423" t="str">
        <x:f>IF($J40&lt;&gt;"",REGEXREPLACE(TO_TEXT('_Supporto Listone'!E40),"(.)","$1"&amp;UNICHAR(822)),'_Supporto Listone'!E40)</x:f>
        <x:v>Riserva / rotazione</x:v>
      </x:c>
      <x:c r="F40" s="458" t="n">
        <x:f>IF($J40&lt;&gt;"",REGEXREPLACE(TO_TEXT('_Supporto Listone'!F40),"(.)","$1"&amp;UNICHAR(822)),'_Supporto Listone'!F40)</x:f>
        <x:v>1</x:v>
      </x:c>
      <x:c r="G40" s="458" t="n">
        <x:f>IF($J40&lt;&gt;"",REGEXREPLACE(TO_TEXT('_Supporto Listone'!G40),"(.)","$1"&amp;UNICHAR(822)),'_Supporto Listone'!G40)</x:f>
        <x:v>1</x:v>
      </x:c>
      <x:c r="H40" s="458" t="n">
        <x:f>IF($J40&lt;&gt;"",REGEXREPLACE(TO_TEXT('_Supporto Listone'!H40),"(.)","$1"&amp;UNICHAR(822)),'_Supporto Listone'!H40)</x:f>
        <x:v>1</x:v>
      </x:c>
      <x:c r="I40" s="422"/>
      <x:c r="J40" s="423" t="str">
        <x:f>IF(COUNTIF(Asta!$B$4:$B$47,'_Supporto Listone'!B40)&gt;0,"Simone",IF(COUNTIF(Asta!$D$4:$D$47,'_Supporto Listone'!B40)&gt;0,"Giacomo",IF(COUNTIF(Asta!$F$4:$F$47,'_Supporto Listone'!B40)&gt;0,"Niko",IF(COUNTIF(Asta!$H$4:$H$47,'_Supporto Listone'!B40)&gt;0,"Quici",IF(COUNTIF(Asta!$J$4:$J$47,'_Supporto Listone'!B40)&gt;0,"Fratello Quici",IF(COUNTIF(Asta!$L$4:$L$47,'_Supporto Listone'!B40)&gt;0,"Nicolò",IF(COUNTIF(Asta!$N$4:$N$47,'_Supporto Listone'!B40)&gt;0,"Vi",IF(COUNTIF(Asta!$P$4:$P$47,'_Supporto Listone'!B40)&gt;0,"Lore",IF(COUNTIF(Asta!$R$4:$R$47,'_Supporto Listone'!B40)&gt;0,"Robbo",IF(COUNTIF(Asta!$T$4:$T$47,'_Supporto Listone'!B40)&gt;0,"Ale",""))))))))))</x:f>
      </x:c>
      <x:c r="K40" s="489" t="str">
        <x:f>IF(COUNTIF(Asta!$B$4:$B$47,'_Supporto Listone'!B40)&gt;0,INDEX(Asta!$C$4:$C$47,MATCH('_Supporto Listone'!B40,Asta!$B$4:$B$47,0)),IF(COUNTIF(Asta!$D$4:$D$47,'_Supporto Listone'!B40)&gt;0,INDEX(Asta!$E$4:$E$47,MATCH('_Supporto Listone'!B40,Asta!$D$4:$D$47,0)),IF(COUNTIF(Asta!$F$4:$F$47,'_Supporto Listone'!B40)&gt;0,INDEX(Asta!$G$4:$G$47,MATCH('_Supporto Listone'!B40,Asta!$F$4:$F$47,0)),IF(COUNTIF(Asta!$H$4:$H$47,'_Supporto Listone'!B40)&gt;0,INDEX(Asta!$I$4:$I$47,MATCH('_Supporto Listone'!B40,Asta!$H$4:$H$47,0)),IF(COUNTIF(Asta!$J$4:$J$47,'_Supporto Listone'!B40)&gt;0,INDEX(Asta!$K$4:$K$47,MATCH('_Supporto Listone'!B40,Asta!$J$4:$J$47,0)),IF(COUNTIF(Asta!$L$4:$L$47,'_Supporto Listone'!B40)&gt;0,INDEX(Asta!$M$4:$M$47,MATCH('_Supporto Listone'!B40,Asta!$L$4:$L$47,0)),IF(COUNTIF(Asta!$N$4:$N$47,'_Supporto Listone'!B40)&gt;0,INDEX(Asta!$O$4:$O$47,MATCH('_Supporto Listone'!B40,Asta!$N$4:$N$47,0)),IF(COUNTIF(Asta!$P$4:$P$47,'_Supporto Listone'!B40)&gt;0,INDEX(Asta!$Q$4:$Q$47,MATCH('_Supporto Listone'!B40,Asta!$P$4:$P$47,0)),IF(COUNTIF(Asta!$R$4:$R$47,'_Supporto Listone'!B40)&gt;0,INDEX(Asta!$S$4:$S$47,MATCH('_Supporto Listone'!B40,Asta!$R$4:$R$47,0)),IF(COUNTIF(Asta!$T$4:$T$47,'_Supporto Listone'!B40)&gt;0,INDEX(Asta!$U$4:$U$47,MATCH('_Supporto Listone'!B40,Asta!$T$4:$T$47,0)),""))))))))))</x:f>
      </x:c>
    </x:row>
    <x:row r="41">
      <x:c r="A41" s="425" t="str">
        <x:f>IF($J41&lt;&gt;"",REGEXREPLACE(TO_TEXT('_Supporto Listone'!A41),"(.)","$1"&amp;UNICHAR(822)),'_Supporto Listone'!A41)</x:f>
        <x:v>P</x:v>
      </x:c>
      <x:c r="B41" s="423" t="str">
        <x:f>IF($J41&lt;&gt;"",REGEXREPLACE(TO_TEXT('_Supporto Listone'!B41),"(.)","$1"&amp;UNICHAR(822)),'_Supporto Listone'!B41)</x:f>
        <x:v>Lolic</x:v>
      </x:c>
      <x:c r="C41" s="423" t="str">
        <x:f>IF($J41&lt;&gt;"",REGEXREPLACE(TO_TEXT('_Supporto Listone'!C41),"(.)","$1"&amp;UNICHAR(822)),'_Supporto Listone'!C41)</x:f>
        <x:v>Frosinone</x:v>
      </x:c>
      <x:c r="D41" s="423" t="str">
        <x:f>IF($J41&lt;&gt;"",REGEXREPLACE(TO_TEXT('_Supporto Listone'!D41),"(.)","$1"&amp;UNICHAR(822)),'_Supporto Listone'!D41)</x:f>
        <x:v>Por</x:v>
      </x:c>
      <x:c r="E41" s="423" t="str">
        <x:f>IF($J41&lt;&gt;"",REGEXREPLACE(TO_TEXT('_Supporto Listone'!E41),"(.)","$1"&amp;UNICHAR(822)),'_Supporto Listone'!E41)</x:f>
        <x:v>Riserva / rotazione</x:v>
      </x:c>
      <x:c r="F41" s="458" t="n">
        <x:f>IF($J41&lt;&gt;"",REGEXREPLACE(TO_TEXT('_Supporto Listone'!F41),"(.)","$1"&amp;UNICHAR(822)),'_Supporto Listone'!F41)</x:f>
        <x:v>1</x:v>
      </x:c>
      <x:c r="G41" s="458" t="n">
        <x:f>IF($J41&lt;&gt;"",REGEXREPLACE(TO_TEXT('_Supporto Listone'!G41),"(.)","$1"&amp;UNICHAR(822)),'_Supporto Listone'!G41)</x:f>
        <x:v>1</x:v>
      </x:c>
      <x:c r="H41" s="458" t="n">
        <x:f>IF($J41&lt;&gt;"",REGEXREPLACE(TO_TEXT('_Supporto Listone'!H41),"(.)","$1"&amp;UNICHAR(822)),'_Supporto Listone'!H41)</x:f>
        <x:v>1</x:v>
      </x:c>
      <x:c r="I41" s="422"/>
      <x:c r="J41" s="423" t="str">
        <x:f>IF(COUNTIF(Asta!$B$4:$B$47,'_Supporto Listone'!B41)&gt;0,"Simone",IF(COUNTIF(Asta!$D$4:$D$47,'_Supporto Listone'!B41)&gt;0,"Giacomo",IF(COUNTIF(Asta!$F$4:$F$47,'_Supporto Listone'!B41)&gt;0,"Niko",IF(COUNTIF(Asta!$H$4:$H$47,'_Supporto Listone'!B41)&gt;0,"Quici",IF(COUNTIF(Asta!$J$4:$J$47,'_Supporto Listone'!B41)&gt;0,"Fratello Quici",IF(COUNTIF(Asta!$L$4:$L$47,'_Supporto Listone'!B41)&gt;0,"Nicolò",IF(COUNTIF(Asta!$N$4:$N$47,'_Supporto Listone'!B41)&gt;0,"Vi",IF(COUNTIF(Asta!$P$4:$P$47,'_Supporto Listone'!B41)&gt;0,"Lore",IF(COUNTIF(Asta!$R$4:$R$47,'_Supporto Listone'!B41)&gt;0,"Robbo",IF(COUNTIF(Asta!$T$4:$T$47,'_Supporto Listone'!B41)&gt;0,"Ale",""))))))))))</x:f>
      </x:c>
      <x:c r="K41" s="489" t="str">
        <x:f>IF(COUNTIF(Asta!$B$4:$B$47,'_Supporto Listone'!B41)&gt;0,INDEX(Asta!$C$4:$C$47,MATCH('_Supporto Listone'!B41,Asta!$B$4:$B$47,0)),IF(COUNTIF(Asta!$D$4:$D$47,'_Supporto Listone'!B41)&gt;0,INDEX(Asta!$E$4:$E$47,MATCH('_Supporto Listone'!B41,Asta!$D$4:$D$47,0)),IF(COUNTIF(Asta!$F$4:$F$47,'_Supporto Listone'!B41)&gt;0,INDEX(Asta!$G$4:$G$47,MATCH('_Supporto Listone'!B41,Asta!$F$4:$F$47,0)),IF(COUNTIF(Asta!$H$4:$H$47,'_Supporto Listone'!B41)&gt;0,INDEX(Asta!$I$4:$I$47,MATCH('_Supporto Listone'!B41,Asta!$H$4:$H$47,0)),IF(COUNTIF(Asta!$J$4:$J$47,'_Supporto Listone'!B41)&gt;0,INDEX(Asta!$K$4:$K$47,MATCH('_Supporto Listone'!B41,Asta!$J$4:$J$47,0)),IF(COUNTIF(Asta!$L$4:$L$47,'_Supporto Listone'!B41)&gt;0,INDEX(Asta!$M$4:$M$47,MATCH('_Supporto Listone'!B41,Asta!$L$4:$L$47,0)),IF(COUNTIF(Asta!$N$4:$N$47,'_Supporto Listone'!B41)&gt;0,INDEX(Asta!$O$4:$O$47,MATCH('_Supporto Listone'!B41,Asta!$N$4:$N$47,0)),IF(COUNTIF(Asta!$P$4:$P$47,'_Supporto Listone'!B41)&gt;0,INDEX(Asta!$Q$4:$Q$47,MATCH('_Supporto Listone'!B41,Asta!$P$4:$P$47,0)),IF(COUNTIF(Asta!$R$4:$R$47,'_Supporto Listone'!B41)&gt;0,INDEX(Asta!$S$4:$S$47,MATCH('_Supporto Listone'!B41,Asta!$R$4:$R$47,0)),IF(COUNTIF(Asta!$T$4:$T$47,'_Supporto Listone'!B41)&gt;0,INDEX(Asta!$U$4:$U$47,MATCH('_Supporto Listone'!B41,Asta!$T$4:$T$47,0)),""))))))))))</x:f>
      </x:c>
    </x:row>
    <x:row r="42">
      <x:c r="A42" s="425" t="str">
        <x:f>IF($J42&lt;&gt;"",REGEXREPLACE(TO_TEXT('_Supporto Listone'!A42),"(.)","$1"&amp;UNICHAR(822)),'_Supporto Listone'!A42)</x:f>
        <x:v>P</x:v>
      </x:c>
      <x:c r="B42" s="423" t="str">
        <x:f>IF($J42&lt;&gt;"",REGEXREPLACE(TO_TEXT('_Supporto Listone'!B42),"(.)","$1"&amp;UNICHAR(822)),'_Supporto Listone'!B42)</x:f>
        <x:v>Sommariva</x:v>
      </x:c>
      <x:c r="C42" s="423" t="str">
        <x:f>IF($J42&lt;&gt;"",REGEXREPLACE(TO_TEXT('_Supporto Listone'!C42),"(.)","$1"&amp;UNICHAR(822)),'_Supporto Listone'!C42)</x:f>
        <x:v>Genoa</x:v>
      </x:c>
      <x:c r="D42" s="423" t="str">
        <x:f>IF($J42&lt;&gt;"",REGEXREPLACE(TO_TEXT('_Supporto Listone'!D42),"(.)","$1"&amp;UNICHAR(822)),'_Supporto Listone'!D42)</x:f>
        <x:v>Por</x:v>
      </x:c>
      <x:c r="E42" s="423" t="str">
        <x:f>IF($J42&lt;&gt;"",REGEXREPLACE(TO_TEXT('_Supporto Listone'!E42),"(.)","$1"&amp;UNICHAR(822)),'_Supporto Listone'!E42)</x:f>
        <x:v>Riserva / rotazione</x:v>
      </x:c>
      <x:c r="F42" s="458" t="n">
        <x:f>IF($J42&lt;&gt;"",REGEXREPLACE(TO_TEXT('_Supporto Listone'!F42),"(.)","$1"&amp;UNICHAR(822)),'_Supporto Listone'!F42)</x:f>
        <x:v>1</x:v>
      </x:c>
      <x:c r="G42" s="458" t="n">
        <x:f>IF($J42&lt;&gt;"",REGEXREPLACE(TO_TEXT('_Supporto Listone'!G42),"(.)","$1"&amp;UNICHAR(822)),'_Supporto Listone'!G42)</x:f>
        <x:v>1</x:v>
      </x:c>
      <x:c r="H42" s="458" t="n">
        <x:f>IF($J42&lt;&gt;"",REGEXREPLACE(TO_TEXT('_Supporto Listone'!H42),"(.)","$1"&amp;UNICHAR(822)),'_Supporto Listone'!H42)</x:f>
        <x:v>1</x:v>
      </x:c>
      <x:c r="I42" s="422"/>
      <x:c r="J42" s="423" t="str">
        <x:f>IF(COUNTIF(Asta!$B$4:$B$47,'_Supporto Listone'!B42)&gt;0,"Simone",IF(COUNTIF(Asta!$D$4:$D$47,'_Supporto Listone'!B42)&gt;0,"Giacomo",IF(COUNTIF(Asta!$F$4:$F$47,'_Supporto Listone'!B42)&gt;0,"Niko",IF(COUNTIF(Asta!$H$4:$H$47,'_Supporto Listone'!B42)&gt;0,"Quici",IF(COUNTIF(Asta!$J$4:$J$47,'_Supporto Listone'!B42)&gt;0,"Fratello Quici",IF(COUNTIF(Asta!$L$4:$L$47,'_Supporto Listone'!B42)&gt;0,"Nicolò",IF(COUNTIF(Asta!$N$4:$N$47,'_Supporto Listone'!B42)&gt;0,"Vi",IF(COUNTIF(Asta!$P$4:$P$47,'_Supporto Listone'!B42)&gt;0,"Lore",IF(COUNTIF(Asta!$R$4:$R$47,'_Supporto Listone'!B42)&gt;0,"Robbo",IF(COUNTIF(Asta!$T$4:$T$47,'_Supporto Listone'!B42)&gt;0,"Ale",""))))))))))</x:f>
      </x:c>
      <x:c r="K42" s="489" t="str">
        <x:f>IF(COUNTIF(Asta!$B$4:$B$47,'_Supporto Listone'!B42)&gt;0,INDEX(Asta!$C$4:$C$47,MATCH('_Supporto Listone'!B42,Asta!$B$4:$B$47,0)),IF(COUNTIF(Asta!$D$4:$D$47,'_Supporto Listone'!B42)&gt;0,INDEX(Asta!$E$4:$E$47,MATCH('_Supporto Listone'!B42,Asta!$D$4:$D$47,0)),IF(COUNTIF(Asta!$F$4:$F$47,'_Supporto Listone'!B42)&gt;0,INDEX(Asta!$G$4:$G$47,MATCH('_Supporto Listone'!B42,Asta!$F$4:$F$47,0)),IF(COUNTIF(Asta!$H$4:$H$47,'_Supporto Listone'!B42)&gt;0,INDEX(Asta!$I$4:$I$47,MATCH('_Supporto Listone'!B42,Asta!$H$4:$H$47,0)),IF(COUNTIF(Asta!$J$4:$J$47,'_Supporto Listone'!B42)&gt;0,INDEX(Asta!$K$4:$K$47,MATCH('_Supporto Listone'!B42,Asta!$J$4:$J$47,0)),IF(COUNTIF(Asta!$L$4:$L$47,'_Supporto Listone'!B42)&gt;0,INDEX(Asta!$M$4:$M$47,MATCH('_Supporto Listone'!B42,Asta!$L$4:$L$47,0)),IF(COUNTIF(Asta!$N$4:$N$47,'_Supporto Listone'!B42)&gt;0,INDEX(Asta!$O$4:$O$47,MATCH('_Supporto Listone'!B42,Asta!$N$4:$N$47,0)),IF(COUNTIF(Asta!$P$4:$P$47,'_Supporto Listone'!B42)&gt;0,INDEX(Asta!$Q$4:$Q$47,MATCH('_Supporto Listone'!B42,Asta!$P$4:$P$47,0)),IF(COUNTIF(Asta!$R$4:$R$47,'_Supporto Listone'!B42)&gt;0,INDEX(Asta!$S$4:$S$47,MATCH('_Supporto Listone'!B42,Asta!$R$4:$R$47,0)),IF(COUNTIF(Asta!$T$4:$T$47,'_Supporto Listone'!B42)&gt;0,INDEX(Asta!$U$4:$U$47,MATCH('_Supporto Listone'!B42,Asta!$T$4:$T$47,0)),""))))))))))</x:f>
      </x:c>
    </x:row>
    <x:row r="43">
      <x:c r="A43" s="425" t="str">
        <x:f>IF($J43&lt;&gt;"",REGEXREPLACE(TO_TEXT('_Supporto Listone'!A43),"(.)","$1"&amp;UNICHAR(822)),'_Supporto Listone'!A43)</x:f>
        <x:v>P</x:v>
      </x:c>
      <x:c r="B43" s="423" t="str">
        <x:f>IF($J43&lt;&gt;"",REGEXREPLACE(TO_TEXT('_Supporto Listone'!B43),"(.)","$1"&amp;UNICHAR(822)),'_Supporto Listone'!B43)</x:f>
        <x:v>Stolz</x:v>
      </x:c>
      <x:c r="C43" s="423" t="str">
        <x:f>IF($J43&lt;&gt;"",REGEXREPLACE(TO_TEXT('_Supporto Listone'!C43),"(.)","$1"&amp;UNICHAR(822)),'_Supporto Listone'!C43)</x:f>
        <x:v>Genoa</x:v>
      </x:c>
      <x:c r="D43" s="423" t="str">
        <x:f>IF($J43&lt;&gt;"",REGEXREPLACE(TO_TEXT('_Supporto Listone'!D43),"(.)","$1"&amp;UNICHAR(822)),'_Supporto Listone'!D43)</x:f>
        <x:v>Por</x:v>
      </x:c>
      <x:c r="E43" s="423" t="str">
        <x:f>IF($J43&lt;&gt;"",REGEXREPLACE(TO_TEXT('_Supporto Listone'!E43),"(.)","$1"&amp;UNICHAR(822)),'_Supporto Listone'!E43)</x:f>
        <x:v>Riserva / rotazione</x:v>
      </x:c>
      <x:c r="F43" s="458" t="n">
        <x:f>IF($J43&lt;&gt;"",REGEXREPLACE(TO_TEXT('_Supporto Listone'!F43),"(.)","$1"&amp;UNICHAR(822)),'_Supporto Listone'!F43)</x:f>
        <x:v>1</x:v>
      </x:c>
      <x:c r="G43" s="458" t="n">
        <x:f>IF($J43&lt;&gt;"",REGEXREPLACE(TO_TEXT('_Supporto Listone'!G43),"(.)","$1"&amp;UNICHAR(822)),'_Supporto Listone'!G43)</x:f>
        <x:v>1</x:v>
      </x:c>
      <x:c r="H43" s="458" t="n">
        <x:f>IF($J43&lt;&gt;"",REGEXREPLACE(TO_TEXT('_Supporto Listone'!H43),"(.)","$1"&amp;UNICHAR(822)),'_Supporto Listone'!H43)</x:f>
        <x:v>1</x:v>
      </x:c>
      <x:c r="I43" s="422"/>
      <x:c r="J43" s="423" t="str">
        <x:f>IF(COUNTIF(Asta!$B$4:$B$47,'_Supporto Listone'!B43)&gt;0,"Simone",IF(COUNTIF(Asta!$D$4:$D$47,'_Supporto Listone'!B43)&gt;0,"Giacomo",IF(COUNTIF(Asta!$F$4:$F$47,'_Supporto Listone'!B43)&gt;0,"Niko",IF(COUNTIF(Asta!$H$4:$H$47,'_Supporto Listone'!B43)&gt;0,"Quici",IF(COUNTIF(Asta!$J$4:$J$47,'_Supporto Listone'!B43)&gt;0,"Fratello Quici",IF(COUNTIF(Asta!$L$4:$L$47,'_Supporto Listone'!B43)&gt;0,"Nicolò",IF(COUNTIF(Asta!$N$4:$N$47,'_Supporto Listone'!B43)&gt;0,"Vi",IF(COUNTIF(Asta!$P$4:$P$47,'_Supporto Listone'!B43)&gt;0,"Lore",IF(COUNTIF(Asta!$R$4:$R$47,'_Supporto Listone'!B43)&gt;0,"Robbo",IF(COUNTIF(Asta!$T$4:$T$47,'_Supporto Listone'!B43)&gt;0,"Ale",""))))))))))</x:f>
      </x:c>
      <x:c r="K43" s="489" t="str">
        <x:f>IF(COUNTIF(Asta!$B$4:$B$47,'_Supporto Listone'!B43)&gt;0,INDEX(Asta!$C$4:$C$47,MATCH('_Supporto Listone'!B43,Asta!$B$4:$B$47,0)),IF(COUNTIF(Asta!$D$4:$D$47,'_Supporto Listone'!B43)&gt;0,INDEX(Asta!$E$4:$E$47,MATCH('_Supporto Listone'!B43,Asta!$D$4:$D$47,0)),IF(COUNTIF(Asta!$F$4:$F$47,'_Supporto Listone'!B43)&gt;0,INDEX(Asta!$G$4:$G$47,MATCH('_Supporto Listone'!B43,Asta!$F$4:$F$47,0)),IF(COUNTIF(Asta!$H$4:$H$47,'_Supporto Listone'!B43)&gt;0,INDEX(Asta!$I$4:$I$47,MATCH('_Supporto Listone'!B43,Asta!$H$4:$H$47,0)),IF(COUNTIF(Asta!$J$4:$J$47,'_Supporto Listone'!B43)&gt;0,INDEX(Asta!$K$4:$K$47,MATCH('_Supporto Listone'!B43,Asta!$J$4:$J$47,0)),IF(COUNTIF(Asta!$L$4:$L$47,'_Supporto Listone'!B43)&gt;0,INDEX(Asta!$M$4:$M$47,MATCH('_Supporto Listone'!B43,Asta!$L$4:$L$47,0)),IF(COUNTIF(Asta!$N$4:$N$47,'_Supporto Listone'!B43)&gt;0,INDEX(Asta!$O$4:$O$47,MATCH('_Supporto Listone'!B43,Asta!$N$4:$N$47,0)),IF(COUNTIF(Asta!$P$4:$P$47,'_Supporto Listone'!B43)&gt;0,INDEX(Asta!$Q$4:$Q$47,MATCH('_Supporto Listone'!B43,Asta!$P$4:$P$47,0)),IF(COUNTIF(Asta!$R$4:$R$47,'_Supporto Listone'!B43)&gt;0,INDEX(Asta!$S$4:$S$47,MATCH('_Supporto Listone'!B43,Asta!$R$4:$R$47,0)),IF(COUNTIF(Asta!$T$4:$T$47,'_Supporto Listone'!B43)&gt;0,INDEX(Asta!$U$4:$U$47,MATCH('_Supporto Listone'!B43,Asta!$T$4:$T$47,0)),""))))))))))</x:f>
      </x:c>
    </x:row>
    <x:row r="44">
      <x:c r="A44" s="425" t="str">
        <x:f>IF($J44&lt;&gt;"",REGEXREPLACE(TO_TEXT('_Supporto Listone'!A44),"(.)","$1"&amp;UNICHAR(822)),'_Supporto Listone'!A44)</x:f>
        <x:v>P</x:v>
      </x:c>
      <x:c r="B44" s="423" t="str">
        <x:f>IF($J44&lt;&gt;"",REGEXREPLACE(TO_TEXT('_Supporto Listone'!B44),"(.)","$1"&amp;UNICHAR(822)),'_Supporto Listone'!B44)</x:f>
        <x:v>Di Gennaro</x:v>
      </x:c>
      <x:c r="C44" s="423" t="str">
        <x:f>IF($J44&lt;&gt;"",REGEXREPLACE(TO_TEXT('_Supporto Listone'!C44),"(.)","$1"&amp;UNICHAR(822)),'_Supporto Listone'!C44)</x:f>
        <x:v>Inter</x:v>
      </x:c>
      <x:c r="D44" s="423" t="str">
        <x:f>IF($J44&lt;&gt;"",REGEXREPLACE(TO_TEXT('_Supporto Listone'!D44),"(.)","$1"&amp;UNICHAR(822)),'_Supporto Listone'!D44)</x:f>
        <x:v>Por</x:v>
      </x:c>
      <x:c r="E44" s="423" t="str">
        <x:f>IF($J44&lt;&gt;"",REGEXREPLACE(TO_TEXT('_Supporto Listone'!E44),"(.)","$1"&amp;UNICHAR(822)),'_Supporto Listone'!E44)</x:f>
        <x:v>Riserva / rotazione</x:v>
      </x:c>
      <x:c r="F44" s="458" t="n">
        <x:f>IF($J44&lt;&gt;"",REGEXREPLACE(TO_TEXT('_Supporto Listone'!F44),"(.)","$1"&amp;UNICHAR(822)),'_Supporto Listone'!F44)</x:f>
        <x:v>1</x:v>
      </x:c>
      <x:c r="G44" s="458" t="n">
        <x:f>IF($J44&lt;&gt;"",REGEXREPLACE(TO_TEXT('_Supporto Listone'!G44),"(.)","$1"&amp;UNICHAR(822)),'_Supporto Listone'!G44)</x:f>
        <x:v>1</x:v>
      </x:c>
      <x:c r="H44" s="458" t="n">
        <x:f>IF($J44&lt;&gt;"",REGEXREPLACE(TO_TEXT('_Supporto Listone'!H44),"(.)","$1"&amp;UNICHAR(822)),'_Supporto Listone'!H44)</x:f>
        <x:v>1</x:v>
      </x:c>
      <x:c r="I44" s="422"/>
      <x:c r="J44" s="423" t="str">
        <x:f>IF(COUNTIF(Asta!$B$4:$B$47,'_Supporto Listone'!B44)&gt;0,"Simone",IF(COUNTIF(Asta!$D$4:$D$47,'_Supporto Listone'!B44)&gt;0,"Giacomo",IF(COUNTIF(Asta!$F$4:$F$47,'_Supporto Listone'!B44)&gt;0,"Niko",IF(COUNTIF(Asta!$H$4:$H$47,'_Supporto Listone'!B44)&gt;0,"Quici",IF(COUNTIF(Asta!$J$4:$J$47,'_Supporto Listone'!B44)&gt;0,"Fratello Quici",IF(COUNTIF(Asta!$L$4:$L$47,'_Supporto Listone'!B44)&gt;0,"Nicolò",IF(COUNTIF(Asta!$N$4:$N$47,'_Supporto Listone'!B44)&gt;0,"Vi",IF(COUNTIF(Asta!$P$4:$P$47,'_Supporto Listone'!B44)&gt;0,"Lore",IF(COUNTIF(Asta!$R$4:$R$47,'_Supporto Listone'!B44)&gt;0,"Robbo",IF(COUNTIF(Asta!$T$4:$T$47,'_Supporto Listone'!B44)&gt;0,"Ale",""))))))))))</x:f>
      </x:c>
      <x:c r="K44" s="489" t="str">
        <x:f>IF(COUNTIF(Asta!$B$4:$B$47,'_Supporto Listone'!B44)&gt;0,INDEX(Asta!$C$4:$C$47,MATCH('_Supporto Listone'!B44,Asta!$B$4:$B$47,0)),IF(COUNTIF(Asta!$D$4:$D$47,'_Supporto Listone'!B44)&gt;0,INDEX(Asta!$E$4:$E$47,MATCH('_Supporto Listone'!B44,Asta!$D$4:$D$47,0)),IF(COUNTIF(Asta!$F$4:$F$47,'_Supporto Listone'!B44)&gt;0,INDEX(Asta!$G$4:$G$47,MATCH('_Supporto Listone'!B44,Asta!$F$4:$F$47,0)),IF(COUNTIF(Asta!$H$4:$H$47,'_Supporto Listone'!B44)&gt;0,INDEX(Asta!$I$4:$I$47,MATCH('_Supporto Listone'!B44,Asta!$H$4:$H$47,0)),IF(COUNTIF(Asta!$J$4:$J$47,'_Supporto Listone'!B44)&gt;0,INDEX(Asta!$K$4:$K$47,MATCH('_Supporto Listone'!B44,Asta!$J$4:$J$47,0)),IF(COUNTIF(Asta!$L$4:$L$47,'_Supporto Listone'!B44)&gt;0,INDEX(Asta!$M$4:$M$47,MATCH('_Supporto Listone'!B44,Asta!$L$4:$L$47,0)),IF(COUNTIF(Asta!$N$4:$N$47,'_Supporto Listone'!B44)&gt;0,INDEX(Asta!$O$4:$O$47,MATCH('_Supporto Listone'!B44,Asta!$N$4:$N$47,0)),IF(COUNTIF(Asta!$P$4:$P$47,'_Supporto Listone'!B44)&gt;0,INDEX(Asta!$Q$4:$Q$47,MATCH('_Supporto Listone'!B44,Asta!$P$4:$P$47,0)),IF(COUNTIF(Asta!$R$4:$R$47,'_Supporto Listone'!B44)&gt;0,INDEX(Asta!$S$4:$S$47,MATCH('_Supporto Listone'!B44,Asta!$R$4:$R$47,0)),IF(COUNTIF(Asta!$T$4:$T$47,'_Supporto Listone'!B44)&gt;0,INDEX(Asta!$U$4:$U$47,MATCH('_Supporto Listone'!B44,Asta!$T$4:$T$47,0)),""))))))))))</x:f>
      </x:c>
    </x:row>
    <x:row r="45">
      <x:c r="A45" s="425" t="str">
        <x:f>IF($J45&lt;&gt;"",REGEXREPLACE(TO_TEXT('_Supporto Listone'!A45),"(.)","$1"&amp;UNICHAR(822)),'_Supporto Listone'!A45)</x:f>
        <x:v>P</x:v>
      </x:c>
      <x:c r="B45" s="423" t="str">
        <x:f>IF($J45&lt;&gt;"",REGEXREPLACE(TO_TEXT('_Supporto Listone'!B45),"(.)","$1"&amp;UNICHAR(822)),'_Supporto Listone'!B45)</x:f>
        <x:v>Pinsoglio</x:v>
      </x:c>
      <x:c r="C45" s="423" t="str">
        <x:f>IF($J45&lt;&gt;"",REGEXREPLACE(TO_TEXT('_Supporto Listone'!C45),"(.)","$1"&amp;UNICHAR(822)),'_Supporto Listone'!C45)</x:f>
        <x:v>Juventus</x:v>
      </x:c>
      <x:c r="D45" s="423" t="str">
        <x:f>IF($J45&lt;&gt;"",REGEXREPLACE(TO_TEXT('_Supporto Listone'!D45),"(.)","$1"&amp;UNICHAR(822)),'_Supporto Listone'!D45)</x:f>
        <x:v>Por</x:v>
      </x:c>
      <x:c r="E45" s="423" t="str">
        <x:f>IF($J45&lt;&gt;"",REGEXREPLACE(TO_TEXT('_Supporto Listone'!E45),"(.)","$1"&amp;UNICHAR(822)),'_Supporto Listone'!E45)</x:f>
        <x:v>Riserva / rotazione</x:v>
      </x:c>
      <x:c r="F45" s="458" t="n">
        <x:f>IF($J45&lt;&gt;"",REGEXREPLACE(TO_TEXT('_Supporto Listone'!F45),"(.)","$1"&amp;UNICHAR(822)),'_Supporto Listone'!F45)</x:f>
        <x:v>1</x:v>
      </x:c>
      <x:c r="G45" s="458" t="n">
        <x:f>IF($J45&lt;&gt;"",REGEXREPLACE(TO_TEXT('_Supporto Listone'!G45),"(.)","$1"&amp;UNICHAR(822)),'_Supporto Listone'!G45)</x:f>
        <x:v>1</x:v>
      </x:c>
      <x:c r="H45" s="458" t="n">
        <x:f>IF($J45&lt;&gt;"",REGEXREPLACE(TO_TEXT('_Supporto Listone'!H45),"(.)","$1"&amp;UNICHAR(822)),'_Supporto Listone'!H45)</x:f>
        <x:v>1</x:v>
      </x:c>
      <x:c r="I45" s="422"/>
      <x:c r="J45" s="423" t="str">
        <x:f>IF(COUNTIF(Asta!$B$4:$B$47,'_Supporto Listone'!B45)&gt;0,"Simone",IF(COUNTIF(Asta!$D$4:$D$47,'_Supporto Listone'!B45)&gt;0,"Giacomo",IF(COUNTIF(Asta!$F$4:$F$47,'_Supporto Listone'!B45)&gt;0,"Niko",IF(COUNTIF(Asta!$H$4:$H$47,'_Supporto Listone'!B45)&gt;0,"Quici",IF(COUNTIF(Asta!$J$4:$J$47,'_Supporto Listone'!B45)&gt;0,"Fratello Quici",IF(COUNTIF(Asta!$L$4:$L$47,'_Supporto Listone'!B45)&gt;0,"Nicolò",IF(COUNTIF(Asta!$N$4:$N$47,'_Supporto Listone'!B45)&gt;0,"Vi",IF(COUNTIF(Asta!$P$4:$P$47,'_Supporto Listone'!B45)&gt;0,"Lore",IF(COUNTIF(Asta!$R$4:$R$47,'_Supporto Listone'!B45)&gt;0,"Robbo",IF(COUNTIF(Asta!$T$4:$T$47,'_Supporto Listone'!B45)&gt;0,"Ale",""))))))))))</x:f>
      </x:c>
      <x:c r="K45" s="489" t="str">
        <x:f>IF(COUNTIF(Asta!$B$4:$B$47,'_Supporto Listone'!B45)&gt;0,INDEX(Asta!$C$4:$C$47,MATCH('_Supporto Listone'!B45,Asta!$B$4:$B$47,0)),IF(COUNTIF(Asta!$D$4:$D$47,'_Supporto Listone'!B45)&gt;0,INDEX(Asta!$E$4:$E$47,MATCH('_Supporto Listone'!B45,Asta!$D$4:$D$47,0)),IF(COUNTIF(Asta!$F$4:$F$47,'_Supporto Listone'!B45)&gt;0,INDEX(Asta!$G$4:$G$47,MATCH('_Supporto Listone'!B45,Asta!$F$4:$F$47,0)),IF(COUNTIF(Asta!$H$4:$H$47,'_Supporto Listone'!B45)&gt;0,INDEX(Asta!$I$4:$I$47,MATCH('_Supporto Listone'!B45,Asta!$H$4:$H$47,0)),IF(COUNTIF(Asta!$J$4:$J$47,'_Supporto Listone'!B45)&gt;0,INDEX(Asta!$K$4:$K$47,MATCH('_Supporto Listone'!B45,Asta!$J$4:$J$47,0)),IF(COUNTIF(Asta!$L$4:$L$47,'_Supporto Listone'!B45)&gt;0,INDEX(Asta!$M$4:$M$47,MATCH('_Supporto Listone'!B45,Asta!$L$4:$L$47,0)),IF(COUNTIF(Asta!$N$4:$N$47,'_Supporto Listone'!B45)&gt;0,INDEX(Asta!$O$4:$O$47,MATCH('_Supporto Listone'!B45,Asta!$N$4:$N$47,0)),IF(COUNTIF(Asta!$P$4:$P$47,'_Supporto Listone'!B45)&gt;0,INDEX(Asta!$Q$4:$Q$47,MATCH('_Supporto Listone'!B45,Asta!$P$4:$P$47,0)),IF(COUNTIF(Asta!$R$4:$R$47,'_Supporto Listone'!B45)&gt;0,INDEX(Asta!$S$4:$S$47,MATCH('_Supporto Listone'!B45,Asta!$R$4:$R$47,0)),IF(COUNTIF(Asta!$T$4:$T$47,'_Supporto Listone'!B45)&gt;0,INDEX(Asta!$U$4:$U$47,MATCH('_Supporto Listone'!B45,Asta!$T$4:$T$47,0)),""))))))))))</x:f>
      </x:c>
    </x:row>
    <x:row r="46">
      <x:c r="A46" s="425" t="str">
        <x:f>IF($J46&lt;&gt;"",REGEXREPLACE(TO_TEXT('_Supporto Listone'!A46),"(.)","$1"&amp;UNICHAR(822)),'_Supporto Listone'!A46)</x:f>
        <x:v>P</x:v>
      </x:c>
      <x:c r="B46" s="423" t="str">
        <x:f>IF($J46&lt;&gt;"",REGEXREPLACE(TO_TEXT('_Supporto Listone'!B46),"(.)","$1"&amp;UNICHAR(822)),'_Supporto Listone'!B46)</x:f>
        <x:v>Motta</x:v>
      </x:c>
      <x:c r="C46" s="423" t="str">
        <x:f>IF($J46&lt;&gt;"",REGEXREPLACE(TO_TEXT('_Supporto Listone'!C46),"(.)","$1"&amp;UNICHAR(822)),'_Supporto Listone'!C46)</x:f>
        <x:v>Lazio</x:v>
      </x:c>
      <x:c r="D46" s="423" t="str">
        <x:f>IF($J46&lt;&gt;"",REGEXREPLACE(TO_TEXT('_Supporto Listone'!D46),"(.)","$1"&amp;UNICHAR(822)),'_Supporto Listone'!D46)</x:f>
        <x:v>Por</x:v>
      </x:c>
      <x:c r="E46" s="423" t="str">
        <x:f>IF($J46&lt;&gt;"",REGEXREPLACE(TO_TEXT('_Supporto Listone'!E46),"(.)","$1"&amp;UNICHAR(822)),'_Supporto Listone'!E46)</x:f>
        <x:v>Riserva / rotazione</x:v>
      </x:c>
      <x:c r="F46" s="458" t="n">
        <x:f>IF($J46&lt;&gt;"",REGEXREPLACE(TO_TEXT('_Supporto Listone'!F46),"(.)","$1"&amp;UNICHAR(822)),'_Supporto Listone'!F46)</x:f>
        <x:v>1</x:v>
      </x:c>
      <x:c r="G46" s="458" t="n">
        <x:f>IF($J46&lt;&gt;"",REGEXREPLACE(TO_TEXT('_Supporto Listone'!G46),"(.)","$1"&amp;UNICHAR(822)),'_Supporto Listone'!G46)</x:f>
        <x:v>1</x:v>
      </x:c>
      <x:c r="H46" s="458" t="n">
        <x:f>IF($J46&lt;&gt;"",REGEXREPLACE(TO_TEXT('_Supporto Listone'!H46),"(.)","$1"&amp;UNICHAR(822)),'_Supporto Listone'!H46)</x:f>
        <x:v>1</x:v>
      </x:c>
      <x:c r="I46" s="422"/>
      <x:c r="J46" s="423" t="str">
        <x:f>IF(COUNTIF(Asta!$B$4:$B$47,'_Supporto Listone'!B46)&gt;0,"Simone",IF(COUNTIF(Asta!$D$4:$D$47,'_Supporto Listone'!B46)&gt;0,"Giacomo",IF(COUNTIF(Asta!$F$4:$F$47,'_Supporto Listone'!B46)&gt;0,"Niko",IF(COUNTIF(Asta!$H$4:$H$47,'_Supporto Listone'!B46)&gt;0,"Quici",IF(COUNTIF(Asta!$J$4:$J$47,'_Supporto Listone'!B46)&gt;0,"Fratello Quici",IF(COUNTIF(Asta!$L$4:$L$47,'_Supporto Listone'!B46)&gt;0,"Nicolò",IF(COUNTIF(Asta!$N$4:$N$47,'_Supporto Listone'!B46)&gt;0,"Vi",IF(COUNTIF(Asta!$P$4:$P$47,'_Supporto Listone'!B46)&gt;0,"Lore",IF(COUNTIF(Asta!$R$4:$R$47,'_Supporto Listone'!B46)&gt;0,"Robbo",IF(COUNTIF(Asta!$T$4:$T$47,'_Supporto Listone'!B46)&gt;0,"Ale",""))))))))))</x:f>
      </x:c>
      <x:c r="K46" s="489" t="str">
        <x:f>IF(COUNTIF(Asta!$B$4:$B$47,'_Supporto Listone'!B46)&gt;0,INDEX(Asta!$C$4:$C$47,MATCH('_Supporto Listone'!B46,Asta!$B$4:$B$47,0)),IF(COUNTIF(Asta!$D$4:$D$47,'_Supporto Listone'!B46)&gt;0,INDEX(Asta!$E$4:$E$47,MATCH('_Supporto Listone'!B46,Asta!$D$4:$D$47,0)),IF(COUNTIF(Asta!$F$4:$F$47,'_Supporto Listone'!B46)&gt;0,INDEX(Asta!$G$4:$G$47,MATCH('_Supporto Listone'!B46,Asta!$F$4:$F$47,0)),IF(COUNTIF(Asta!$H$4:$H$47,'_Supporto Listone'!B46)&gt;0,INDEX(Asta!$I$4:$I$47,MATCH('_Supporto Listone'!B46,Asta!$H$4:$H$47,0)),IF(COUNTIF(Asta!$J$4:$J$47,'_Supporto Listone'!B46)&gt;0,INDEX(Asta!$K$4:$K$47,MATCH('_Supporto Listone'!B46,Asta!$J$4:$J$47,0)),IF(COUNTIF(Asta!$L$4:$L$47,'_Supporto Listone'!B46)&gt;0,INDEX(Asta!$M$4:$M$47,MATCH('_Supporto Listone'!B46,Asta!$L$4:$L$47,0)),IF(COUNTIF(Asta!$N$4:$N$47,'_Supporto Listone'!B46)&gt;0,INDEX(Asta!$O$4:$O$47,MATCH('_Supporto Listone'!B46,Asta!$N$4:$N$47,0)),IF(COUNTIF(Asta!$P$4:$P$47,'_Supporto Listone'!B46)&gt;0,INDEX(Asta!$Q$4:$Q$47,MATCH('_Supporto Listone'!B46,Asta!$P$4:$P$47,0)),IF(COUNTIF(Asta!$R$4:$R$47,'_Supporto Listone'!B46)&gt;0,INDEX(Asta!$S$4:$S$47,MATCH('_Supporto Listone'!B46,Asta!$R$4:$R$47,0)),IF(COUNTIF(Asta!$T$4:$T$47,'_Supporto Listone'!B46)&gt;0,INDEX(Asta!$U$4:$U$47,MATCH('_Supporto Listone'!B46,Asta!$T$4:$T$47,0)),""))))))))))</x:f>
      </x:c>
    </x:row>
    <x:row r="47">
      <x:c r="A47" s="425" t="str">
        <x:f>IF($J47&lt;&gt;"",REGEXREPLACE(TO_TEXT('_Supporto Listone'!A47),"(.)","$1"&amp;UNICHAR(822)),'_Supporto Listone'!A47)</x:f>
        <x:v>P</x:v>
      </x:c>
      <x:c r="B47" s="423" t="str">
        <x:f>IF($J47&lt;&gt;"",REGEXREPLACE(TO_TEXT('_Supporto Listone'!B47),"(.)","$1"&amp;UNICHAR(822)),'_Supporto Listone'!B47)</x:f>
        <x:v>Renzetti</x:v>
      </x:c>
      <x:c r="C47" s="423" t="str">
        <x:f>IF($J47&lt;&gt;"",REGEXREPLACE(TO_TEXT('_Supporto Listone'!C47),"(.)","$1"&amp;UNICHAR(822)),'_Supporto Listone'!C47)</x:f>
        <x:v>Lazio</x:v>
      </x:c>
      <x:c r="D47" s="423" t="str">
        <x:f>IF($J47&lt;&gt;"",REGEXREPLACE(TO_TEXT('_Supporto Listone'!D47),"(.)","$1"&amp;UNICHAR(822)),'_Supporto Listone'!D47)</x:f>
        <x:v>Por</x:v>
      </x:c>
      <x:c r="E47" s="423" t="str">
        <x:f>IF($J47&lt;&gt;"",REGEXREPLACE(TO_TEXT('_Supporto Listone'!E47),"(.)","$1"&amp;UNICHAR(822)),'_Supporto Listone'!E47)</x:f>
        <x:v>Riserva / rotazione</x:v>
      </x:c>
      <x:c r="F47" s="458" t="n">
        <x:f>IF($J47&lt;&gt;"",REGEXREPLACE(TO_TEXT('_Supporto Listone'!F47),"(.)","$1"&amp;UNICHAR(822)),'_Supporto Listone'!F47)</x:f>
        <x:v>1</x:v>
      </x:c>
      <x:c r="G47" s="458" t="n">
        <x:f>IF($J47&lt;&gt;"",REGEXREPLACE(TO_TEXT('_Supporto Listone'!G47),"(.)","$1"&amp;UNICHAR(822)),'_Supporto Listone'!G47)</x:f>
        <x:v>1</x:v>
      </x:c>
      <x:c r="H47" s="458" t="n">
        <x:f>IF($J47&lt;&gt;"",REGEXREPLACE(TO_TEXT('_Supporto Listone'!H47),"(.)","$1"&amp;UNICHAR(822)),'_Supporto Listone'!H47)</x:f>
        <x:v>1</x:v>
      </x:c>
      <x:c r="I47" s="422"/>
      <x:c r="J47" s="423" t="str">
        <x:f>IF(COUNTIF(Asta!$B$4:$B$47,'_Supporto Listone'!B47)&gt;0,"Simone",IF(COUNTIF(Asta!$D$4:$D$47,'_Supporto Listone'!B47)&gt;0,"Giacomo",IF(COUNTIF(Asta!$F$4:$F$47,'_Supporto Listone'!B47)&gt;0,"Niko",IF(COUNTIF(Asta!$H$4:$H$47,'_Supporto Listone'!B47)&gt;0,"Quici",IF(COUNTIF(Asta!$J$4:$J$47,'_Supporto Listone'!B47)&gt;0,"Fratello Quici",IF(COUNTIF(Asta!$L$4:$L$47,'_Supporto Listone'!B47)&gt;0,"Nicolò",IF(COUNTIF(Asta!$N$4:$N$47,'_Supporto Listone'!B47)&gt;0,"Vi",IF(COUNTIF(Asta!$P$4:$P$47,'_Supporto Listone'!B47)&gt;0,"Lore",IF(COUNTIF(Asta!$R$4:$R$47,'_Supporto Listone'!B47)&gt;0,"Robbo",IF(COUNTIF(Asta!$T$4:$T$47,'_Supporto Listone'!B47)&gt;0,"Ale",""))))))))))</x:f>
      </x:c>
      <x:c r="K47" s="489" t="str">
        <x:f>IF(COUNTIF(Asta!$B$4:$B$47,'_Supporto Listone'!B47)&gt;0,INDEX(Asta!$C$4:$C$47,MATCH('_Supporto Listone'!B47,Asta!$B$4:$B$47,0)),IF(COUNTIF(Asta!$D$4:$D$47,'_Supporto Listone'!B47)&gt;0,INDEX(Asta!$E$4:$E$47,MATCH('_Supporto Listone'!B47,Asta!$D$4:$D$47,0)),IF(COUNTIF(Asta!$F$4:$F$47,'_Supporto Listone'!B47)&gt;0,INDEX(Asta!$G$4:$G$47,MATCH('_Supporto Listone'!B47,Asta!$F$4:$F$47,0)),IF(COUNTIF(Asta!$H$4:$H$47,'_Supporto Listone'!B47)&gt;0,INDEX(Asta!$I$4:$I$47,MATCH('_Supporto Listone'!B47,Asta!$H$4:$H$47,0)),IF(COUNTIF(Asta!$J$4:$J$47,'_Supporto Listone'!B47)&gt;0,INDEX(Asta!$K$4:$K$47,MATCH('_Supporto Listone'!B47,Asta!$J$4:$J$47,0)),IF(COUNTIF(Asta!$L$4:$L$47,'_Supporto Listone'!B47)&gt;0,INDEX(Asta!$M$4:$M$47,MATCH('_Supporto Listone'!B47,Asta!$L$4:$L$47,0)),IF(COUNTIF(Asta!$N$4:$N$47,'_Supporto Listone'!B47)&gt;0,INDEX(Asta!$O$4:$O$47,MATCH('_Supporto Listone'!B47,Asta!$N$4:$N$47,0)),IF(COUNTIF(Asta!$P$4:$P$47,'_Supporto Listone'!B47)&gt;0,INDEX(Asta!$Q$4:$Q$47,MATCH('_Supporto Listone'!B47,Asta!$P$4:$P$47,0)),IF(COUNTIF(Asta!$R$4:$R$47,'_Supporto Listone'!B47)&gt;0,INDEX(Asta!$S$4:$S$47,MATCH('_Supporto Listone'!B47,Asta!$R$4:$R$47,0)),IF(COUNTIF(Asta!$T$4:$T$47,'_Supporto Listone'!B47)&gt;0,INDEX(Asta!$U$4:$U$47,MATCH('_Supporto Listone'!B47,Asta!$T$4:$T$47,0)),""))))))))))</x:f>
      </x:c>
    </x:row>
    <x:row r="48">
      <x:c r="A48" s="425" t="str">
        <x:f>IF($J48&lt;&gt;"",REGEXREPLACE(TO_TEXT('_Supporto Listone'!A48),"(.)","$1"&amp;UNICHAR(822)),'_Supporto Listone'!A48)</x:f>
        <x:v>P</x:v>
      </x:c>
      <x:c r="B48" s="423" t="str">
        <x:f>IF($J48&lt;&gt;"",REGEXREPLACE(TO_TEXT('_Supporto Listone'!B48),"(.)","$1"&amp;UNICHAR(822)),'_Supporto Listone'!B48)</x:f>
        <x:v>Fruchtl</x:v>
      </x:c>
      <x:c r="C48" s="423" t="str">
        <x:f>IF($J48&lt;&gt;"",REGEXREPLACE(TO_TEXT('_Supporto Listone'!C48),"(.)","$1"&amp;UNICHAR(822)),'_Supporto Listone'!C48)</x:f>
        <x:v>Lecce</x:v>
      </x:c>
      <x:c r="D48" s="423" t="str">
        <x:f>IF($J48&lt;&gt;"",REGEXREPLACE(TO_TEXT('_Supporto Listone'!D48),"(.)","$1"&amp;UNICHAR(822)),'_Supporto Listone'!D48)</x:f>
        <x:v>Por</x:v>
      </x:c>
      <x:c r="E48" s="423" t="str">
        <x:f>IF($J48&lt;&gt;"",REGEXREPLACE(TO_TEXT('_Supporto Listone'!E48),"(.)","$1"&amp;UNICHAR(822)),'_Supporto Listone'!E48)</x:f>
        <x:v>Riserva / rotazione</x:v>
      </x:c>
      <x:c r="F48" s="458" t="n">
        <x:f>IF($J48&lt;&gt;"",REGEXREPLACE(TO_TEXT('_Supporto Listone'!F48),"(.)","$1"&amp;UNICHAR(822)),'_Supporto Listone'!F48)</x:f>
        <x:v>1</x:v>
      </x:c>
      <x:c r="G48" s="458" t="n">
        <x:f>IF($J48&lt;&gt;"",REGEXREPLACE(TO_TEXT('_Supporto Listone'!G48),"(.)","$1"&amp;UNICHAR(822)),'_Supporto Listone'!G48)</x:f>
        <x:v>1</x:v>
      </x:c>
      <x:c r="H48" s="458" t="n">
        <x:f>IF($J48&lt;&gt;"",REGEXREPLACE(TO_TEXT('_Supporto Listone'!H48),"(.)","$1"&amp;UNICHAR(822)),'_Supporto Listone'!H48)</x:f>
        <x:v>1</x:v>
      </x:c>
      <x:c r="I48" s="422"/>
      <x:c r="J48" s="423" t="str">
        <x:f>IF(COUNTIF(Asta!$B$4:$B$47,'_Supporto Listone'!B48)&gt;0,"Simone",IF(COUNTIF(Asta!$D$4:$D$47,'_Supporto Listone'!B48)&gt;0,"Giacomo",IF(COUNTIF(Asta!$F$4:$F$47,'_Supporto Listone'!B48)&gt;0,"Niko",IF(COUNTIF(Asta!$H$4:$H$47,'_Supporto Listone'!B48)&gt;0,"Quici",IF(COUNTIF(Asta!$J$4:$J$47,'_Supporto Listone'!B48)&gt;0,"Fratello Quici",IF(COUNTIF(Asta!$L$4:$L$47,'_Supporto Listone'!B48)&gt;0,"Nicolò",IF(COUNTIF(Asta!$N$4:$N$47,'_Supporto Listone'!B48)&gt;0,"Vi",IF(COUNTIF(Asta!$P$4:$P$47,'_Supporto Listone'!B48)&gt;0,"Lore",IF(COUNTIF(Asta!$R$4:$R$47,'_Supporto Listone'!B48)&gt;0,"Robbo",IF(COUNTIF(Asta!$T$4:$T$47,'_Supporto Listone'!B48)&gt;0,"Ale",""))))))))))</x:f>
      </x:c>
      <x:c r="K48" s="489" t="str">
        <x:f>IF(COUNTIF(Asta!$B$4:$B$47,'_Supporto Listone'!B48)&gt;0,INDEX(Asta!$C$4:$C$47,MATCH('_Supporto Listone'!B48,Asta!$B$4:$B$47,0)),IF(COUNTIF(Asta!$D$4:$D$47,'_Supporto Listone'!B48)&gt;0,INDEX(Asta!$E$4:$E$47,MATCH('_Supporto Listone'!B48,Asta!$D$4:$D$47,0)),IF(COUNTIF(Asta!$F$4:$F$47,'_Supporto Listone'!B48)&gt;0,INDEX(Asta!$G$4:$G$47,MATCH('_Supporto Listone'!B48,Asta!$F$4:$F$47,0)),IF(COUNTIF(Asta!$H$4:$H$47,'_Supporto Listone'!B48)&gt;0,INDEX(Asta!$I$4:$I$47,MATCH('_Supporto Listone'!B48,Asta!$H$4:$H$47,0)),IF(COUNTIF(Asta!$J$4:$J$47,'_Supporto Listone'!B48)&gt;0,INDEX(Asta!$K$4:$K$47,MATCH('_Supporto Listone'!B48,Asta!$J$4:$J$47,0)),IF(COUNTIF(Asta!$L$4:$L$47,'_Supporto Listone'!B48)&gt;0,INDEX(Asta!$M$4:$M$47,MATCH('_Supporto Listone'!B48,Asta!$L$4:$L$47,0)),IF(COUNTIF(Asta!$N$4:$N$47,'_Supporto Listone'!B48)&gt;0,INDEX(Asta!$O$4:$O$47,MATCH('_Supporto Listone'!B48,Asta!$N$4:$N$47,0)),IF(COUNTIF(Asta!$P$4:$P$47,'_Supporto Listone'!B48)&gt;0,INDEX(Asta!$Q$4:$Q$47,MATCH('_Supporto Listone'!B48,Asta!$P$4:$P$47,0)),IF(COUNTIF(Asta!$R$4:$R$47,'_Supporto Listone'!B48)&gt;0,INDEX(Asta!$S$4:$S$47,MATCH('_Supporto Listone'!B48,Asta!$R$4:$R$47,0)),IF(COUNTIF(Asta!$T$4:$T$47,'_Supporto Listone'!B48)&gt;0,INDEX(Asta!$U$4:$U$47,MATCH('_Supporto Listone'!B48,Asta!$T$4:$T$47,0)),""))))))))))</x:f>
      </x:c>
    </x:row>
    <x:row r="49">
      <x:c r="A49" s="425" t="str">
        <x:f>IF($J49&lt;&gt;"",REGEXREPLACE(TO_TEXT('_Supporto Listone'!A49),"(.)","$1"&amp;UNICHAR(822)),'_Supporto Listone'!A49)</x:f>
        <x:v>P</x:v>
      </x:c>
      <x:c r="B49" s="423" t="str">
        <x:f>IF($J49&lt;&gt;"",REGEXREPLACE(TO_TEXT('_Supporto Listone'!B49),"(.)","$1"&amp;UNICHAR(822)),'_Supporto Listone'!B49)</x:f>
        <x:v>Samooja</x:v>
      </x:c>
      <x:c r="C49" s="423" t="str">
        <x:f>IF($J49&lt;&gt;"",REGEXREPLACE(TO_TEXT('_Supporto Listone'!C49),"(.)","$1"&amp;UNICHAR(822)),'_Supporto Listone'!C49)</x:f>
        <x:v>Lecce</x:v>
      </x:c>
      <x:c r="D49" s="423" t="str">
        <x:f>IF($J49&lt;&gt;"",REGEXREPLACE(TO_TEXT('_Supporto Listone'!D49),"(.)","$1"&amp;UNICHAR(822)),'_Supporto Listone'!D49)</x:f>
        <x:v>Por</x:v>
      </x:c>
      <x:c r="E49" s="423" t="str">
        <x:f>IF($J49&lt;&gt;"",REGEXREPLACE(TO_TEXT('_Supporto Listone'!E49),"(.)","$1"&amp;UNICHAR(822)),'_Supporto Listone'!E49)</x:f>
        <x:v>Riserva / rotazione</x:v>
      </x:c>
      <x:c r="F49" s="458" t="n">
        <x:f>IF($J49&lt;&gt;"",REGEXREPLACE(TO_TEXT('_Supporto Listone'!F49),"(.)","$1"&amp;UNICHAR(822)),'_Supporto Listone'!F49)</x:f>
        <x:v>1</x:v>
      </x:c>
      <x:c r="G49" s="458" t="n">
        <x:f>IF($J49&lt;&gt;"",REGEXREPLACE(TO_TEXT('_Supporto Listone'!G49),"(.)","$1"&amp;UNICHAR(822)),'_Supporto Listone'!G49)</x:f>
        <x:v>1</x:v>
      </x:c>
      <x:c r="H49" s="458" t="n">
        <x:f>IF($J49&lt;&gt;"",REGEXREPLACE(TO_TEXT('_Supporto Listone'!H49),"(.)","$1"&amp;UNICHAR(822)),'_Supporto Listone'!H49)</x:f>
        <x:v>1</x:v>
      </x:c>
      <x:c r="I49" s="422"/>
      <x:c r="J49" s="423" t="str">
        <x:f>IF(COUNTIF(Asta!$B$4:$B$47,'_Supporto Listone'!B49)&gt;0,"Simone",IF(COUNTIF(Asta!$D$4:$D$47,'_Supporto Listone'!B49)&gt;0,"Giacomo",IF(COUNTIF(Asta!$F$4:$F$47,'_Supporto Listone'!B49)&gt;0,"Niko",IF(COUNTIF(Asta!$H$4:$H$47,'_Supporto Listone'!B49)&gt;0,"Quici",IF(COUNTIF(Asta!$J$4:$J$47,'_Supporto Listone'!B49)&gt;0,"Fratello Quici",IF(COUNTIF(Asta!$L$4:$L$47,'_Supporto Listone'!B49)&gt;0,"Nicolò",IF(COUNTIF(Asta!$N$4:$N$47,'_Supporto Listone'!B49)&gt;0,"Vi",IF(COUNTIF(Asta!$P$4:$P$47,'_Supporto Listone'!B49)&gt;0,"Lore",IF(COUNTIF(Asta!$R$4:$R$47,'_Supporto Listone'!B49)&gt;0,"Robbo",IF(COUNTIF(Asta!$T$4:$T$47,'_Supporto Listone'!B49)&gt;0,"Ale",""))))))))))</x:f>
      </x:c>
      <x:c r="K49" s="489" t="str">
        <x:f>IF(COUNTIF(Asta!$B$4:$B$47,'_Supporto Listone'!B49)&gt;0,INDEX(Asta!$C$4:$C$47,MATCH('_Supporto Listone'!B49,Asta!$B$4:$B$47,0)),IF(COUNTIF(Asta!$D$4:$D$47,'_Supporto Listone'!B49)&gt;0,INDEX(Asta!$E$4:$E$47,MATCH('_Supporto Listone'!B49,Asta!$D$4:$D$47,0)),IF(COUNTIF(Asta!$F$4:$F$47,'_Supporto Listone'!B49)&gt;0,INDEX(Asta!$G$4:$G$47,MATCH('_Supporto Listone'!B49,Asta!$F$4:$F$47,0)),IF(COUNTIF(Asta!$H$4:$H$47,'_Supporto Listone'!B49)&gt;0,INDEX(Asta!$I$4:$I$47,MATCH('_Supporto Listone'!B49,Asta!$H$4:$H$47,0)),IF(COUNTIF(Asta!$J$4:$J$47,'_Supporto Listone'!B49)&gt;0,INDEX(Asta!$K$4:$K$47,MATCH('_Supporto Listone'!B49,Asta!$J$4:$J$47,0)),IF(COUNTIF(Asta!$L$4:$L$47,'_Supporto Listone'!B49)&gt;0,INDEX(Asta!$M$4:$M$47,MATCH('_Supporto Listone'!B49,Asta!$L$4:$L$47,0)),IF(COUNTIF(Asta!$N$4:$N$47,'_Supporto Listone'!B49)&gt;0,INDEX(Asta!$O$4:$O$47,MATCH('_Supporto Listone'!B49,Asta!$N$4:$N$47,0)),IF(COUNTIF(Asta!$P$4:$P$47,'_Supporto Listone'!B49)&gt;0,INDEX(Asta!$Q$4:$Q$47,MATCH('_Supporto Listone'!B49,Asta!$P$4:$P$47,0)),IF(COUNTIF(Asta!$R$4:$R$47,'_Supporto Listone'!B49)&gt;0,INDEX(Asta!$S$4:$S$47,MATCH('_Supporto Listone'!B49,Asta!$R$4:$R$47,0)),IF(COUNTIF(Asta!$T$4:$T$47,'_Supporto Listone'!B49)&gt;0,INDEX(Asta!$U$4:$U$47,MATCH('_Supporto Listone'!B49,Asta!$T$4:$T$47,0)),""))))))))))</x:f>
      </x:c>
    </x:row>
    <x:row r="50">
      <x:c r="A50" s="425" t="str">
        <x:f>IF($J50&lt;&gt;"",REGEXREPLACE(TO_TEXT('_Supporto Listone'!A50),"(.)","$1"&amp;UNICHAR(822)),'_Supporto Listone'!A50)</x:f>
        <x:v>P</x:v>
      </x:c>
      <x:c r="B50" s="423" t="str">
        <x:f>IF($J50&lt;&gt;"",REGEXREPLACE(TO_TEXT('_Supporto Listone'!B50),"(.)","$1"&amp;UNICHAR(822)),'_Supporto Listone'!B50)</x:f>
        <x:v>Terracciano</x:v>
      </x:c>
      <x:c r="C50" s="423" t="str">
        <x:f>IF($J50&lt;&gt;"",REGEXREPLACE(TO_TEXT('_Supporto Listone'!C50),"(.)","$1"&amp;UNICHAR(822)),'_Supporto Listone'!C50)</x:f>
        <x:v>Milan</x:v>
      </x:c>
      <x:c r="D50" s="423" t="str">
        <x:f>IF($J50&lt;&gt;"",REGEXREPLACE(TO_TEXT('_Supporto Listone'!D50),"(.)","$1"&amp;UNICHAR(822)),'_Supporto Listone'!D50)</x:f>
        <x:v>Por</x:v>
      </x:c>
      <x:c r="E50" s="423" t="str">
        <x:f>IF($J50&lt;&gt;"",REGEXREPLACE(TO_TEXT('_Supporto Listone'!E50),"(.)","$1"&amp;UNICHAR(822)),'_Supporto Listone'!E50)</x:f>
        <x:v>Riserva / rotazione</x:v>
      </x:c>
      <x:c r="F50" s="458" t="n">
        <x:f>IF($J50&lt;&gt;"",REGEXREPLACE(TO_TEXT('_Supporto Listone'!F50),"(.)","$1"&amp;UNICHAR(822)),'_Supporto Listone'!F50)</x:f>
        <x:v>1</x:v>
      </x:c>
      <x:c r="G50" s="458" t="n">
        <x:f>IF($J50&lt;&gt;"",REGEXREPLACE(TO_TEXT('_Supporto Listone'!G50),"(.)","$1"&amp;UNICHAR(822)),'_Supporto Listone'!G50)</x:f>
        <x:v>1</x:v>
      </x:c>
      <x:c r="H50" s="458" t="n">
        <x:f>IF($J50&lt;&gt;"",REGEXREPLACE(TO_TEXT('_Supporto Listone'!H50),"(.)","$1"&amp;UNICHAR(822)),'_Supporto Listone'!H50)</x:f>
        <x:v>1</x:v>
      </x:c>
      <x:c r="I50" s="422"/>
      <x:c r="J50" s="423" t="str">
        <x:f>IF(COUNTIF(Asta!$B$4:$B$47,'_Supporto Listone'!B50)&gt;0,"Simone",IF(COUNTIF(Asta!$D$4:$D$47,'_Supporto Listone'!B50)&gt;0,"Giacomo",IF(COUNTIF(Asta!$F$4:$F$47,'_Supporto Listone'!B50)&gt;0,"Niko",IF(COUNTIF(Asta!$H$4:$H$47,'_Supporto Listone'!B50)&gt;0,"Quici",IF(COUNTIF(Asta!$J$4:$J$47,'_Supporto Listone'!B50)&gt;0,"Fratello Quici",IF(COUNTIF(Asta!$L$4:$L$47,'_Supporto Listone'!B50)&gt;0,"Nicolò",IF(COUNTIF(Asta!$N$4:$N$47,'_Supporto Listone'!B50)&gt;0,"Vi",IF(COUNTIF(Asta!$P$4:$P$47,'_Supporto Listone'!B50)&gt;0,"Lore",IF(COUNTIF(Asta!$R$4:$R$47,'_Supporto Listone'!B50)&gt;0,"Robbo",IF(COUNTIF(Asta!$T$4:$T$47,'_Supporto Listone'!B50)&gt;0,"Ale",""))))))))))</x:f>
      </x:c>
      <x:c r="K50" s="489" t="str">
        <x:f>IF(COUNTIF(Asta!$B$4:$B$47,'_Supporto Listone'!B50)&gt;0,INDEX(Asta!$C$4:$C$47,MATCH('_Supporto Listone'!B50,Asta!$B$4:$B$47,0)),IF(COUNTIF(Asta!$D$4:$D$47,'_Supporto Listone'!B50)&gt;0,INDEX(Asta!$E$4:$E$47,MATCH('_Supporto Listone'!B50,Asta!$D$4:$D$47,0)),IF(COUNTIF(Asta!$F$4:$F$47,'_Supporto Listone'!B50)&gt;0,INDEX(Asta!$G$4:$G$47,MATCH('_Supporto Listone'!B50,Asta!$F$4:$F$47,0)),IF(COUNTIF(Asta!$H$4:$H$47,'_Supporto Listone'!B50)&gt;0,INDEX(Asta!$I$4:$I$47,MATCH('_Supporto Listone'!B50,Asta!$H$4:$H$47,0)),IF(COUNTIF(Asta!$J$4:$J$47,'_Supporto Listone'!B50)&gt;0,INDEX(Asta!$K$4:$K$47,MATCH('_Supporto Listone'!B50,Asta!$J$4:$J$47,0)),IF(COUNTIF(Asta!$L$4:$L$47,'_Supporto Listone'!B50)&gt;0,INDEX(Asta!$M$4:$M$47,MATCH('_Supporto Listone'!B50,Asta!$L$4:$L$47,0)),IF(COUNTIF(Asta!$N$4:$N$47,'_Supporto Listone'!B50)&gt;0,INDEX(Asta!$O$4:$O$47,MATCH('_Supporto Listone'!B50,Asta!$N$4:$N$47,0)),IF(COUNTIF(Asta!$P$4:$P$47,'_Supporto Listone'!B50)&gt;0,INDEX(Asta!$Q$4:$Q$47,MATCH('_Supporto Listone'!B50,Asta!$P$4:$P$47,0)),IF(COUNTIF(Asta!$R$4:$R$47,'_Supporto Listone'!B50)&gt;0,INDEX(Asta!$S$4:$S$47,MATCH('_Supporto Listone'!B50,Asta!$R$4:$R$47,0)),IF(COUNTIF(Asta!$T$4:$T$47,'_Supporto Listone'!B50)&gt;0,INDEX(Asta!$U$4:$U$47,MATCH('_Supporto Listone'!B50,Asta!$T$4:$T$47,0)),""))))))))))</x:f>
      </x:c>
    </x:row>
    <x:row r="51">
      <x:c r="A51" s="425" t="str">
        <x:f>IF($J51&lt;&gt;"",REGEXREPLACE(TO_TEXT('_Supporto Listone'!A51),"(.)","$1"&amp;UNICHAR(822)),'_Supporto Listone'!A51)</x:f>
        <x:v>P</x:v>
      </x:c>
      <x:c r="B51" s="423" t="str">
        <x:f>IF($J51&lt;&gt;"",REGEXREPLACE(TO_TEXT('_Supporto Listone'!B51),"(.)","$1"&amp;UNICHAR(822)),'_Supporto Listone'!B51)</x:f>
        <x:v>Torriani</x:v>
      </x:c>
      <x:c r="C51" s="423" t="str">
        <x:f>IF($J51&lt;&gt;"",REGEXREPLACE(TO_TEXT('_Supporto Listone'!C51),"(.)","$1"&amp;UNICHAR(822)),'_Supporto Listone'!C51)</x:f>
        <x:v>Milan</x:v>
      </x:c>
      <x:c r="D51" s="423" t="str">
        <x:f>IF($J51&lt;&gt;"",REGEXREPLACE(TO_TEXT('_Supporto Listone'!D51),"(.)","$1"&amp;UNICHAR(822)),'_Supporto Listone'!D51)</x:f>
        <x:v>Por</x:v>
      </x:c>
      <x:c r="E51" s="423" t="str">
        <x:f>IF($J51&lt;&gt;"",REGEXREPLACE(TO_TEXT('_Supporto Listone'!E51),"(.)","$1"&amp;UNICHAR(822)),'_Supporto Listone'!E51)</x:f>
        <x:v>Riserva / rotazione</x:v>
      </x:c>
      <x:c r="F51" s="458" t="n">
        <x:f>IF($J51&lt;&gt;"",REGEXREPLACE(TO_TEXT('_Supporto Listone'!F51),"(.)","$1"&amp;UNICHAR(822)),'_Supporto Listone'!F51)</x:f>
        <x:v>1</x:v>
      </x:c>
      <x:c r="G51" s="458" t="n">
        <x:f>IF($J51&lt;&gt;"",REGEXREPLACE(TO_TEXT('_Supporto Listone'!G51),"(.)","$1"&amp;UNICHAR(822)),'_Supporto Listone'!G51)</x:f>
        <x:v>1</x:v>
      </x:c>
      <x:c r="H51" s="458" t="n">
        <x:f>IF($J51&lt;&gt;"",REGEXREPLACE(TO_TEXT('_Supporto Listone'!H51),"(.)","$1"&amp;UNICHAR(822)),'_Supporto Listone'!H51)</x:f>
        <x:v>1</x:v>
      </x:c>
      <x:c r="I51" s="422"/>
      <x:c r="J51" s="423" t="str">
        <x:f>IF(COUNTIF(Asta!$B$4:$B$47,'_Supporto Listone'!B51)&gt;0,"Simone",IF(COUNTIF(Asta!$D$4:$D$47,'_Supporto Listone'!B51)&gt;0,"Giacomo",IF(COUNTIF(Asta!$F$4:$F$47,'_Supporto Listone'!B51)&gt;0,"Niko",IF(COUNTIF(Asta!$H$4:$H$47,'_Supporto Listone'!B51)&gt;0,"Quici",IF(COUNTIF(Asta!$J$4:$J$47,'_Supporto Listone'!B51)&gt;0,"Fratello Quici",IF(COUNTIF(Asta!$L$4:$L$47,'_Supporto Listone'!B51)&gt;0,"Nicolò",IF(COUNTIF(Asta!$N$4:$N$47,'_Supporto Listone'!B51)&gt;0,"Vi",IF(COUNTIF(Asta!$P$4:$P$47,'_Supporto Listone'!B51)&gt;0,"Lore",IF(COUNTIF(Asta!$R$4:$R$47,'_Supporto Listone'!B51)&gt;0,"Robbo",IF(COUNTIF(Asta!$T$4:$T$47,'_Supporto Listone'!B51)&gt;0,"Ale",""))))))))))</x:f>
      </x:c>
      <x:c r="K51" s="489" t="str">
        <x:f>IF(COUNTIF(Asta!$B$4:$B$47,'_Supporto Listone'!B51)&gt;0,INDEX(Asta!$C$4:$C$47,MATCH('_Supporto Listone'!B51,Asta!$B$4:$B$47,0)),IF(COUNTIF(Asta!$D$4:$D$47,'_Supporto Listone'!B51)&gt;0,INDEX(Asta!$E$4:$E$47,MATCH('_Supporto Listone'!B51,Asta!$D$4:$D$47,0)),IF(COUNTIF(Asta!$F$4:$F$47,'_Supporto Listone'!B51)&gt;0,INDEX(Asta!$G$4:$G$47,MATCH('_Supporto Listone'!B51,Asta!$F$4:$F$47,0)),IF(COUNTIF(Asta!$H$4:$H$47,'_Supporto Listone'!B51)&gt;0,INDEX(Asta!$I$4:$I$47,MATCH('_Supporto Listone'!B51,Asta!$H$4:$H$47,0)),IF(COUNTIF(Asta!$J$4:$J$47,'_Supporto Listone'!B51)&gt;0,INDEX(Asta!$K$4:$K$47,MATCH('_Supporto Listone'!B51,Asta!$J$4:$J$47,0)),IF(COUNTIF(Asta!$L$4:$L$47,'_Supporto Listone'!B51)&gt;0,INDEX(Asta!$M$4:$M$47,MATCH('_Supporto Listone'!B51,Asta!$L$4:$L$47,0)),IF(COUNTIF(Asta!$N$4:$N$47,'_Supporto Listone'!B51)&gt;0,INDEX(Asta!$O$4:$O$47,MATCH('_Supporto Listone'!B51,Asta!$N$4:$N$47,0)),IF(COUNTIF(Asta!$P$4:$P$47,'_Supporto Listone'!B51)&gt;0,INDEX(Asta!$Q$4:$Q$47,MATCH('_Supporto Listone'!B51,Asta!$P$4:$P$47,0)),IF(COUNTIF(Asta!$R$4:$R$47,'_Supporto Listone'!B51)&gt;0,INDEX(Asta!$S$4:$S$47,MATCH('_Supporto Listone'!B51,Asta!$R$4:$R$47,0)),IF(COUNTIF(Asta!$T$4:$T$47,'_Supporto Listone'!B51)&gt;0,INDEX(Asta!$U$4:$U$47,MATCH('_Supporto Listone'!B51,Asta!$T$4:$T$47,0)),""))))))))))</x:f>
      </x:c>
    </x:row>
    <x:row r="52">
      <x:c r="A52" s="425" t="str">
        <x:f>IF($J52&lt;&gt;"",REGEXREPLACE(TO_TEXT('_Supporto Listone'!A52),"(.)","$1"&amp;UNICHAR(822)),'_Supporto Listone'!A52)</x:f>
        <x:v>P</x:v>
      </x:c>
      <x:c r="B52" s="423" t="str">
        <x:f>IF($J52&lt;&gt;"",REGEXREPLACE(TO_TEXT('_Supporto Listone'!B52),"(.)","$1"&amp;UNICHAR(822)),'_Supporto Listone'!B52)</x:f>
        <x:v>Pizzignacco</x:v>
      </x:c>
      <x:c r="C52" s="423" t="str">
        <x:f>IF($J52&lt;&gt;"",REGEXREPLACE(TO_TEXT('_Supporto Listone'!C52),"(.)","$1"&amp;UNICHAR(822)),'_Supporto Listone'!C52)</x:f>
        <x:v>Monza</x:v>
      </x:c>
      <x:c r="D52" s="423" t="str">
        <x:f>IF($J52&lt;&gt;"",REGEXREPLACE(TO_TEXT('_Supporto Listone'!D52),"(.)","$1"&amp;UNICHAR(822)),'_Supporto Listone'!D52)</x:f>
        <x:v>Por</x:v>
      </x:c>
      <x:c r="E52" s="423" t="str">
        <x:f>IF($J52&lt;&gt;"",REGEXREPLACE(TO_TEXT('_Supporto Listone'!E52),"(.)","$1"&amp;UNICHAR(822)),'_Supporto Listone'!E52)</x:f>
        <x:v>Riserva / rotazione</x:v>
      </x:c>
      <x:c r="F52" s="458" t="n">
        <x:f>IF($J52&lt;&gt;"",REGEXREPLACE(TO_TEXT('_Supporto Listone'!F52),"(.)","$1"&amp;UNICHAR(822)),'_Supporto Listone'!F52)</x:f>
        <x:v>1</x:v>
      </x:c>
      <x:c r="G52" s="458" t="n">
        <x:f>IF($J52&lt;&gt;"",REGEXREPLACE(TO_TEXT('_Supporto Listone'!G52),"(.)","$1"&amp;UNICHAR(822)),'_Supporto Listone'!G52)</x:f>
        <x:v>1</x:v>
      </x:c>
      <x:c r="H52" s="458" t="n">
        <x:f>IF($J52&lt;&gt;"",REGEXREPLACE(TO_TEXT('_Supporto Listone'!H52),"(.)","$1"&amp;UNICHAR(822)),'_Supporto Listone'!H52)</x:f>
        <x:v>1</x:v>
      </x:c>
      <x:c r="I52" s="422"/>
      <x:c r="J52" s="423" t="str">
        <x:f>IF(COUNTIF(Asta!$B$4:$B$47,'_Supporto Listone'!B52)&gt;0,"Simone",IF(COUNTIF(Asta!$D$4:$D$47,'_Supporto Listone'!B52)&gt;0,"Giacomo",IF(COUNTIF(Asta!$F$4:$F$47,'_Supporto Listone'!B52)&gt;0,"Niko",IF(COUNTIF(Asta!$H$4:$H$47,'_Supporto Listone'!B52)&gt;0,"Quici",IF(COUNTIF(Asta!$J$4:$J$47,'_Supporto Listone'!B52)&gt;0,"Fratello Quici",IF(COUNTIF(Asta!$L$4:$L$47,'_Supporto Listone'!B52)&gt;0,"Nicolò",IF(COUNTIF(Asta!$N$4:$N$47,'_Supporto Listone'!B52)&gt;0,"Vi",IF(COUNTIF(Asta!$P$4:$P$47,'_Supporto Listone'!B52)&gt;0,"Lore",IF(COUNTIF(Asta!$R$4:$R$47,'_Supporto Listone'!B52)&gt;0,"Robbo",IF(COUNTIF(Asta!$T$4:$T$47,'_Supporto Listone'!B52)&gt;0,"Ale",""))))))))))</x:f>
      </x:c>
      <x:c r="K52" s="489" t="str">
        <x:f>IF(COUNTIF(Asta!$B$4:$B$47,'_Supporto Listone'!B52)&gt;0,INDEX(Asta!$C$4:$C$47,MATCH('_Supporto Listone'!B52,Asta!$B$4:$B$47,0)),IF(COUNTIF(Asta!$D$4:$D$47,'_Supporto Listone'!B52)&gt;0,INDEX(Asta!$E$4:$E$47,MATCH('_Supporto Listone'!B52,Asta!$D$4:$D$47,0)),IF(COUNTIF(Asta!$F$4:$F$47,'_Supporto Listone'!B52)&gt;0,INDEX(Asta!$G$4:$G$47,MATCH('_Supporto Listone'!B52,Asta!$F$4:$F$47,0)),IF(COUNTIF(Asta!$H$4:$H$47,'_Supporto Listone'!B52)&gt;0,INDEX(Asta!$I$4:$I$47,MATCH('_Supporto Listone'!B52,Asta!$H$4:$H$47,0)),IF(COUNTIF(Asta!$J$4:$J$47,'_Supporto Listone'!B52)&gt;0,INDEX(Asta!$K$4:$K$47,MATCH('_Supporto Listone'!B52,Asta!$J$4:$J$47,0)),IF(COUNTIF(Asta!$L$4:$L$47,'_Supporto Listone'!B52)&gt;0,INDEX(Asta!$M$4:$M$47,MATCH('_Supporto Listone'!B52,Asta!$L$4:$L$47,0)),IF(COUNTIF(Asta!$N$4:$N$47,'_Supporto Listone'!B52)&gt;0,INDEX(Asta!$O$4:$O$47,MATCH('_Supporto Listone'!B52,Asta!$N$4:$N$47,0)),IF(COUNTIF(Asta!$P$4:$P$47,'_Supporto Listone'!B52)&gt;0,INDEX(Asta!$Q$4:$Q$47,MATCH('_Supporto Listone'!B52,Asta!$P$4:$P$47,0)),IF(COUNTIF(Asta!$R$4:$R$47,'_Supporto Listone'!B52)&gt;0,INDEX(Asta!$S$4:$S$47,MATCH('_Supporto Listone'!B52,Asta!$R$4:$R$47,0)),IF(COUNTIF(Asta!$T$4:$T$47,'_Supporto Listone'!B52)&gt;0,INDEX(Asta!$U$4:$U$47,MATCH('_Supporto Listone'!B52,Asta!$T$4:$T$47,0)),""))))))))))</x:f>
      </x:c>
    </x:row>
    <x:row r="53">
      <x:c r="A53" s="425" t="str">
        <x:f>IF($J53&lt;&gt;"",REGEXREPLACE(TO_TEXT('_Supporto Listone'!A53),"(.)","$1"&amp;UNICHAR(822)),'_Supporto Listone'!A53)</x:f>
        <x:v>P</x:v>
      </x:c>
      <x:c r="B53" s="423" t="str">
        <x:f>IF($J53&lt;&gt;"",REGEXREPLACE(TO_TEXT('_Supporto Listone'!B53),"(.)","$1"&amp;UNICHAR(822)),'_Supporto Listone'!B53)</x:f>
        <x:v>Strajnar</x:v>
      </x:c>
      <x:c r="C53" s="423" t="str">
        <x:f>IF($J53&lt;&gt;"",REGEXREPLACE(TO_TEXT('_Supporto Listone'!C53),"(.)","$1"&amp;UNICHAR(822)),'_Supporto Listone'!C53)</x:f>
        <x:v>Monza</x:v>
      </x:c>
      <x:c r="D53" s="423" t="str">
        <x:f>IF($J53&lt;&gt;"",REGEXREPLACE(TO_TEXT('_Supporto Listone'!D53),"(.)","$1"&amp;UNICHAR(822)),'_Supporto Listone'!D53)</x:f>
        <x:v>Por</x:v>
      </x:c>
      <x:c r="E53" s="423" t="str">
        <x:f>IF($J53&lt;&gt;"",REGEXREPLACE(TO_TEXT('_Supporto Listone'!E53),"(.)","$1"&amp;UNICHAR(822)),'_Supporto Listone'!E53)</x:f>
        <x:v>Riserva / rotazione</x:v>
      </x:c>
      <x:c r="F53" s="458" t="n">
        <x:f>IF($J53&lt;&gt;"",REGEXREPLACE(TO_TEXT('_Supporto Listone'!F53),"(.)","$1"&amp;UNICHAR(822)),'_Supporto Listone'!F53)</x:f>
        <x:v>1</x:v>
      </x:c>
      <x:c r="G53" s="458" t="n">
        <x:f>IF($J53&lt;&gt;"",REGEXREPLACE(TO_TEXT('_Supporto Listone'!G53),"(.)","$1"&amp;UNICHAR(822)),'_Supporto Listone'!G53)</x:f>
        <x:v>1</x:v>
      </x:c>
      <x:c r="H53" s="458" t="n">
        <x:f>IF($J53&lt;&gt;"",REGEXREPLACE(TO_TEXT('_Supporto Listone'!H53),"(.)","$1"&amp;UNICHAR(822)),'_Supporto Listone'!H53)</x:f>
        <x:v>1</x:v>
      </x:c>
      <x:c r="I53" s="422"/>
      <x:c r="J53" s="423" t="str">
        <x:f>IF(COUNTIF(Asta!$B$4:$B$47,'_Supporto Listone'!B53)&gt;0,"Simone",IF(COUNTIF(Asta!$D$4:$D$47,'_Supporto Listone'!B53)&gt;0,"Giacomo",IF(COUNTIF(Asta!$F$4:$F$47,'_Supporto Listone'!B53)&gt;0,"Niko",IF(COUNTIF(Asta!$H$4:$H$47,'_Supporto Listone'!B53)&gt;0,"Quici",IF(COUNTIF(Asta!$J$4:$J$47,'_Supporto Listone'!B53)&gt;0,"Fratello Quici",IF(COUNTIF(Asta!$L$4:$L$47,'_Supporto Listone'!B53)&gt;0,"Nicolò",IF(COUNTIF(Asta!$N$4:$N$47,'_Supporto Listone'!B53)&gt;0,"Vi",IF(COUNTIF(Asta!$P$4:$P$47,'_Supporto Listone'!B53)&gt;0,"Lore",IF(COUNTIF(Asta!$R$4:$R$47,'_Supporto Listone'!B53)&gt;0,"Robbo",IF(COUNTIF(Asta!$T$4:$T$47,'_Supporto Listone'!B53)&gt;0,"Ale",""))))))))))</x:f>
      </x:c>
      <x:c r="K53" s="489" t="str">
        <x:f>IF(COUNTIF(Asta!$B$4:$B$47,'_Supporto Listone'!B53)&gt;0,INDEX(Asta!$C$4:$C$47,MATCH('_Supporto Listone'!B53,Asta!$B$4:$B$47,0)),IF(COUNTIF(Asta!$D$4:$D$47,'_Supporto Listone'!B53)&gt;0,INDEX(Asta!$E$4:$E$47,MATCH('_Supporto Listone'!B53,Asta!$D$4:$D$47,0)),IF(COUNTIF(Asta!$F$4:$F$47,'_Supporto Listone'!B53)&gt;0,INDEX(Asta!$G$4:$G$47,MATCH('_Supporto Listone'!B53,Asta!$F$4:$F$47,0)),IF(COUNTIF(Asta!$H$4:$H$47,'_Supporto Listone'!B53)&gt;0,INDEX(Asta!$I$4:$I$47,MATCH('_Supporto Listone'!B53,Asta!$H$4:$H$47,0)),IF(COUNTIF(Asta!$J$4:$J$47,'_Supporto Listone'!B53)&gt;0,INDEX(Asta!$K$4:$K$47,MATCH('_Supporto Listone'!B53,Asta!$J$4:$J$47,0)),IF(COUNTIF(Asta!$L$4:$L$47,'_Supporto Listone'!B53)&gt;0,INDEX(Asta!$M$4:$M$47,MATCH('_Supporto Listone'!B53,Asta!$L$4:$L$47,0)),IF(COUNTIF(Asta!$N$4:$N$47,'_Supporto Listone'!B53)&gt;0,INDEX(Asta!$O$4:$O$47,MATCH('_Supporto Listone'!B53,Asta!$N$4:$N$47,0)),IF(COUNTIF(Asta!$P$4:$P$47,'_Supporto Listone'!B53)&gt;0,INDEX(Asta!$Q$4:$Q$47,MATCH('_Supporto Listone'!B53,Asta!$P$4:$P$47,0)),IF(COUNTIF(Asta!$R$4:$R$47,'_Supporto Listone'!B53)&gt;0,INDEX(Asta!$S$4:$S$47,MATCH('_Supporto Listone'!B53,Asta!$R$4:$R$47,0)),IF(COUNTIF(Asta!$T$4:$T$47,'_Supporto Listone'!B53)&gt;0,INDEX(Asta!$U$4:$U$47,MATCH('_Supporto Listone'!B53,Asta!$T$4:$T$47,0)),""))))))))))</x:f>
      </x:c>
    </x:row>
    <x:row r="54">
      <x:c r="A54" s="425" t="str">
        <x:f>IF($J54&lt;&gt;"",REGEXREPLACE(TO_TEXT('_Supporto Listone'!A54),"(.)","$1"&amp;UNICHAR(822)),'_Supporto Listone'!A54)</x:f>
        <x:v>P</x:v>
      </x:c>
      <x:c r="B54" s="423" t="str">
        <x:f>IF($J54&lt;&gt;"",REGEXREPLACE(TO_TEXT('_Supporto Listone'!B54),"(.)","$1"&amp;UNICHAR(822)),'_Supporto Listone'!B54)</x:f>
        <x:v>Contini</x:v>
      </x:c>
      <x:c r="C54" s="423" t="str">
        <x:f>IF($J54&lt;&gt;"",REGEXREPLACE(TO_TEXT('_Supporto Listone'!C54),"(.)","$1"&amp;UNICHAR(822)),'_Supporto Listone'!C54)</x:f>
        <x:v>Napoli</x:v>
      </x:c>
      <x:c r="D54" s="423" t="str">
        <x:f>IF($J54&lt;&gt;"",REGEXREPLACE(TO_TEXT('_Supporto Listone'!D54),"(.)","$1"&amp;UNICHAR(822)),'_Supporto Listone'!D54)</x:f>
        <x:v>Por</x:v>
      </x:c>
      <x:c r="E54" s="423" t="str">
        <x:f>IF($J54&lt;&gt;"",REGEXREPLACE(TO_TEXT('_Supporto Listone'!E54),"(.)","$1"&amp;UNICHAR(822)),'_Supporto Listone'!E54)</x:f>
        <x:v>Riserva / rotazione</x:v>
      </x:c>
      <x:c r="F54" s="458" t="n">
        <x:f>IF($J54&lt;&gt;"",REGEXREPLACE(TO_TEXT('_Supporto Listone'!F54),"(.)","$1"&amp;UNICHAR(822)),'_Supporto Listone'!F54)</x:f>
        <x:v>1</x:v>
      </x:c>
      <x:c r="G54" s="458" t="n">
        <x:f>IF($J54&lt;&gt;"",REGEXREPLACE(TO_TEXT('_Supporto Listone'!G54),"(.)","$1"&amp;UNICHAR(822)),'_Supporto Listone'!G54)</x:f>
        <x:v>1</x:v>
      </x:c>
      <x:c r="H54" s="458" t="n">
        <x:f>IF($J54&lt;&gt;"",REGEXREPLACE(TO_TEXT('_Supporto Listone'!H54),"(.)","$1"&amp;UNICHAR(822)),'_Supporto Listone'!H54)</x:f>
        <x:v>1</x:v>
      </x:c>
      <x:c r="I54" s="422"/>
      <x:c r="J54" s="423" t="str">
        <x:f>IF(COUNTIF(Asta!$B$4:$B$47,'_Supporto Listone'!B54)&gt;0,"Simone",IF(COUNTIF(Asta!$D$4:$D$47,'_Supporto Listone'!B54)&gt;0,"Giacomo",IF(COUNTIF(Asta!$F$4:$F$47,'_Supporto Listone'!B54)&gt;0,"Niko",IF(COUNTIF(Asta!$H$4:$H$47,'_Supporto Listone'!B54)&gt;0,"Quici",IF(COUNTIF(Asta!$J$4:$J$47,'_Supporto Listone'!B54)&gt;0,"Fratello Quici",IF(COUNTIF(Asta!$L$4:$L$47,'_Supporto Listone'!B54)&gt;0,"Nicolò",IF(COUNTIF(Asta!$N$4:$N$47,'_Supporto Listone'!B54)&gt;0,"Vi",IF(COUNTIF(Asta!$P$4:$P$47,'_Supporto Listone'!B54)&gt;0,"Lore",IF(COUNTIF(Asta!$R$4:$R$47,'_Supporto Listone'!B54)&gt;0,"Robbo",IF(COUNTIF(Asta!$T$4:$T$47,'_Supporto Listone'!B54)&gt;0,"Ale",""))))))))))</x:f>
      </x:c>
      <x:c r="K54" s="489" t="str">
        <x:f>IF(COUNTIF(Asta!$B$4:$B$47,'_Supporto Listone'!B54)&gt;0,INDEX(Asta!$C$4:$C$47,MATCH('_Supporto Listone'!B54,Asta!$B$4:$B$47,0)),IF(COUNTIF(Asta!$D$4:$D$47,'_Supporto Listone'!B54)&gt;0,INDEX(Asta!$E$4:$E$47,MATCH('_Supporto Listone'!B54,Asta!$D$4:$D$47,0)),IF(COUNTIF(Asta!$F$4:$F$47,'_Supporto Listone'!B54)&gt;0,INDEX(Asta!$G$4:$G$47,MATCH('_Supporto Listone'!B54,Asta!$F$4:$F$47,0)),IF(COUNTIF(Asta!$H$4:$H$47,'_Supporto Listone'!B54)&gt;0,INDEX(Asta!$I$4:$I$47,MATCH('_Supporto Listone'!B54,Asta!$H$4:$H$47,0)),IF(COUNTIF(Asta!$J$4:$J$47,'_Supporto Listone'!B54)&gt;0,INDEX(Asta!$K$4:$K$47,MATCH('_Supporto Listone'!B54,Asta!$J$4:$J$47,0)),IF(COUNTIF(Asta!$L$4:$L$47,'_Supporto Listone'!B54)&gt;0,INDEX(Asta!$M$4:$M$47,MATCH('_Supporto Listone'!B54,Asta!$L$4:$L$47,0)),IF(COUNTIF(Asta!$N$4:$N$47,'_Supporto Listone'!B54)&gt;0,INDEX(Asta!$O$4:$O$47,MATCH('_Supporto Listone'!B54,Asta!$N$4:$N$47,0)),IF(COUNTIF(Asta!$P$4:$P$47,'_Supporto Listone'!B54)&gt;0,INDEX(Asta!$Q$4:$Q$47,MATCH('_Supporto Listone'!B54,Asta!$P$4:$P$47,0)),IF(COUNTIF(Asta!$R$4:$R$47,'_Supporto Listone'!B54)&gt;0,INDEX(Asta!$S$4:$S$47,MATCH('_Supporto Listone'!B54,Asta!$R$4:$R$47,0)),IF(COUNTIF(Asta!$T$4:$T$47,'_Supporto Listone'!B54)&gt;0,INDEX(Asta!$U$4:$U$47,MATCH('_Supporto Listone'!B54,Asta!$T$4:$T$47,0)),""))))))))))</x:f>
      </x:c>
    </x:row>
    <x:row r="55">
      <x:c r="A55" s="425" t="str">
        <x:f>IF($J55&lt;&gt;"",REGEXREPLACE(TO_TEXT('_Supporto Listone'!A55),"(.)","$1"&amp;UNICHAR(822)),'_Supporto Listone'!A55)</x:f>
        <x:v>P</x:v>
      </x:c>
      <x:c r="B55" s="423" t="str">
        <x:f>IF($J55&lt;&gt;"",REGEXREPLACE(TO_TEXT('_Supporto Listone'!B55),"(.)","$1"&amp;UNICHAR(822)),'_Supporto Listone'!B55)</x:f>
        <x:v>Corvi</x:v>
      </x:c>
      <x:c r="C55" s="423" t="str">
        <x:f>IF($J55&lt;&gt;"",REGEXREPLACE(TO_TEXT('_Supporto Listone'!C55),"(.)","$1"&amp;UNICHAR(822)),'_Supporto Listone'!C55)</x:f>
        <x:v>Parma</x:v>
      </x:c>
      <x:c r="D55" s="423" t="str">
        <x:f>IF($J55&lt;&gt;"",REGEXREPLACE(TO_TEXT('_Supporto Listone'!D55),"(.)","$1"&amp;UNICHAR(822)),'_Supporto Listone'!D55)</x:f>
        <x:v>Por</x:v>
      </x:c>
      <x:c r="E55" s="423" t="str">
        <x:f>IF($J55&lt;&gt;"",REGEXREPLACE(TO_TEXT('_Supporto Listone'!E55),"(.)","$1"&amp;UNICHAR(822)),'_Supporto Listone'!E55)</x:f>
        <x:v>Titolare / ballottaggio</x:v>
      </x:c>
      <x:c r="F55" s="458" t="n">
        <x:f>IF($J55&lt;&gt;"",REGEXREPLACE(TO_TEXT('_Supporto Listone'!F55),"(.)","$1"&amp;UNICHAR(822)),'_Supporto Listone'!F55)</x:f>
        <x:v>1</x:v>
      </x:c>
      <x:c r="G55" s="458" t="n">
        <x:f>IF($J55&lt;&gt;"",REGEXREPLACE(TO_TEXT('_Supporto Listone'!G55),"(.)","$1"&amp;UNICHAR(822)),'_Supporto Listone'!G55)</x:f>
        <x:v>1</x:v>
      </x:c>
      <x:c r="H55" s="458" t="n">
        <x:f>IF($J55&lt;&gt;"",REGEXREPLACE(TO_TEXT('_Supporto Listone'!H55),"(.)","$1"&amp;UNICHAR(822)),'_Supporto Listone'!H55)</x:f>
        <x:v>1</x:v>
      </x:c>
      <x:c r="I55" s="422"/>
      <x:c r="J55" s="423" t="str">
        <x:f>IF(COUNTIF(Asta!$B$4:$B$47,'_Supporto Listone'!B55)&gt;0,"Simone",IF(COUNTIF(Asta!$D$4:$D$47,'_Supporto Listone'!B55)&gt;0,"Giacomo",IF(COUNTIF(Asta!$F$4:$F$47,'_Supporto Listone'!B55)&gt;0,"Niko",IF(COUNTIF(Asta!$H$4:$H$47,'_Supporto Listone'!B55)&gt;0,"Quici",IF(COUNTIF(Asta!$J$4:$J$47,'_Supporto Listone'!B55)&gt;0,"Fratello Quici",IF(COUNTIF(Asta!$L$4:$L$47,'_Supporto Listone'!B55)&gt;0,"Nicolò",IF(COUNTIF(Asta!$N$4:$N$47,'_Supporto Listone'!B55)&gt;0,"Vi",IF(COUNTIF(Asta!$P$4:$P$47,'_Supporto Listone'!B55)&gt;0,"Lore",IF(COUNTIF(Asta!$R$4:$R$47,'_Supporto Listone'!B55)&gt;0,"Robbo",IF(COUNTIF(Asta!$T$4:$T$47,'_Supporto Listone'!B55)&gt;0,"Ale",""))))))))))</x:f>
      </x:c>
      <x:c r="K55" s="489" t="str">
        <x:f>IF(COUNTIF(Asta!$B$4:$B$47,'_Supporto Listone'!B55)&gt;0,INDEX(Asta!$C$4:$C$47,MATCH('_Supporto Listone'!B55,Asta!$B$4:$B$47,0)),IF(COUNTIF(Asta!$D$4:$D$47,'_Supporto Listone'!B55)&gt;0,INDEX(Asta!$E$4:$E$47,MATCH('_Supporto Listone'!B55,Asta!$D$4:$D$47,0)),IF(COUNTIF(Asta!$F$4:$F$47,'_Supporto Listone'!B55)&gt;0,INDEX(Asta!$G$4:$G$47,MATCH('_Supporto Listone'!B55,Asta!$F$4:$F$47,0)),IF(COUNTIF(Asta!$H$4:$H$47,'_Supporto Listone'!B55)&gt;0,INDEX(Asta!$I$4:$I$47,MATCH('_Supporto Listone'!B55,Asta!$H$4:$H$47,0)),IF(COUNTIF(Asta!$J$4:$J$47,'_Supporto Listone'!B55)&gt;0,INDEX(Asta!$K$4:$K$47,MATCH('_Supporto Listone'!B55,Asta!$J$4:$J$47,0)),IF(COUNTIF(Asta!$L$4:$L$47,'_Supporto Listone'!B55)&gt;0,INDEX(Asta!$M$4:$M$47,MATCH('_Supporto Listone'!B55,Asta!$L$4:$L$47,0)),IF(COUNTIF(Asta!$N$4:$N$47,'_Supporto Listone'!B55)&gt;0,INDEX(Asta!$O$4:$O$47,MATCH('_Supporto Listone'!B55,Asta!$N$4:$N$47,0)),IF(COUNTIF(Asta!$P$4:$P$47,'_Supporto Listone'!B55)&gt;0,INDEX(Asta!$Q$4:$Q$47,MATCH('_Supporto Listone'!B55,Asta!$P$4:$P$47,0)),IF(COUNTIF(Asta!$R$4:$R$47,'_Supporto Listone'!B55)&gt;0,INDEX(Asta!$S$4:$S$47,MATCH('_Supporto Listone'!B55,Asta!$R$4:$R$47,0)),IF(COUNTIF(Asta!$T$4:$T$47,'_Supporto Listone'!B55)&gt;0,INDEX(Asta!$U$4:$U$47,MATCH('_Supporto Listone'!B55,Asta!$T$4:$T$47,0)),""))))))))))</x:f>
      </x:c>
    </x:row>
    <x:row r="56">
      <x:c r="A56" s="425" t="str">
        <x:f>IF($J56&lt;&gt;"",REGEXREPLACE(TO_TEXT('_Supporto Listone'!A56),"(.)","$1"&amp;UNICHAR(822)),'_Supporto Listone'!A56)</x:f>
        <x:v>P</x:v>
      </x:c>
      <x:c r="B56" s="423" t="str">
        <x:f>IF($J56&lt;&gt;"",REGEXREPLACE(TO_TEXT('_Supporto Listone'!B56),"(.)","$1"&amp;UNICHAR(822)),'_Supporto Listone'!B56)</x:f>
        <x:v>De Marzi</x:v>
      </x:c>
      <x:c r="C56" s="423" t="str">
        <x:f>IF($J56&lt;&gt;"",REGEXREPLACE(TO_TEXT('_Supporto Listone'!C56),"(.)","$1"&amp;UNICHAR(822)),'_Supporto Listone'!C56)</x:f>
        <x:v>Roma</x:v>
      </x:c>
      <x:c r="D56" s="423" t="str">
        <x:f>IF($J56&lt;&gt;"",REGEXREPLACE(TO_TEXT('_Supporto Listone'!D56),"(.)","$1"&amp;UNICHAR(822)),'_Supporto Listone'!D56)</x:f>
        <x:v>Por</x:v>
      </x:c>
      <x:c r="E56" s="423" t="str">
        <x:f>IF($J56&lt;&gt;"",REGEXREPLACE(TO_TEXT('_Supporto Listone'!E56),"(.)","$1"&amp;UNICHAR(822)),'_Supporto Listone'!E56)</x:f>
        <x:v>Riserva / rotazione</x:v>
      </x:c>
      <x:c r="F56" s="458" t="n">
        <x:f>IF($J56&lt;&gt;"",REGEXREPLACE(TO_TEXT('_Supporto Listone'!F56),"(.)","$1"&amp;UNICHAR(822)),'_Supporto Listone'!F56)</x:f>
        <x:v>1</x:v>
      </x:c>
      <x:c r="G56" s="458" t="n">
        <x:f>IF($J56&lt;&gt;"",REGEXREPLACE(TO_TEXT('_Supporto Listone'!G56),"(.)","$1"&amp;UNICHAR(822)),'_Supporto Listone'!G56)</x:f>
        <x:v>1</x:v>
      </x:c>
      <x:c r="H56" s="458" t="n">
        <x:f>IF($J56&lt;&gt;"",REGEXREPLACE(TO_TEXT('_Supporto Listone'!H56),"(.)","$1"&amp;UNICHAR(822)),'_Supporto Listone'!H56)</x:f>
        <x:v>1</x:v>
      </x:c>
      <x:c r="I56" s="422"/>
      <x:c r="J56" s="423" t="str">
        <x:f>IF(COUNTIF(Asta!$B$4:$B$47,'_Supporto Listone'!B56)&gt;0,"Simone",IF(COUNTIF(Asta!$D$4:$D$47,'_Supporto Listone'!B56)&gt;0,"Giacomo",IF(COUNTIF(Asta!$F$4:$F$47,'_Supporto Listone'!B56)&gt;0,"Niko",IF(COUNTIF(Asta!$H$4:$H$47,'_Supporto Listone'!B56)&gt;0,"Quici",IF(COUNTIF(Asta!$J$4:$J$47,'_Supporto Listone'!B56)&gt;0,"Fratello Quici",IF(COUNTIF(Asta!$L$4:$L$47,'_Supporto Listone'!B56)&gt;0,"Nicolò",IF(COUNTIF(Asta!$N$4:$N$47,'_Supporto Listone'!B56)&gt;0,"Vi",IF(COUNTIF(Asta!$P$4:$P$47,'_Supporto Listone'!B56)&gt;0,"Lore",IF(COUNTIF(Asta!$R$4:$R$47,'_Supporto Listone'!B56)&gt;0,"Robbo",IF(COUNTIF(Asta!$T$4:$T$47,'_Supporto Listone'!B56)&gt;0,"Ale",""))))))))))</x:f>
      </x:c>
      <x:c r="K56" s="489" t="str">
        <x:f>IF(COUNTIF(Asta!$B$4:$B$47,'_Supporto Listone'!B56)&gt;0,INDEX(Asta!$C$4:$C$47,MATCH('_Supporto Listone'!B56,Asta!$B$4:$B$47,0)),IF(COUNTIF(Asta!$D$4:$D$47,'_Supporto Listone'!B56)&gt;0,INDEX(Asta!$E$4:$E$47,MATCH('_Supporto Listone'!B56,Asta!$D$4:$D$47,0)),IF(COUNTIF(Asta!$F$4:$F$47,'_Supporto Listone'!B56)&gt;0,INDEX(Asta!$G$4:$G$47,MATCH('_Supporto Listone'!B56,Asta!$F$4:$F$47,0)),IF(COUNTIF(Asta!$H$4:$H$47,'_Supporto Listone'!B56)&gt;0,INDEX(Asta!$I$4:$I$47,MATCH('_Supporto Listone'!B56,Asta!$H$4:$H$47,0)),IF(COUNTIF(Asta!$J$4:$J$47,'_Supporto Listone'!B56)&gt;0,INDEX(Asta!$K$4:$K$47,MATCH('_Supporto Listone'!B56,Asta!$J$4:$J$47,0)),IF(COUNTIF(Asta!$L$4:$L$47,'_Supporto Listone'!B56)&gt;0,INDEX(Asta!$M$4:$M$47,MATCH('_Supporto Listone'!B56,Asta!$L$4:$L$47,0)),IF(COUNTIF(Asta!$N$4:$N$47,'_Supporto Listone'!B56)&gt;0,INDEX(Asta!$O$4:$O$47,MATCH('_Supporto Listone'!B56,Asta!$N$4:$N$47,0)),IF(COUNTIF(Asta!$P$4:$P$47,'_Supporto Listone'!B56)&gt;0,INDEX(Asta!$Q$4:$Q$47,MATCH('_Supporto Listone'!B56,Asta!$P$4:$P$47,0)),IF(COUNTIF(Asta!$R$4:$R$47,'_Supporto Listone'!B56)&gt;0,INDEX(Asta!$S$4:$S$47,MATCH('_Supporto Listone'!B56,Asta!$R$4:$R$47,0)),IF(COUNTIF(Asta!$T$4:$T$47,'_Supporto Listone'!B56)&gt;0,INDEX(Asta!$U$4:$U$47,MATCH('_Supporto Listone'!B56,Asta!$T$4:$T$47,0)),""))))))))))</x:f>
      </x:c>
    </x:row>
    <x:row r="57">
      <x:c r="A57" s="425" t="str">
        <x:f>IF($J57&lt;&gt;"",REGEXREPLACE(TO_TEXT('_Supporto Listone'!A57),"(.)","$1"&amp;UNICHAR(822)),'_Supporto Listone'!A57)</x:f>
        <x:v>P</x:v>
      </x:c>
      <x:c r="B57" s="423" t="str">
        <x:f>IF($J57&lt;&gt;"",REGEXREPLACE(TO_TEXT('_Supporto Listone'!B57),"(.)","$1"&amp;UNICHAR(822)),'_Supporto Listone'!B57)</x:f>
        <x:v>Gollini</x:v>
      </x:c>
      <x:c r="C57" s="423" t="str">
        <x:f>IF($J57&lt;&gt;"",REGEXREPLACE(TO_TEXT('_Supporto Listone'!C57),"(.)","$1"&amp;UNICHAR(822)),'_Supporto Listone'!C57)</x:f>
        <x:v>Roma</x:v>
      </x:c>
      <x:c r="D57" s="423" t="str">
        <x:f>IF($J57&lt;&gt;"",REGEXREPLACE(TO_TEXT('_Supporto Listone'!D57),"(.)","$1"&amp;UNICHAR(822)),'_Supporto Listone'!D57)</x:f>
        <x:v>Por</x:v>
      </x:c>
      <x:c r="E57" s="423" t="str">
        <x:f>IF($J57&lt;&gt;"",REGEXREPLACE(TO_TEXT('_Supporto Listone'!E57),"(.)","$1"&amp;UNICHAR(822)),'_Supporto Listone'!E57)</x:f>
        <x:v>Riserva / rotazione</x:v>
      </x:c>
      <x:c r="F57" s="458" t="n">
        <x:f>IF($J57&lt;&gt;"",REGEXREPLACE(TO_TEXT('_Supporto Listone'!F57),"(.)","$1"&amp;UNICHAR(822)),'_Supporto Listone'!F57)</x:f>
        <x:v>1</x:v>
      </x:c>
      <x:c r="G57" s="458" t="n">
        <x:f>IF($J57&lt;&gt;"",REGEXREPLACE(TO_TEXT('_Supporto Listone'!G57),"(.)","$1"&amp;UNICHAR(822)),'_Supporto Listone'!G57)</x:f>
        <x:v>1</x:v>
      </x:c>
      <x:c r="H57" s="458" t="n">
        <x:f>IF($J57&lt;&gt;"",REGEXREPLACE(TO_TEXT('_Supporto Listone'!H57),"(.)","$1"&amp;UNICHAR(822)),'_Supporto Listone'!H57)</x:f>
        <x:v>1</x:v>
      </x:c>
      <x:c r="I57" s="422"/>
      <x:c r="J57" s="423" t="str">
        <x:f>IF(COUNTIF(Asta!$B$4:$B$47,'_Supporto Listone'!B57)&gt;0,"Simone",IF(COUNTIF(Asta!$D$4:$D$47,'_Supporto Listone'!B57)&gt;0,"Giacomo",IF(COUNTIF(Asta!$F$4:$F$47,'_Supporto Listone'!B57)&gt;0,"Niko",IF(COUNTIF(Asta!$H$4:$H$47,'_Supporto Listone'!B57)&gt;0,"Quici",IF(COUNTIF(Asta!$J$4:$J$47,'_Supporto Listone'!B57)&gt;0,"Fratello Quici",IF(COUNTIF(Asta!$L$4:$L$47,'_Supporto Listone'!B57)&gt;0,"Nicolò",IF(COUNTIF(Asta!$N$4:$N$47,'_Supporto Listone'!B57)&gt;0,"Vi",IF(COUNTIF(Asta!$P$4:$P$47,'_Supporto Listone'!B57)&gt;0,"Lore",IF(COUNTIF(Asta!$R$4:$R$47,'_Supporto Listone'!B57)&gt;0,"Robbo",IF(COUNTIF(Asta!$T$4:$T$47,'_Supporto Listone'!B57)&gt;0,"Ale",""))))))))))</x:f>
      </x:c>
      <x:c r="K57" s="489" t="str">
        <x:f>IF(COUNTIF(Asta!$B$4:$B$47,'_Supporto Listone'!B57)&gt;0,INDEX(Asta!$C$4:$C$47,MATCH('_Supporto Listone'!B57,Asta!$B$4:$B$47,0)),IF(COUNTIF(Asta!$D$4:$D$47,'_Supporto Listone'!B57)&gt;0,INDEX(Asta!$E$4:$E$47,MATCH('_Supporto Listone'!B57,Asta!$D$4:$D$47,0)),IF(COUNTIF(Asta!$F$4:$F$47,'_Supporto Listone'!B57)&gt;0,INDEX(Asta!$G$4:$G$47,MATCH('_Supporto Listone'!B57,Asta!$F$4:$F$47,0)),IF(COUNTIF(Asta!$H$4:$H$47,'_Supporto Listone'!B57)&gt;0,INDEX(Asta!$I$4:$I$47,MATCH('_Supporto Listone'!B57,Asta!$H$4:$H$47,0)),IF(COUNTIF(Asta!$J$4:$J$47,'_Supporto Listone'!B57)&gt;0,INDEX(Asta!$K$4:$K$47,MATCH('_Supporto Listone'!B57,Asta!$J$4:$J$47,0)),IF(COUNTIF(Asta!$L$4:$L$47,'_Supporto Listone'!B57)&gt;0,INDEX(Asta!$M$4:$M$47,MATCH('_Supporto Listone'!B57,Asta!$L$4:$L$47,0)),IF(COUNTIF(Asta!$N$4:$N$47,'_Supporto Listone'!B57)&gt;0,INDEX(Asta!$O$4:$O$47,MATCH('_Supporto Listone'!B57,Asta!$N$4:$N$47,0)),IF(COUNTIF(Asta!$P$4:$P$47,'_Supporto Listone'!B57)&gt;0,INDEX(Asta!$Q$4:$Q$47,MATCH('_Supporto Listone'!B57,Asta!$P$4:$P$47,0)),IF(COUNTIF(Asta!$R$4:$R$47,'_Supporto Listone'!B57)&gt;0,INDEX(Asta!$S$4:$S$47,MATCH('_Supporto Listone'!B57,Asta!$R$4:$R$47,0)),IF(COUNTIF(Asta!$T$4:$T$47,'_Supporto Listone'!B57)&gt;0,INDEX(Asta!$U$4:$U$47,MATCH('_Supporto Listone'!B57,Asta!$T$4:$T$47,0)),""))))))))))</x:f>
      </x:c>
    </x:row>
    <x:row r="58">
      <x:c r="A58" s="425" t="str">
        <x:f>IF($J58&lt;&gt;"",REGEXREPLACE(TO_TEXT('_Supporto Listone'!A58),"(.)","$1"&amp;UNICHAR(822)),'_Supporto Listone'!A58)</x:f>
        <x:v>P</x:v>
      </x:c>
      <x:c r="B58" s="423" t="str">
        <x:f>IF($J58&lt;&gt;"",REGEXREPLACE(TO_TEXT('_Supporto Listone'!B58),"(.)","$1"&amp;UNICHAR(822)),'_Supporto Listone'!B58)</x:f>
        <x:v>Russo A.</x:v>
      </x:c>
      <x:c r="C58" s="423" t="str">
        <x:f>IF($J58&lt;&gt;"",REGEXREPLACE(TO_TEXT('_Supporto Listone'!C58),"(.)","$1"&amp;UNICHAR(822)),'_Supporto Listone'!C58)</x:f>
        <x:v>Sassuolo</x:v>
      </x:c>
      <x:c r="D58" s="423" t="str">
        <x:f>IF($J58&lt;&gt;"",REGEXREPLACE(TO_TEXT('_Supporto Listone'!D58),"(.)","$1"&amp;UNICHAR(822)),'_Supporto Listone'!D58)</x:f>
        <x:v>Por</x:v>
      </x:c>
      <x:c r="E58" s="423" t="str">
        <x:f>IF($J58&lt;&gt;"",REGEXREPLACE(TO_TEXT('_Supporto Listone'!E58),"(.)","$1"&amp;UNICHAR(822)),'_Supporto Listone'!E58)</x:f>
        <x:v>Riserva / rotazione</x:v>
      </x:c>
      <x:c r="F58" s="458" t="n">
        <x:f>IF($J58&lt;&gt;"",REGEXREPLACE(TO_TEXT('_Supporto Listone'!F58),"(.)","$1"&amp;UNICHAR(822)),'_Supporto Listone'!F58)</x:f>
        <x:v>1</x:v>
      </x:c>
      <x:c r="G58" s="458" t="n">
        <x:f>IF($J58&lt;&gt;"",REGEXREPLACE(TO_TEXT('_Supporto Listone'!G58),"(.)","$1"&amp;UNICHAR(822)),'_Supporto Listone'!G58)</x:f>
        <x:v>1</x:v>
      </x:c>
      <x:c r="H58" s="458" t="n">
        <x:f>IF($J58&lt;&gt;"",REGEXREPLACE(TO_TEXT('_Supporto Listone'!H58),"(.)","$1"&amp;UNICHAR(822)),'_Supporto Listone'!H58)</x:f>
        <x:v>1</x:v>
      </x:c>
      <x:c r="I58" s="422"/>
      <x:c r="J58" s="423" t="str">
        <x:f>IF(COUNTIF(Asta!$B$4:$B$47,'_Supporto Listone'!B58)&gt;0,"Simone",IF(COUNTIF(Asta!$D$4:$D$47,'_Supporto Listone'!B58)&gt;0,"Giacomo",IF(COUNTIF(Asta!$F$4:$F$47,'_Supporto Listone'!B58)&gt;0,"Niko",IF(COUNTIF(Asta!$H$4:$H$47,'_Supporto Listone'!B58)&gt;0,"Quici",IF(COUNTIF(Asta!$J$4:$J$47,'_Supporto Listone'!B58)&gt;0,"Fratello Quici",IF(COUNTIF(Asta!$L$4:$L$47,'_Supporto Listone'!B58)&gt;0,"Nicolò",IF(COUNTIF(Asta!$N$4:$N$47,'_Supporto Listone'!B58)&gt;0,"Vi",IF(COUNTIF(Asta!$P$4:$P$47,'_Supporto Listone'!B58)&gt;0,"Lore",IF(COUNTIF(Asta!$R$4:$R$47,'_Supporto Listone'!B58)&gt;0,"Robbo",IF(COUNTIF(Asta!$T$4:$T$47,'_Supporto Listone'!B58)&gt;0,"Ale",""))))))))))</x:f>
      </x:c>
      <x:c r="K58" s="489" t="str">
        <x:f>IF(COUNTIF(Asta!$B$4:$B$47,'_Supporto Listone'!B58)&gt;0,INDEX(Asta!$C$4:$C$47,MATCH('_Supporto Listone'!B58,Asta!$B$4:$B$47,0)),IF(COUNTIF(Asta!$D$4:$D$47,'_Supporto Listone'!B58)&gt;0,INDEX(Asta!$E$4:$E$47,MATCH('_Supporto Listone'!B58,Asta!$D$4:$D$47,0)),IF(COUNTIF(Asta!$F$4:$F$47,'_Supporto Listone'!B58)&gt;0,INDEX(Asta!$G$4:$G$47,MATCH('_Supporto Listone'!B58,Asta!$F$4:$F$47,0)),IF(COUNTIF(Asta!$H$4:$H$47,'_Supporto Listone'!B58)&gt;0,INDEX(Asta!$I$4:$I$47,MATCH('_Supporto Listone'!B58,Asta!$H$4:$H$47,0)),IF(COUNTIF(Asta!$J$4:$J$47,'_Supporto Listone'!B58)&gt;0,INDEX(Asta!$K$4:$K$47,MATCH('_Supporto Listone'!B58,Asta!$J$4:$J$47,0)),IF(COUNTIF(Asta!$L$4:$L$47,'_Supporto Listone'!B58)&gt;0,INDEX(Asta!$M$4:$M$47,MATCH('_Supporto Listone'!B58,Asta!$L$4:$L$47,0)),IF(COUNTIF(Asta!$N$4:$N$47,'_Supporto Listone'!B58)&gt;0,INDEX(Asta!$O$4:$O$47,MATCH('_Supporto Listone'!B58,Asta!$N$4:$N$47,0)),IF(COUNTIF(Asta!$P$4:$P$47,'_Supporto Listone'!B58)&gt;0,INDEX(Asta!$Q$4:$Q$47,MATCH('_Supporto Listone'!B58,Asta!$P$4:$P$47,0)),IF(COUNTIF(Asta!$R$4:$R$47,'_Supporto Listone'!B58)&gt;0,INDEX(Asta!$S$4:$S$47,MATCH('_Supporto Listone'!B58,Asta!$R$4:$R$47,0)),IF(COUNTIF(Asta!$T$4:$T$47,'_Supporto Listone'!B58)&gt;0,INDEX(Asta!$U$4:$U$47,MATCH('_Supporto Listone'!B58,Asta!$T$4:$T$47,0)),""))))))))))</x:f>
      </x:c>
    </x:row>
    <x:row r="59">
      <x:c r="A59" s="425" t="str">
        <x:f>IF($J59&lt;&gt;"",REGEXREPLACE(TO_TEXT('_Supporto Listone'!A59),"(.)","$1"&amp;UNICHAR(822)),'_Supporto Listone'!A59)</x:f>
        <x:v>P</x:v>
      </x:c>
      <x:c r="B59" s="423" t="str">
        <x:f>IF($J59&lt;&gt;"",REGEXREPLACE(TO_TEXT('_Supporto Listone'!B59),"(.)","$1"&amp;UNICHAR(822)),'_Supporto Listone'!B59)</x:f>
        <x:v>Turati</x:v>
      </x:c>
      <x:c r="C59" s="423" t="str">
        <x:f>IF($J59&lt;&gt;"",REGEXREPLACE(TO_TEXT('_Supporto Listone'!C59),"(.)","$1"&amp;UNICHAR(822)),'_Supporto Listone'!C59)</x:f>
        <x:v>Sassuolo</x:v>
      </x:c>
      <x:c r="D59" s="423" t="str">
        <x:f>IF($J59&lt;&gt;"",REGEXREPLACE(TO_TEXT('_Supporto Listone'!D59),"(.)","$1"&amp;UNICHAR(822)),'_Supporto Listone'!D59)</x:f>
        <x:v>Por</x:v>
      </x:c>
      <x:c r="E59" s="423" t="str">
        <x:f>IF($J59&lt;&gt;"",REGEXREPLACE(TO_TEXT('_Supporto Listone'!E59),"(.)","$1"&amp;UNICHAR(822)),'_Supporto Listone'!E59)</x:f>
        <x:v>Riserva / rotazione</x:v>
      </x:c>
      <x:c r="F59" s="458" t="n">
        <x:f>IF($J59&lt;&gt;"",REGEXREPLACE(TO_TEXT('_Supporto Listone'!F59),"(.)","$1"&amp;UNICHAR(822)),'_Supporto Listone'!F59)</x:f>
        <x:v>1</x:v>
      </x:c>
      <x:c r="G59" s="458" t="n">
        <x:f>IF($J59&lt;&gt;"",REGEXREPLACE(TO_TEXT('_Supporto Listone'!G59),"(.)","$1"&amp;UNICHAR(822)),'_Supporto Listone'!G59)</x:f>
        <x:v>3</x:v>
      </x:c>
      <x:c r="H59" s="458" t="n">
        <x:f>IF($J59&lt;&gt;"",REGEXREPLACE(TO_TEXT('_Supporto Listone'!H59),"(.)","$1"&amp;UNICHAR(822)),'_Supporto Listone'!H59)</x:f>
        <x:v>2</x:v>
      </x:c>
      <x:c r="I59" s="422"/>
      <x:c r="J59" s="423" t="str">
        <x:f>IF(COUNTIF(Asta!$B$4:$B$47,'_Supporto Listone'!B59)&gt;0,"Simone",IF(COUNTIF(Asta!$D$4:$D$47,'_Supporto Listone'!B59)&gt;0,"Giacomo",IF(COUNTIF(Asta!$F$4:$F$47,'_Supporto Listone'!B59)&gt;0,"Niko",IF(COUNTIF(Asta!$H$4:$H$47,'_Supporto Listone'!B59)&gt;0,"Quici",IF(COUNTIF(Asta!$J$4:$J$47,'_Supporto Listone'!B59)&gt;0,"Fratello Quici",IF(COUNTIF(Asta!$L$4:$L$47,'_Supporto Listone'!B59)&gt;0,"Nicolò",IF(COUNTIF(Asta!$N$4:$N$47,'_Supporto Listone'!B59)&gt;0,"Vi",IF(COUNTIF(Asta!$P$4:$P$47,'_Supporto Listone'!B59)&gt;0,"Lore",IF(COUNTIF(Asta!$R$4:$R$47,'_Supporto Listone'!B59)&gt;0,"Robbo",IF(COUNTIF(Asta!$T$4:$T$47,'_Supporto Listone'!B59)&gt;0,"Ale",""))))))))))</x:f>
      </x:c>
      <x:c r="K59" s="489" t="str">
        <x:f>IF(COUNTIF(Asta!$B$4:$B$47,'_Supporto Listone'!B59)&gt;0,INDEX(Asta!$C$4:$C$47,MATCH('_Supporto Listone'!B59,Asta!$B$4:$B$47,0)),IF(COUNTIF(Asta!$D$4:$D$47,'_Supporto Listone'!B59)&gt;0,INDEX(Asta!$E$4:$E$47,MATCH('_Supporto Listone'!B59,Asta!$D$4:$D$47,0)),IF(COUNTIF(Asta!$F$4:$F$47,'_Supporto Listone'!B59)&gt;0,INDEX(Asta!$G$4:$G$47,MATCH('_Supporto Listone'!B59,Asta!$F$4:$F$47,0)),IF(COUNTIF(Asta!$H$4:$H$47,'_Supporto Listone'!B59)&gt;0,INDEX(Asta!$I$4:$I$47,MATCH('_Supporto Listone'!B59,Asta!$H$4:$H$47,0)),IF(COUNTIF(Asta!$J$4:$J$47,'_Supporto Listone'!B59)&gt;0,INDEX(Asta!$K$4:$K$47,MATCH('_Supporto Listone'!B59,Asta!$J$4:$J$47,0)),IF(COUNTIF(Asta!$L$4:$L$47,'_Supporto Listone'!B59)&gt;0,INDEX(Asta!$M$4:$M$47,MATCH('_Supporto Listone'!B59,Asta!$L$4:$L$47,0)),IF(COUNTIF(Asta!$N$4:$N$47,'_Supporto Listone'!B59)&gt;0,INDEX(Asta!$O$4:$O$47,MATCH('_Supporto Listone'!B59,Asta!$N$4:$N$47,0)),IF(COUNTIF(Asta!$P$4:$P$47,'_Supporto Listone'!B59)&gt;0,INDEX(Asta!$Q$4:$Q$47,MATCH('_Supporto Listone'!B59,Asta!$P$4:$P$47,0)),IF(COUNTIF(Asta!$R$4:$R$47,'_Supporto Listone'!B59)&gt;0,INDEX(Asta!$S$4:$S$47,MATCH('_Supporto Listone'!B59,Asta!$R$4:$R$47,0)),IF(COUNTIF(Asta!$T$4:$T$47,'_Supporto Listone'!B59)&gt;0,INDEX(Asta!$U$4:$U$47,MATCH('_Supporto Listone'!B59,Asta!$T$4:$T$47,0)),""))))))))))</x:f>
      </x:c>
    </x:row>
    <x:row r="60">
      <x:c r="A60" s="425" t="str">
        <x:f>IF($J60&lt;&gt;"",REGEXREPLACE(TO_TEXT('_Supporto Listone'!A60),"(.)","$1"&amp;UNICHAR(822)),'_Supporto Listone'!A60)</x:f>
        <x:v>P</x:v>
      </x:c>
      <x:c r="B60" s="423" t="str">
        <x:f>IF($J60&lt;&gt;"",REGEXREPLACE(TO_TEXT('_Supporto Listone'!B60),"(.)","$1"&amp;UNICHAR(822)),'_Supporto Listone'!B60)</x:f>
        <x:v>Mascardi</x:v>
      </x:c>
      <x:c r="C60" s="423" t="str">
        <x:f>IF($J60&lt;&gt;"",REGEXREPLACE(TO_TEXT('_Supporto Listone'!C60),"(.)","$1"&amp;UNICHAR(822)),'_Supporto Listone'!C60)</x:f>
        <x:v>Torino</x:v>
      </x:c>
      <x:c r="D60" s="423" t="str">
        <x:f>IF($J60&lt;&gt;"",REGEXREPLACE(TO_TEXT('_Supporto Listone'!D60),"(.)","$1"&amp;UNICHAR(822)),'_Supporto Listone'!D60)</x:f>
        <x:v>Por</x:v>
      </x:c>
      <x:c r="E60" s="423" t="str">
        <x:f>IF($J60&lt;&gt;"",REGEXREPLACE(TO_TEXT('_Supporto Listone'!E60),"(.)","$1"&amp;UNICHAR(822)),'_Supporto Listone'!E60)</x:f>
        <x:v>Riserva / rotazione</x:v>
      </x:c>
      <x:c r="F60" s="458" t="n">
        <x:f>IF($J60&lt;&gt;"",REGEXREPLACE(TO_TEXT('_Supporto Listone'!F60),"(.)","$1"&amp;UNICHAR(822)),'_Supporto Listone'!F60)</x:f>
        <x:v>1</x:v>
      </x:c>
      <x:c r="G60" s="458" t="n">
        <x:f>IF($J60&lt;&gt;"",REGEXREPLACE(TO_TEXT('_Supporto Listone'!G60),"(.)","$1"&amp;UNICHAR(822)),'_Supporto Listone'!G60)</x:f>
        <x:v>1</x:v>
      </x:c>
      <x:c r="H60" s="458" t="n">
        <x:f>IF($J60&lt;&gt;"",REGEXREPLACE(TO_TEXT('_Supporto Listone'!H60),"(.)","$1"&amp;UNICHAR(822)),'_Supporto Listone'!H60)</x:f>
        <x:v>1</x:v>
      </x:c>
      <x:c r="I60" s="422"/>
      <x:c r="J60" s="423" t="str">
        <x:f>IF(COUNTIF(Asta!$B$4:$B$47,'_Supporto Listone'!B60)&gt;0,"Simone",IF(COUNTIF(Asta!$D$4:$D$47,'_Supporto Listone'!B60)&gt;0,"Giacomo",IF(COUNTIF(Asta!$F$4:$F$47,'_Supporto Listone'!B60)&gt;0,"Niko",IF(COUNTIF(Asta!$H$4:$H$47,'_Supporto Listone'!B60)&gt;0,"Quici",IF(COUNTIF(Asta!$J$4:$J$47,'_Supporto Listone'!B60)&gt;0,"Fratello Quici",IF(COUNTIF(Asta!$L$4:$L$47,'_Supporto Listone'!B60)&gt;0,"Nicolò",IF(COUNTIF(Asta!$N$4:$N$47,'_Supporto Listone'!B60)&gt;0,"Vi",IF(COUNTIF(Asta!$P$4:$P$47,'_Supporto Listone'!B60)&gt;0,"Lore",IF(COUNTIF(Asta!$R$4:$R$47,'_Supporto Listone'!B60)&gt;0,"Robbo",IF(COUNTIF(Asta!$T$4:$T$47,'_Supporto Listone'!B60)&gt;0,"Ale",""))))))))))</x:f>
      </x:c>
      <x:c r="K60" s="489" t="str">
        <x:f>IF(COUNTIF(Asta!$B$4:$B$47,'_Supporto Listone'!B60)&gt;0,INDEX(Asta!$C$4:$C$47,MATCH('_Supporto Listone'!B60,Asta!$B$4:$B$47,0)),IF(COUNTIF(Asta!$D$4:$D$47,'_Supporto Listone'!B60)&gt;0,INDEX(Asta!$E$4:$E$47,MATCH('_Supporto Listone'!B60,Asta!$D$4:$D$47,0)),IF(COUNTIF(Asta!$F$4:$F$47,'_Supporto Listone'!B60)&gt;0,INDEX(Asta!$G$4:$G$47,MATCH('_Supporto Listone'!B60,Asta!$F$4:$F$47,0)),IF(COUNTIF(Asta!$H$4:$H$47,'_Supporto Listone'!B60)&gt;0,INDEX(Asta!$I$4:$I$47,MATCH('_Supporto Listone'!B60,Asta!$H$4:$H$47,0)),IF(COUNTIF(Asta!$J$4:$J$47,'_Supporto Listone'!B60)&gt;0,INDEX(Asta!$K$4:$K$47,MATCH('_Supporto Listone'!B60,Asta!$J$4:$J$47,0)),IF(COUNTIF(Asta!$L$4:$L$47,'_Supporto Listone'!B60)&gt;0,INDEX(Asta!$M$4:$M$47,MATCH('_Supporto Listone'!B60,Asta!$L$4:$L$47,0)),IF(COUNTIF(Asta!$N$4:$N$47,'_Supporto Listone'!B60)&gt;0,INDEX(Asta!$O$4:$O$47,MATCH('_Supporto Listone'!B60,Asta!$N$4:$N$47,0)),IF(COUNTIF(Asta!$P$4:$P$47,'_Supporto Listone'!B60)&gt;0,INDEX(Asta!$Q$4:$Q$47,MATCH('_Supporto Listone'!B60,Asta!$P$4:$P$47,0)),IF(COUNTIF(Asta!$R$4:$R$47,'_Supporto Listone'!B60)&gt;0,INDEX(Asta!$S$4:$S$47,MATCH('_Supporto Listone'!B60,Asta!$R$4:$R$47,0)),IF(COUNTIF(Asta!$T$4:$T$47,'_Supporto Listone'!B60)&gt;0,INDEX(Asta!$U$4:$U$47,MATCH('_Supporto Listone'!B60,Asta!$T$4:$T$47,0)),""))))))))))</x:f>
      </x:c>
    </x:row>
    <x:row r="61">
      <x:c r="A61" s="425" t="str">
        <x:f>IF($J61&lt;&gt;"",REGEXREPLACE(TO_TEXT('_Supporto Listone'!A61),"(.)","$1"&amp;UNICHAR(822)),'_Supporto Listone'!A61)</x:f>
        <x:v>P</x:v>
      </x:c>
      <x:c r="B61" s="423" t="str">
        <x:f>IF($J61&lt;&gt;"",REGEXREPLACE(TO_TEXT('_Supporto Listone'!B61),"(.)","$1"&amp;UNICHAR(822)),'_Supporto Listone'!B61)</x:f>
        <x:v>Paleari</x:v>
      </x:c>
      <x:c r="C61" s="423" t="str">
        <x:f>IF($J61&lt;&gt;"",REGEXREPLACE(TO_TEXT('_Supporto Listone'!C61),"(.)","$1"&amp;UNICHAR(822)),'_Supporto Listone'!C61)</x:f>
        <x:v>Torino</x:v>
      </x:c>
      <x:c r="D61" s="423" t="str">
        <x:f>IF($J61&lt;&gt;"",REGEXREPLACE(TO_TEXT('_Supporto Listone'!D61),"(.)","$1"&amp;UNICHAR(822)),'_Supporto Listone'!D61)</x:f>
        <x:v>Por</x:v>
      </x:c>
      <x:c r="E61" s="423" t="str">
        <x:f>IF($J61&lt;&gt;"",REGEXREPLACE(TO_TEXT('_Supporto Listone'!E61),"(.)","$1"&amp;UNICHAR(822)),'_Supporto Listone'!E61)</x:f>
        <x:v>Riserva / rotazione</x:v>
      </x:c>
      <x:c r="F61" s="458" t="n">
        <x:f>IF($J61&lt;&gt;"",REGEXREPLACE(TO_TEXT('_Supporto Listone'!F61),"(.)","$1"&amp;UNICHAR(822)),'_Supporto Listone'!F61)</x:f>
        <x:v>1</x:v>
      </x:c>
      <x:c r="G61" s="458" t="n">
        <x:f>IF($J61&lt;&gt;"",REGEXREPLACE(TO_TEXT('_Supporto Listone'!G61),"(.)","$1"&amp;UNICHAR(822)),'_Supporto Listone'!G61)</x:f>
        <x:v>1</x:v>
      </x:c>
      <x:c r="H61" s="458" t="n">
        <x:f>IF($J61&lt;&gt;"",REGEXREPLACE(TO_TEXT('_Supporto Listone'!H61),"(.)","$1"&amp;UNICHAR(822)),'_Supporto Listone'!H61)</x:f>
        <x:v>1</x:v>
      </x:c>
      <x:c r="I61" s="422"/>
      <x:c r="J61" s="423" t="str">
        <x:f>IF(COUNTIF(Asta!$B$4:$B$47,'_Supporto Listone'!B61)&gt;0,"Simone",IF(COUNTIF(Asta!$D$4:$D$47,'_Supporto Listone'!B61)&gt;0,"Giacomo",IF(COUNTIF(Asta!$F$4:$F$47,'_Supporto Listone'!B61)&gt;0,"Niko",IF(COUNTIF(Asta!$H$4:$H$47,'_Supporto Listone'!B61)&gt;0,"Quici",IF(COUNTIF(Asta!$J$4:$J$47,'_Supporto Listone'!B61)&gt;0,"Fratello Quici",IF(COUNTIF(Asta!$L$4:$L$47,'_Supporto Listone'!B61)&gt;0,"Nicolò",IF(COUNTIF(Asta!$N$4:$N$47,'_Supporto Listone'!B61)&gt;0,"Vi",IF(COUNTIF(Asta!$P$4:$P$47,'_Supporto Listone'!B61)&gt;0,"Lore",IF(COUNTIF(Asta!$R$4:$R$47,'_Supporto Listone'!B61)&gt;0,"Robbo",IF(COUNTIF(Asta!$T$4:$T$47,'_Supporto Listone'!B61)&gt;0,"Ale",""))))))))))</x:f>
      </x:c>
      <x:c r="K61" s="489" t="str">
        <x:f>IF(COUNTIF(Asta!$B$4:$B$47,'_Supporto Listone'!B61)&gt;0,INDEX(Asta!$C$4:$C$47,MATCH('_Supporto Listone'!B61,Asta!$B$4:$B$47,0)),IF(COUNTIF(Asta!$D$4:$D$47,'_Supporto Listone'!B61)&gt;0,INDEX(Asta!$E$4:$E$47,MATCH('_Supporto Listone'!B61,Asta!$D$4:$D$47,0)),IF(COUNTIF(Asta!$F$4:$F$47,'_Supporto Listone'!B61)&gt;0,INDEX(Asta!$G$4:$G$47,MATCH('_Supporto Listone'!B61,Asta!$F$4:$F$47,0)),IF(COUNTIF(Asta!$H$4:$H$47,'_Supporto Listone'!B61)&gt;0,INDEX(Asta!$I$4:$I$47,MATCH('_Supporto Listone'!B61,Asta!$H$4:$H$47,0)),IF(COUNTIF(Asta!$J$4:$J$47,'_Supporto Listone'!B61)&gt;0,INDEX(Asta!$K$4:$K$47,MATCH('_Supporto Listone'!B61,Asta!$J$4:$J$47,0)),IF(COUNTIF(Asta!$L$4:$L$47,'_Supporto Listone'!B61)&gt;0,INDEX(Asta!$M$4:$M$47,MATCH('_Supporto Listone'!B61,Asta!$L$4:$L$47,0)),IF(COUNTIF(Asta!$N$4:$N$47,'_Supporto Listone'!B61)&gt;0,INDEX(Asta!$O$4:$O$47,MATCH('_Supporto Listone'!B61,Asta!$N$4:$N$47,0)),IF(COUNTIF(Asta!$P$4:$P$47,'_Supporto Listone'!B61)&gt;0,INDEX(Asta!$Q$4:$Q$47,MATCH('_Supporto Listone'!B61,Asta!$P$4:$P$47,0)),IF(COUNTIF(Asta!$R$4:$R$47,'_Supporto Listone'!B61)&gt;0,INDEX(Asta!$S$4:$S$47,MATCH('_Supporto Listone'!B61,Asta!$R$4:$R$47,0)),IF(COUNTIF(Asta!$T$4:$T$47,'_Supporto Listone'!B61)&gt;0,INDEX(Asta!$U$4:$U$47,MATCH('_Supporto Listone'!B61,Asta!$T$4:$T$47,0)),""))))))))))</x:f>
      </x:c>
    </x:row>
    <x:row r="62">
      <x:c r="A62" s="425" t="str">
        <x:f>IF($J62&lt;&gt;"",REGEXREPLACE(TO_TEXT('_Supporto Listone'!A62),"(.)","$1"&amp;UNICHAR(822)),'_Supporto Listone'!A62)</x:f>
        <x:v>P</x:v>
      </x:c>
      <x:c r="B62" s="423" t="str">
        <x:f>IF($J62&lt;&gt;"",REGEXREPLACE(TO_TEXT('_Supporto Listone'!B62),"(.)","$1"&amp;UNICHAR(822)),'_Supporto Listone'!B62)</x:f>
        <x:v>Siviero</x:v>
      </x:c>
      <x:c r="C62" s="423" t="str">
        <x:f>IF($J62&lt;&gt;"",REGEXREPLACE(TO_TEXT('_Supporto Listone'!C62),"(.)","$1"&amp;UNICHAR(822)),'_Supporto Listone'!C62)</x:f>
        <x:v>Torino</x:v>
      </x:c>
      <x:c r="D62" s="423" t="str">
        <x:f>IF($J62&lt;&gt;"",REGEXREPLACE(TO_TEXT('_Supporto Listone'!D62),"(.)","$1"&amp;UNICHAR(822)),'_Supporto Listone'!D62)</x:f>
        <x:v>Por</x:v>
      </x:c>
      <x:c r="E62" s="423" t="str">
        <x:f>IF($J62&lt;&gt;"",REGEXREPLACE(TO_TEXT('_Supporto Listone'!E62),"(.)","$1"&amp;UNICHAR(822)),'_Supporto Listone'!E62)</x:f>
        <x:v>Riserva / rotazione</x:v>
      </x:c>
      <x:c r="F62" s="458" t="n">
        <x:f>IF($J62&lt;&gt;"",REGEXREPLACE(TO_TEXT('_Supporto Listone'!F62),"(.)","$1"&amp;UNICHAR(822)),'_Supporto Listone'!F62)</x:f>
        <x:v>1</x:v>
      </x:c>
      <x:c r="G62" s="458" t="n">
        <x:f>IF($J62&lt;&gt;"",REGEXREPLACE(TO_TEXT('_Supporto Listone'!G62),"(.)","$1"&amp;UNICHAR(822)),'_Supporto Listone'!G62)</x:f>
        <x:v>1</x:v>
      </x:c>
      <x:c r="H62" s="458" t="n">
        <x:f>IF($J62&lt;&gt;"",REGEXREPLACE(TO_TEXT('_Supporto Listone'!H62),"(.)","$1"&amp;UNICHAR(822)),'_Supporto Listone'!H62)</x:f>
        <x:v>1</x:v>
      </x:c>
      <x:c r="I62" s="422"/>
      <x:c r="J62" s="423" t="str">
        <x:f>IF(COUNTIF(Asta!$B$4:$B$47,'_Supporto Listone'!B62)&gt;0,"Simone",IF(COUNTIF(Asta!$D$4:$D$47,'_Supporto Listone'!B62)&gt;0,"Giacomo",IF(COUNTIF(Asta!$F$4:$F$47,'_Supporto Listone'!B62)&gt;0,"Niko",IF(COUNTIF(Asta!$H$4:$H$47,'_Supporto Listone'!B62)&gt;0,"Quici",IF(COUNTIF(Asta!$J$4:$J$47,'_Supporto Listone'!B62)&gt;0,"Fratello Quici",IF(COUNTIF(Asta!$L$4:$L$47,'_Supporto Listone'!B62)&gt;0,"Nicolò",IF(COUNTIF(Asta!$N$4:$N$47,'_Supporto Listone'!B62)&gt;0,"Vi",IF(COUNTIF(Asta!$P$4:$P$47,'_Supporto Listone'!B62)&gt;0,"Lore",IF(COUNTIF(Asta!$R$4:$R$47,'_Supporto Listone'!B62)&gt;0,"Robbo",IF(COUNTIF(Asta!$T$4:$T$47,'_Supporto Listone'!B62)&gt;0,"Ale",""))))))))))</x:f>
      </x:c>
      <x:c r="K62" s="489" t="str">
        <x:f>IF(COUNTIF(Asta!$B$4:$B$47,'_Supporto Listone'!B62)&gt;0,INDEX(Asta!$C$4:$C$47,MATCH('_Supporto Listone'!B62,Asta!$B$4:$B$47,0)),IF(COUNTIF(Asta!$D$4:$D$47,'_Supporto Listone'!B62)&gt;0,INDEX(Asta!$E$4:$E$47,MATCH('_Supporto Listone'!B62,Asta!$D$4:$D$47,0)),IF(COUNTIF(Asta!$F$4:$F$47,'_Supporto Listone'!B62)&gt;0,INDEX(Asta!$G$4:$G$47,MATCH('_Supporto Listone'!B62,Asta!$F$4:$F$47,0)),IF(COUNTIF(Asta!$H$4:$H$47,'_Supporto Listone'!B62)&gt;0,INDEX(Asta!$I$4:$I$47,MATCH('_Supporto Listone'!B62,Asta!$H$4:$H$47,0)),IF(COUNTIF(Asta!$J$4:$J$47,'_Supporto Listone'!B62)&gt;0,INDEX(Asta!$K$4:$K$47,MATCH('_Supporto Listone'!B62,Asta!$J$4:$J$47,0)),IF(COUNTIF(Asta!$L$4:$L$47,'_Supporto Listone'!B62)&gt;0,INDEX(Asta!$M$4:$M$47,MATCH('_Supporto Listone'!B62,Asta!$L$4:$L$47,0)),IF(COUNTIF(Asta!$N$4:$N$47,'_Supporto Listone'!B62)&gt;0,INDEX(Asta!$O$4:$O$47,MATCH('_Supporto Listone'!B62,Asta!$N$4:$N$47,0)),IF(COUNTIF(Asta!$P$4:$P$47,'_Supporto Listone'!B62)&gt;0,INDEX(Asta!$Q$4:$Q$47,MATCH('_Supporto Listone'!B62,Asta!$P$4:$P$47,0)),IF(COUNTIF(Asta!$R$4:$R$47,'_Supporto Listone'!B62)&gt;0,INDEX(Asta!$S$4:$S$47,MATCH('_Supporto Listone'!B62,Asta!$R$4:$R$47,0)),IF(COUNTIF(Asta!$T$4:$T$47,'_Supporto Listone'!B62)&gt;0,INDEX(Asta!$U$4:$U$47,MATCH('_Supporto Listone'!B62,Asta!$T$4:$T$47,0)),""))))))))))</x:f>
      </x:c>
    </x:row>
    <x:row r="63">
      <x:c r="A63" s="425" t="str">
        <x:f>IF($J63&lt;&gt;"",REGEXREPLACE(TO_TEXT('_Supporto Listone'!A63),"(.)","$1"&amp;UNICHAR(822)),'_Supporto Listone'!A63)</x:f>
        <x:v>P</x:v>
      </x:c>
      <x:c r="B63" s="423" t="str">
        <x:f>IF($J63&lt;&gt;"",REGEXREPLACE(TO_TEXT('_Supporto Listone'!B63),"(.)","$1"&amp;UNICHAR(822)),'_Supporto Listone'!B63)</x:f>
        <x:v>Padelli</x:v>
      </x:c>
      <x:c r="C63" s="423" t="str">
        <x:f>IF($J63&lt;&gt;"",REGEXREPLACE(TO_TEXT('_Supporto Listone'!C63),"(.)","$1"&amp;UNICHAR(822)),'_Supporto Listone'!C63)</x:f>
        <x:v>Udinese</x:v>
      </x:c>
      <x:c r="D63" s="423" t="str">
        <x:f>IF($J63&lt;&gt;"",REGEXREPLACE(TO_TEXT('_Supporto Listone'!D63),"(.)","$1"&amp;UNICHAR(822)),'_Supporto Listone'!D63)</x:f>
        <x:v>Por</x:v>
      </x:c>
      <x:c r="E63" s="423" t="str">
        <x:f>IF($J63&lt;&gt;"",REGEXREPLACE(TO_TEXT('_Supporto Listone'!E63),"(.)","$1"&amp;UNICHAR(822)),'_Supporto Listone'!E63)</x:f>
        <x:v>Riserva / rotazione</x:v>
      </x:c>
      <x:c r="F63" s="458" t="n">
        <x:f>IF($J63&lt;&gt;"",REGEXREPLACE(TO_TEXT('_Supporto Listone'!F63),"(.)","$1"&amp;UNICHAR(822)),'_Supporto Listone'!F63)</x:f>
        <x:v>1</x:v>
      </x:c>
      <x:c r="G63" s="458" t="n">
        <x:f>IF($J63&lt;&gt;"",REGEXREPLACE(TO_TEXT('_Supporto Listone'!G63),"(.)","$1"&amp;UNICHAR(822)),'_Supporto Listone'!G63)</x:f>
        <x:v>1</x:v>
      </x:c>
      <x:c r="H63" s="458" t="n">
        <x:f>IF($J63&lt;&gt;"",REGEXREPLACE(TO_TEXT('_Supporto Listone'!H63),"(.)","$1"&amp;UNICHAR(822)),'_Supporto Listone'!H63)</x:f>
        <x:v>1</x:v>
      </x:c>
      <x:c r="I63" s="422"/>
      <x:c r="J63" s="423" t="str">
        <x:f>IF(COUNTIF(Asta!$B$4:$B$47,'_Supporto Listone'!B63)&gt;0,"Simone",IF(COUNTIF(Asta!$D$4:$D$47,'_Supporto Listone'!B63)&gt;0,"Giacomo",IF(COUNTIF(Asta!$F$4:$F$47,'_Supporto Listone'!B63)&gt;0,"Niko",IF(COUNTIF(Asta!$H$4:$H$47,'_Supporto Listone'!B63)&gt;0,"Quici",IF(COUNTIF(Asta!$J$4:$J$47,'_Supporto Listone'!B63)&gt;0,"Fratello Quici",IF(COUNTIF(Asta!$L$4:$L$47,'_Supporto Listone'!B63)&gt;0,"Nicolò",IF(COUNTIF(Asta!$N$4:$N$47,'_Supporto Listone'!B63)&gt;0,"Vi",IF(COUNTIF(Asta!$P$4:$P$47,'_Supporto Listone'!B63)&gt;0,"Lore",IF(COUNTIF(Asta!$R$4:$R$47,'_Supporto Listone'!B63)&gt;0,"Robbo",IF(COUNTIF(Asta!$T$4:$T$47,'_Supporto Listone'!B63)&gt;0,"Ale",""))))))))))</x:f>
      </x:c>
      <x:c r="K63" s="489" t="str">
        <x:f>IF(COUNTIF(Asta!$B$4:$B$47,'_Supporto Listone'!B63)&gt;0,INDEX(Asta!$C$4:$C$47,MATCH('_Supporto Listone'!B63,Asta!$B$4:$B$47,0)),IF(COUNTIF(Asta!$D$4:$D$47,'_Supporto Listone'!B63)&gt;0,INDEX(Asta!$E$4:$E$47,MATCH('_Supporto Listone'!B63,Asta!$D$4:$D$47,0)),IF(COUNTIF(Asta!$F$4:$F$47,'_Supporto Listone'!B63)&gt;0,INDEX(Asta!$G$4:$G$47,MATCH('_Supporto Listone'!B63,Asta!$F$4:$F$47,0)),IF(COUNTIF(Asta!$H$4:$H$47,'_Supporto Listone'!B63)&gt;0,INDEX(Asta!$I$4:$I$47,MATCH('_Supporto Listone'!B63,Asta!$H$4:$H$47,0)),IF(COUNTIF(Asta!$J$4:$J$47,'_Supporto Listone'!B63)&gt;0,INDEX(Asta!$K$4:$K$47,MATCH('_Supporto Listone'!B63,Asta!$J$4:$J$47,0)),IF(COUNTIF(Asta!$L$4:$L$47,'_Supporto Listone'!B63)&gt;0,INDEX(Asta!$M$4:$M$47,MATCH('_Supporto Listone'!B63,Asta!$L$4:$L$47,0)),IF(COUNTIF(Asta!$N$4:$N$47,'_Supporto Listone'!B63)&gt;0,INDEX(Asta!$O$4:$O$47,MATCH('_Supporto Listone'!B63,Asta!$N$4:$N$47,0)),IF(COUNTIF(Asta!$P$4:$P$47,'_Supporto Listone'!B63)&gt;0,INDEX(Asta!$Q$4:$Q$47,MATCH('_Supporto Listone'!B63,Asta!$P$4:$P$47,0)),IF(COUNTIF(Asta!$R$4:$R$47,'_Supporto Listone'!B63)&gt;0,INDEX(Asta!$S$4:$S$47,MATCH('_Supporto Listone'!B63,Asta!$R$4:$R$47,0)),IF(COUNTIF(Asta!$T$4:$T$47,'_Supporto Listone'!B63)&gt;0,INDEX(Asta!$U$4:$U$47,MATCH('_Supporto Listone'!B63,Asta!$T$4:$T$47,0)),""))))))))))</x:f>
      </x:c>
    </x:row>
    <x:row r="64">
      <x:c r="A64" s="425" t="str">
        <x:f>IF($J64&lt;&gt;"",REGEXREPLACE(TO_TEXT('_Supporto Listone'!A64),"(.)","$1"&amp;UNICHAR(822)),'_Supporto Listone'!A64)</x:f>
        <x:v>P</x:v>
      </x:c>
      <x:c r="B64" s="423" t="str">
        <x:f>IF($J64&lt;&gt;"",REGEXREPLACE(TO_TEXT('_Supporto Listone'!B64),"(.)","$1"&amp;UNICHAR(822)),'_Supporto Listone'!B64)</x:f>
        <x:v>Piana</x:v>
      </x:c>
      <x:c r="C64" s="423" t="str">
        <x:f>IF($J64&lt;&gt;"",REGEXREPLACE(TO_TEXT('_Supporto Listone'!C64),"(.)","$1"&amp;UNICHAR(822)),'_Supporto Listone'!C64)</x:f>
        <x:v>Udinese</x:v>
      </x:c>
      <x:c r="D64" s="423" t="str">
        <x:f>IF($J64&lt;&gt;"",REGEXREPLACE(TO_TEXT('_Supporto Listone'!D64),"(.)","$1"&amp;UNICHAR(822)),'_Supporto Listone'!D64)</x:f>
        <x:v>Por</x:v>
      </x:c>
      <x:c r="E64" s="423" t="str">
        <x:f>IF($J64&lt;&gt;"",REGEXREPLACE(TO_TEXT('_Supporto Listone'!E64),"(.)","$1"&amp;UNICHAR(822)),'_Supporto Listone'!E64)</x:f>
        <x:v>Riserva / rotazione</x:v>
      </x:c>
      <x:c r="F64" s="458" t="n">
        <x:f>IF($J64&lt;&gt;"",REGEXREPLACE(TO_TEXT('_Supporto Listone'!F64),"(.)","$1"&amp;UNICHAR(822)),'_Supporto Listone'!F64)</x:f>
        <x:v>1</x:v>
      </x:c>
      <x:c r="G64" s="458" t="n">
        <x:f>IF($J64&lt;&gt;"",REGEXREPLACE(TO_TEXT('_Supporto Listone'!G64),"(.)","$1"&amp;UNICHAR(822)),'_Supporto Listone'!G64)</x:f>
        <x:v>1</x:v>
      </x:c>
      <x:c r="H64" s="458" t="n">
        <x:f>IF($J64&lt;&gt;"",REGEXREPLACE(TO_TEXT('_Supporto Listone'!H64),"(.)","$1"&amp;UNICHAR(822)),'_Supporto Listone'!H64)</x:f>
        <x:v>1</x:v>
      </x:c>
      <x:c r="I64" s="422"/>
      <x:c r="J64" s="423" t="str">
        <x:f>IF(COUNTIF(Asta!$B$4:$B$47,'_Supporto Listone'!B64)&gt;0,"Simone",IF(COUNTIF(Asta!$D$4:$D$47,'_Supporto Listone'!B64)&gt;0,"Giacomo",IF(COUNTIF(Asta!$F$4:$F$47,'_Supporto Listone'!B64)&gt;0,"Niko",IF(COUNTIF(Asta!$H$4:$H$47,'_Supporto Listone'!B64)&gt;0,"Quici",IF(COUNTIF(Asta!$J$4:$J$47,'_Supporto Listone'!B64)&gt;0,"Fratello Quici",IF(COUNTIF(Asta!$L$4:$L$47,'_Supporto Listone'!B64)&gt;0,"Nicolò",IF(COUNTIF(Asta!$N$4:$N$47,'_Supporto Listone'!B64)&gt;0,"Vi",IF(COUNTIF(Asta!$P$4:$P$47,'_Supporto Listone'!B64)&gt;0,"Lore",IF(COUNTIF(Asta!$R$4:$R$47,'_Supporto Listone'!B64)&gt;0,"Robbo",IF(COUNTIF(Asta!$T$4:$T$47,'_Supporto Listone'!B64)&gt;0,"Ale",""))))))))))</x:f>
      </x:c>
      <x:c r="K64" s="489" t="str">
        <x:f>IF(COUNTIF(Asta!$B$4:$B$47,'_Supporto Listone'!B64)&gt;0,INDEX(Asta!$C$4:$C$47,MATCH('_Supporto Listone'!B64,Asta!$B$4:$B$47,0)),IF(COUNTIF(Asta!$D$4:$D$47,'_Supporto Listone'!B64)&gt;0,INDEX(Asta!$E$4:$E$47,MATCH('_Supporto Listone'!B64,Asta!$D$4:$D$47,0)),IF(COUNTIF(Asta!$F$4:$F$47,'_Supporto Listone'!B64)&gt;0,INDEX(Asta!$G$4:$G$47,MATCH('_Supporto Listone'!B64,Asta!$F$4:$F$47,0)),IF(COUNTIF(Asta!$H$4:$H$47,'_Supporto Listone'!B64)&gt;0,INDEX(Asta!$I$4:$I$47,MATCH('_Supporto Listone'!B64,Asta!$H$4:$H$47,0)),IF(COUNTIF(Asta!$J$4:$J$47,'_Supporto Listone'!B64)&gt;0,INDEX(Asta!$K$4:$K$47,MATCH('_Supporto Listone'!B64,Asta!$J$4:$J$47,0)),IF(COUNTIF(Asta!$L$4:$L$47,'_Supporto Listone'!B64)&gt;0,INDEX(Asta!$M$4:$M$47,MATCH('_Supporto Listone'!B64,Asta!$L$4:$L$47,0)),IF(COUNTIF(Asta!$N$4:$N$47,'_Supporto Listone'!B64)&gt;0,INDEX(Asta!$O$4:$O$47,MATCH('_Supporto Listone'!B64,Asta!$N$4:$N$47,0)),IF(COUNTIF(Asta!$P$4:$P$47,'_Supporto Listone'!B64)&gt;0,INDEX(Asta!$Q$4:$Q$47,MATCH('_Supporto Listone'!B64,Asta!$P$4:$P$47,0)),IF(COUNTIF(Asta!$R$4:$R$47,'_Supporto Listone'!B64)&gt;0,INDEX(Asta!$S$4:$S$47,MATCH('_Supporto Listone'!B64,Asta!$R$4:$R$47,0)),IF(COUNTIF(Asta!$T$4:$T$47,'_Supporto Listone'!B64)&gt;0,INDEX(Asta!$U$4:$U$47,MATCH('_Supporto Listone'!B64,Asta!$T$4:$T$47,0)),""))))))))))</x:f>
      </x:c>
    </x:row>
    <x:row r="65">
      <x:c r="A65" s="425" t="str">
        <x:f>IF($J65&lt;&gt;"",REGEXREPLACE(TO_TEXT('_Supporto Listone'!A65),"(.)","$1"&amp;UNICHAR(822)),'_Supporto Listone'!A65)</x:f>
        <x:v>P</x:v>
      </x:c>
      <x:c r="B65" s="423" t="str">
        <x:f>IF($J65&lt;&gt;"",REGEXREPLACE(TO_TEXT('_Supporto Listone'!B65),"(.)","$1"&amp;UNICHAR(822)),'_Supporto Listone'!B65)</x:f>
        <x:v>Grandi</x:v>
      </x:c>
      <x:c r="C65" s="423" t="str">
        <x:f>IF($J65&lt;&gt;"",REGEXREPLACE(TO_TEXT('_Supporto Listone'!C65),"(.)","$1"&amp;UNICHAR(822)),'_Supporto Listone'!C65)</x:f>
        <x:v>Venezia</x:v>
      </x:c>
      <x:c r="D65" s="423" t="str">
        <x:f>IF($J65&lt;&gt;"",REGEXREPLACE(TO_TEXT('_Supporto Listone'!D65),"(.)","$1"&amp;UNICHAR(822)),'_Supporto Listone'!D65)</x:f>
        <x:v>Por</x:v>
      </x:c>
      <x:c r="E65" s="423" t="str">
        <x:f>IF($J65&lt;&gt;"",REGEXREPLACE(TO_TEXT('_Supporto Listone'!E65),"(.)","$1"&amp;UNICHAR(822)),'_Supporto Listone'!E65)</x:f>
        <x:v>Riserva / rotazione</x:v>
      </x:c>
      <x:c r="F65" s="458" t="n">
        <x:f>IF($J65&lt;&gt;"",REGEXREPLACE(TO_TEXT('_Supporto Listone'!F65),"(.)","$1"&amp;UNICHAR(822)),'_Supporto Listone'!F65)</x:f>
        <x:v>1</x:v>
      </x:c>
      <x:c r="G65" s="458" t="n">
        <x:f>IF($J65&lt;&gt;"",REGEXREPLACE(TO_TEXT('_Supporto Listone'!G65),"(.)","$1"&amp;UNICHAR(822)),'_Supporto Listone'!G65)</x:f>
        <x:v>1</x:v>
      </x:c>
      <x:c r="H65" s="458" t="n">
        <x:f>IF($J65&lt;&gt;"",REGEXREPLACE(TO_TEXT('_Supporto Listone'!H65),"(.)","$1"&amp;UNICHAR(822)),'_Supporto Listone'!H65)</x:f>
        <x:v>1</x:v>
      </x:c>
      <x:c r="I65" s="422"/>
      <x:c r="J65" s="423" t="str">
        <x:f>IF(COUNTIF(Asta!$B$4:$B$47,'_Supporto Listone'!B65)&gt;0,"Simone",IF(COUNTIF(Asta!$D$4:$D$47,'_Supporto Listone'!B65)&gt;0,"Giacomo",IF(COUNTIF(Asta!$F$4:$F$47,'_Supporto Listone'!B65)&gt;0,"Niko",IF(COUNTIF(Asta!$H$4:$H$47,'_Supporto Listone'!B65)&gt;0,"Quici",IF(COUNTIF(Asta!$J$4:$J$47,'_Supporto Listone'!B65)&gt;0,"Fratello Quici",IF(COUNTIF(Asta!$L$4:$L$47,'_Supporto Listone'!B65)&gt;0,"Nicolò",IF(COUNTIF(Asta!$N$4:$N$47,'_Supporto Listone'!B65)&gt;0,"Vi",IF(COUNTIF(Asta!$P$4:$P$47,'_Supporto Listone'!B65)&gt;0,"Lore",IF(COUNTIF(Asta!$R$4:$R$47,'_Supporto Listone'!B65)&gt;0,"Robbo",IF(COUNTIF(Asta!$T$4:$T$47,'_Supporto Listone'!B65)&gt;0,"Ale",""))))))))))</x:f>
      </x:c>
      <x:c r="K65" s="489" t="str">
        <x:f>IF(COUNTIF(Asta!$B$4:$B$47,'_Supporto Listone'!B65)&gt;0,INDEX(Asta!$C$4:$C$47,MATCH('_Supporto Listone'!B65,Asta!$B$4:$B$47,0)),IF(COUNTIF(Asta!$D$4:$D$47,'_Supporto Listone'!B65)&gt;0,INDEX(Asta!$E$4:$E$47,MATCH('_Supporto Listone'!B65,Asta!$D$4:$D$47,0)),IF(COUNTIF(Asta!$F$4:$F$47,'_Supporto Listone'!B65)&gt;0,INDEX(Asta!$G$4:$G$47,MATCH('_Supporto Listone'!B65,Asta!$F$4:$F$47,0)),IF(COUNTIF(Asta!$H$4:$H$47,'_Supporto Listone'!B65)&gt;0,INDEX(Asta!$I$4:$I$47,MATCH('_Supporto Listone'!B65,Asta!$H$4:$H$47,0)),IF(COUNTIF(Asta!$J$4:$J$47,'_Supporto Listone'!B65)&gt;0,INDEX(Asta!$K$4:$K$47,MATCH('_Supporto Listone'!B65,Asta!$J$4:$J$47,0)),IF(COUNTIF(Asta!$L$4:$L$47,'_Supporto Listone'!B65)&gt;0,INDEX(Asta!$M$4:$M$47,MATCH('_Supporto Listone'!B65,Asta!$L$4:$L$47,0)),IF(COUNTIF(Asta!$N$4:$N$47,'_Supporto Listone'!B65)&gt;0,INDEX(Asta!$O$4:$O$47,MATCH('_Supporto Listone'!B65,Asta!$N$4:$N$47,0)),IF(COUNTIF(Asta!$P$4:$P$47,'_Supporto Listone'!B65)&gt;0,INDEX(Asta!$Q$4:$Q$47,MATCH('_Supporto Listone'!B65,Asta!$P$4:$P$47,0)),IF(COUNTIF(Asta!$R$4:$R$47,'_Supporto Listone'!B65)&gt;0,INDEX(Asta!$S$4:$S$47,MATCH('_Supporto Listone'!B65,Asta!$R$4:$R$47,0)),IF(COUNTIF(Asta!$T$4:$T$47,'_Supporto Listone'!B65)&gt;0,INDEX(Asta!$U$4:$U$47,MATCH('_Supporto Listone'!B65,Asta!$T$4:$T$47,0)),""))))))))))</x:f>
      </x:c>
    </x:row>
    <x:row r="66">
      <x:c r="A66" s="426" t="str">
        <x:f>IF($J66&lt;&gt;"",REGEXREPLACE(TO_TEXT('_Supporto Listone'!A66),"(.)","$1"&amp;UNICHAR(822)),'_Supporto Listone'!A66)</x:f>
        <x:v>P</x:v>
      </x:c>
      <x:c r="B66" s="427" t="str">
        <x:f>IF($J66&lt;&gt;"",REGEXREPLACE(TO_TEXT('_Supporto Listone'!B66),"(.)","$1"&amp;UNICHAR(822)),'_Supporto Listone'!B66)</x:f>
        <x:v>Pozzi</x:v>
      </x:c>
      <x:c r="C66" s="427" t="str">
        <x:f>IF($J66&lt;&gt;"",REGEXREPLACE(TO_TEXT('_Supporto Listone'!C66),"(.)","$1"&amp;UNICHAR(822)),'_Supporto Listone'!C66)</x:f>
        <x:v>Venezia</x:v>
      </x:c>
      <x:c r="D66" s="427" t="str">
        <x:f>IF($J66&lt;&gt;"",REGEXREPLACE(TO_TEXT('_Supporto Listone'!D66),"(.)","$1"&amp;UNICHAR(822)),'_Supporto Listone'!D66)</x:f>
        <x:v>Por</x:v>
      </x:c>
      <x:c r="E66" s="427" t="str">
        <x:f>IF($J66&lt;&gt;"",REGEXREPLACE(TO_TEXT('_Supporto Listone'!E66),"(.)","$1"&amp;UNICHAR(822)),'_Supporto Listone'!E66)</x:f>
        <x:v>Riserva / rotazione</x:v>
      </x:c>
      <x:c r="F66" s="459" t="n">
        <x:f>IF($J66&lt;&gt;"",REGEXREPLACE(TO_TEXT('_Supporto Listone'!F66),"(.)","$1"&amp;UNICHAR(822)),'_Supporto Listone'!F66)</x:f>
        <x:v>1</x:v>
      </x:c>
      <x:c r="G66" s="459" t="n">
        <x:f>IF($J66&lt;&gt;"",REGEXREPLACE(TO_TEXT('_Supporto Listone'!G66),"(.)","$1"&amp;UNICHAR(822)),'_Supporto Listone'!G66)</x:f>
        <x:v>1</x:v>
      </x:c>
      <x:c r="H66" s="459" t="n">
        <x:f>IF($J66&lt;&gt;"",REGEXREPLACE(TO_TEXT('_Supporto Listone'!H66),"(.)","$1"&amp;UNICHAR(822)),'_Supporto Listone'!H66)</x:f>
        <x:v>1</x:v>
      </x:c>
      <x:c r="I66" s="428"/>
      <x:c r="J66" s="427" t="str">
        <x:f>IF(COUNTIF(Asta!$B$4:$B$47,'_Supporto Listone'!B66)&gt;0,"Simone",IF(COUNTIF(Asta!$D$4:$D$47,'_Supporto Listone'!B66)&gt;0,"Giacomo",IF(COUNTIF(Asta!$F$4:$F$47,'_Supporto Listone'!B66)&gt;0,"Niko",IF(COUNTIF(Asta!$H$4:$H$47,'_Supporto Listone'!B66)&gt;0,"Quici",IF(COUNTIF(Asta!$J$4:$J$47,'_Supporto Listone'!B66)&gt;0,"Fratello Quici",IF(COUNTIF(Asta!$L$4:$L$47,'_Supporto Listone'!B66)&gt;0,"Nicolò",IF(COUNTIF(Asta!$N$4:$N$47,'_Supporto Listone'!B66)&gt;0,"Vi",IF(COUNTIF(Asta!$P$4:$P$47,'_Supporto Listone'!B66)&gt;0,"Lore",IF(COUNTIF(Asta!$R$4:$R$47,'_Supporto Listone'!B66)&gt;0,"Robbo",IF(COUNTIF(Asta!$T$4:$T$47,'_Supporto Listone'!B66)&gt;0,"Ale",""))))))))))</x:f>
      </x:c>
      <x:c r="K66" s="490" t="str">
        <x:f>IF(COUNTIF(Asta!$B$4:$B$47,'_Supporto Listone'!B66)&gt;0,INDEX(Asta!$C$4:$C$47,MATCH('_Supporto Listone'!B66,Asta!$B$4:$B$47,0)),IF(COUNTIF(Asta!$D$4:$D$47,'_Supporto Listone'!B66)&gt;0,INDEX(Asta!$E$4:$E$47,MATCH('_Supporto Listone'!B66,Asta!$D$4:$D$47,0)),IF(COUNTIF(Asta!$F$4:$F$47,'_Supporto Listone'!B66)&gt;0,INDEX(Asta!$G$4:$G$47,MATCH('_Supporto Listone'!B66,Asta!$F$4:$F$47,0)),IF(COUNTIF(Asta!$H$4:$H$47,'_Supporto Listone'!B66)&gt;0,INDEX(Asta!$I$4:$I$47,MATCH('_Supporto Listone'!B66,Asta!$H$4:$H$47,0)),IF(COUNTIF(Asta!$J$4:$J$47,'_Supporto Listone'!B66)&gt;0,INDEX(Asta!$K$4:$K$47,MATCH('_Supporto Listone'!B66,Asta!$J$4:$J$47,0)),IF(COUNTIF(Asta!$L$4:$L$47,'_Supporto Listone'!B66)&gt;0,INDEX(Asta!$M$4:$M$47,MATCH('_Supporto Listone'!B66,Asta!$L$4:$L$47,0)),IF(COUNTIF(Asta!$N$4:$N$47,'_Supporto Listone'!B66)&gt;0,INDEX(Asta!$O$4:$O$47,MATCH('_Supporto Listone'!B66,Asta!$N$4:$N$47,0)),IF(COUNTIF(Asta!$P$4:$P$47,'_Supporto Listone'!B66)&gt;0,INDEX(Asta!$Q$4:$Q$47,MATCH('_Supporto Listone'!B66,Asta!$P$4:$P$47,0)),IF(COUNTIF(Asta!$R$4:$R$47,'_Supporto Listone'!B66)&gt;0,INDEX(Asta!$S$4:$S$47,MATCH('_Supporto Listone'!B66,Asta!$R$4:$R$47,0)),IF(COUNTIF(Asta!$T$4:$T$47,'_Supporto Listone'!B66)&gt;0,INDEX(Asta!$U$4:$U$47,MATCH('_Supporto Listone'!B66,Asta!$T$4:$T$47,0)),""))))))))))</x:f>
      </x:c>
    </x:row>
    <x:row r="67">
      <x:c r="A67" s="262" t="n"/>
      <x:c r="B67" s="262" t="n"/>
      <x:c r="C67" s="262" t="n"/>
      <x:c r="D67" s="262" t="n"/>
      <x:c r="E67" s="262" t="n"/>
      <x:c r="F67" s="460" t="n"/>
      <x:c r="G67" s="460" t="n"/>
      <x:c r="H67" s="460" t="n"/>
      <x:c r="I67" s="262" t="n"/>
      <x:c r="J67" s="262" t="n"/>
      <x:c r="K67" s="272" t="n"/>
    </x:row>
    <x:row r="68">
      <x:c r="A68" s="491" t="inlineStr">
        <x:is>
          <x:t xml:space="preserve">DIFENSORI</x:t>
        </x:is>
      </x:c>
    </x:row>
    <x:row r="69">
      <x:c r="A69" s="431" t="inlineStr">
        <x:is>
          <x:t xml:space="preserve">Ruolo</x:t>
        </x:is>
      </x:c>
      <x:c r="B69" s="418" t="inlineStr">
        <x:is>
          <x:t xml:space="preserve">Calciatore</x:t>
        </x:is>
      </x:c>
      <x:c r="C69" s="418" t="inlineStr">
        <x:is>
          <x:t xml:space="preserve">Squadra</x:t>
        </x:is>
      </x:c>
      <x:c r="D69" s="418" t="inlineStr">
        <x:is>
          <x:t xml:space="preserve">Posizione specifica</x:t>
        </x:is>
      </x:c>
      <x:c r="E69" s="418" t="inlineStr">
        <x:is>
          <x:t xml:space="preserve">Status</x:t>
        </x:is>
      </x:c>
      <x:c r="F69" s="418" t="inlineStr">
        <x:is>
          <x:t xml:space="preserve">Quotazione</x:t>
        </x:is>
      </x:c>
      <x:c r="G69" s="418" t="inlineStr">
        <x:is>
          <x:t xml:space="preserve">FVM / 1000</x:t>
        </x:is>
      </x:c>
      <x:c r="H69" s="418" t="inlineStr">
        <x:is>
          <x:t xml:space="preserve">FVM su 504</x:t>
        </x:is>
      </x:c>
      <x:c r="I69" s="418" t="inlineStr">
        <x:is>
          <x:t xml:space="preserve">Specialità</x:t>
        </x:is>
      </x:c>
      <x:c r="J69" s="418" t="inlineStr">
        <x:is>
          <x:t xml:space="preserve">Acquistato da</x:t>
        </x:is>
      </x:c>
      <x:c r="K69" s="492" t="inlineStr">
        <x:is>
          <x:t xml:space="preserve">Prezzo asta</x:t>
        </x:is>
      </x:c>
    </x:row>
    <x:row r="70">
      <x:c r="A70" s="432" t="str">
        <x:f>IF($J70&lt;&gt;"",REGEXREPLACE(TO_TEXT('_Supporto Listone'!A70),"(.)","$1"&amp;UNICHAR(822)),'_Supporto Listone'!A70)</x:f>
        <x:v>D</x:v>
      </x:c>
      <x:c r="B70" s="433" t="str">
        <x:f>IF($J70&lt;&gt;"",REGEXREPLACE(TO_TEXT('_Supporto Listone'!B70),"(.)","$1"&amp;UNICHAR(822)),'_Supporto Listone'!B70)</x:f>
        <x:v>Dimarco</x:v>
      </x:c>
      <x:c r="C70" s="433" t="str">
        <x:f>IF($J70&lt;&gt;"",REGEXREPLACE(TO_TEXT('_Supporto Listone'!C70),"(.)","$1"&amp;UNICHAR(822)),'_Supporto Listone'!C70)</x:f>
        <x:v>Inter</x:v>
      </x:c>
      <x:c r="D70" s="433" t="str">
        <x:f>IF($J70&lt;&gt;"",REGEXREPLACE(TO_TEXT('_Supporto Listone'!D70),"(.)","$1"&amp;UNICHAR(822)),'_Supporto Listone'!D70)</x:f>
        <x:v>E;W</x:v>
      </x:c>
      <x:c r="E70" s="433" t="str">
        <x:f>IF($J70&lt;&gt;"",REGEXREPLACE(TO_TEXT('_Supporto Listone'!E70),"(.)","$1"&amp;UNICHAR(822)),'_Supporto Listone'!E70)</x:f>
        <x:v>Titolare</x:v>
      </x:c>
      <x:c r="F70" s="462" t="n">
        <x:f>IF($J70&lt;&gt;"",REGEXREPLACE(TO_TEXT('_Supporto Listone'!F70),"(.)","$1"&amp;UNICHAR(822)),'_Supporto Listone'!F70)</x:f>
        <x:v>32</x:v>
      </x:c>
      <x:c r="G70" s="462" t="n">
        <x:f>IF($J70&lt;&gt;"",REGEXREPLACE(TO_TEXT('_Supporto Listone'!G70),"(.)","$1"&amp;UNICHAR(822)),'_Supporto Listone'!G70)</x:f>
        <x:v>265</x:v>
      </x:c>
      <x:c r="H70" s="462" t="n">
        <x:f>IF($J70&lt;&gt;"",REGEXREPLACE(TO_TEXT('_Supporto Listone'!H70),"(.)","$1"&amp;UNICHAR(822)),'_Supporto Listone'!H70)</x:f>
        <x:v>134</x:v>
      </x:c>
      <x:c r="I70" s="434" t="str">
        <x:f>IF($J70&lt;&gt;"",REGEXREPLACE(TO_TEXT('_Supporto Listone'!I70),"(.)","$1"&amp;UNICHAR(822)),'_Supporto Listone'!I70)</x:f>
        <x:v>Piazzati</x:v>
      </x:c>
      <x:c r="J70" s="433" t="str">
        <x:f>IF(COUNTIF(Asta!$B$4:$B$47,'_Supporto Listone'!B70)&gt;0,"Simone",IF(COUNTIF(Asta!$D$4:$D$47,'_Supporto Listone'!B70)&gt;0,"Giacomo",IF(COUNTIF(Asta!$F$4:$F$47,'_Supporto Listone'!B70)&gt;0,"Niko",IF(COUNTIF(Asta!$H$4:$H$47,'_Supporto Listone'!B70)&gt;0,"Quici",IF(COUNTIF(Asta!$J$4:$J$47,'_Supporto Listone'!B70)&gt;0,"Fratello Quici",IF(COUNTIF(Asta!$L$4:$L$47,'_Supporto Listone'!B70)&gt;0,"Nicolò",IF(COUNTIF(Asta!$N$4:$N$47,'_Supporto Listone'!B70)&gt;0,"Vi",IF(COUNTIF(Asta!$P$4:$P$47,'_Supporto Listone'!B70)&gt;0,"Lore",IF(COUNTIF(Asta!$R$4:$R$47,'_Supporto Listone'!B70)&gt;0,"Robbo",IF(COUNTIF(Asta!$T$4:$T$47,'_Supporto Listone'!B70)&gt;0,"Ale",""))))))))))</x:f>
      </x:c>
      <x:c r="K70" s="493" t="str">
        <x:f>IF(COUNTIF(Asta!$B$4:$B$47,'_Supporto Listone'!B70)&gt;0,INDEX(Asta!$C$4:$C$47,MATCH('_Supporto Listone'!B70,Asta!$B$4:$B$47,0)),IF(COUNTIF(Asta!$D$4:$D$47,'_Supporto Listone'!B70)&gt;0,INDEX(Asta!$E$4:$E$47,MATCH('_Supporto Listone'!B70,Asta!$D$4:$D$47,0)),IF(COUNTIF(Asta!$F$4:$F$47,'_Supporto Listone'!B70)&gt;0,INDEX(Asta!$G$4:$G$47,MATCH('_Supporto Listone'!B70,Asta!$F$4:$F$47,0)),IF(COUNTIF(Asta!$H$4:$H$47,'_Supporto Listone'!B70)&gt;0,INDEX(Asta!$I$4:$I$47,MATCH('_Supporto Listone'!B70,Asta!$H$4:$H$47,0)),IF(COUNTIF(Asta!$J$4:$J$47,'_Supporto Listone'!B70)&gt;0,INDEX(Asta!$K$4:$K$47,MATCH('_Supporto Listone'!B70,Asta!$J$4:$J$47,0)),IF(COUNTIF(Asta!$L$4:$L$47,'_Supporto Listone'!B70)&gt;0,INDEX(Asta!$M$4:$M$47,MATCH('_Supporto Listone'!B70,Asta!$L$4:$L$47,0)),IF(COUNTIF(Asta!$N$4:$N$47,'_Supporto Listone'!B70)&gt;0,INDEX(Asta!$O$4:$O$47,MATCH('_Supporto Listone'!B70,Asta!$N$4:$N$47,0)),IF(COUNTIF(Asta!$P$4:$P$47,'_Supporto Listone'!B70)&gt;0,INDEX(Asta!$Q$4:$Q$47,MATCH('_Supporto Listone'!B70,Asta!$P$4:$P$47,0)),IF(COUNTIF(Asta!$R$4:$R$47,'_Supporto Listone'!B70)&gt;0,INDEX(Asta!$S$4:$S$47,MATCH('_Supporto Listone'!B70,Asta!$R$4:$R$47,0)),IF(COUNTIF(Asta!$T$4:$T$47,'_Supporto Listone'!B70)&gt;0,INDEX(Asta!$U$4:$U$47,MATCH('_Supporto Listone'!B70,Asta!$T$4:$T$47,0)),""))))))))))</x:f>
      </x:c>
    </x:row>
    <x:row r="71">
      <x:c r="A71" s="432" t="str">
        <x:f>IF($J71&lt;&gt;"",REGEXREPLACE(TO_TEXT('_Supporto Listone'!A71),"(.)","$1"&amp;UNICHAR(822)),'_Supporto Listone'!A71)</x:f>
        <x:v>D</x:v>
      </x:c>
      <x:c r="B71" s="433" t="str">
        <x:f>IF($J71&lt;&gt;"",REGEXREPLACE(TO_TEXT('_Supporto Listone'!B71),"(.)","$1"&amp;UNICHAR(822)),'_Supporto Listone'!B71)</x:f>
        <x:v>Wesley</x:v>
      </x:c>
      <x:c r="C71" s="433" t="str">
        <x:f>IF($J71&lt;&gt;"",REGEXREPLACE(TO_TEXT('_Supporto Listone'!C71),"(.)","$1"&amp;UNICHAR(822)),'_Supporto Listone'!C71)</x:f>
        <x:v>Roma</x:v>
      </x:c>
      <x:c r="D71" s="433" t="str">
        <x:f>IF($J71&lt;&gt;"",REGEXREPLACE(TO_TEXT('_Supporto Listone'!D71),"(.)","$1"&amp;UNICHAR(822)),'_Supporto Listone'!D71)</x:f>
        <x:v>E</x:v>
      </x:c>
      <x:c r="E71" s="433" t="str">
        <x:f>IF($J71&lt;&gt;"",REGEXREPLACE(TO_TEXT('_Supporto Listone'!E71),"(.)","$1"&amp;UNICHAR(822)),'_Supporto Listone'!E71)</x:f>
        <x:v>Titolare</x:v>
      </x:c>
      <x:c r="F71" s="462" t="n">
        <x:f>IF($J71&lt;&gt;"",REGEXREPLACE(TO_TEXT('_Supporto Listone'!F71),"(.)","$1"&amp;UNICHAR(822)),'_Supporto Listone'!F71)</x:f>
        <x:v>17</x:v>
      </x:c>
      <x:c r="G71" s="462" t="n">
        <x:f>IF($J71&lt;&gt;"",REGEXREPLACE(TO_TEXT('_Supporto Listone'!G71),"(.)","$1"&amp;UNICHAR(822)),'_Supporto Listone'!G71)</x:f>
        <x:v>90</x:v>
      </x:c>
      <x:c r="H71" s="462" t="n">
        <x:f>IF($J71&lt;&gt;"",REGEXREPLACE(TO_TEXT('_Supporto Listone'!H71),"(.)","$1"&amp;UNICHAR(822)),'_Supporto Listone'!H71)</x:f>
        <x:v>45</x:v>
      </x:c>
      <x:c r="I71" s="434"/>
      <x:c r="J71" s="433" t="str">
        <x:f>IF(COUNTIF(Asta!$B$4:$B$47,'_Supporto Listone'!B71)&gt;0,"Simone",IF(COUNTIF(Asta!$D$4:$D$47,'_Supporto Listone'!B71)&gt;0,"Giacomo",IF(COUNTIF(Asta!$F$4:$F$47,'_Supporto Listone'!B71)&gt;0,"Niko",IF(COUNTIF(Asta!$H$4:$H$47,'_Supporto Listone'!B71)&gt;0,"Quici",IF(COUNTIF(Asta!$J$4:$J$47,'_Supporto Listone'!B71)&gt;0,"Fratello Quici",IF(COUNTIF(Asta!$L$4:$L$47,'_Supporto Listone'!B71)&gt;0,"Nicolò",IF(COUNTIF(Asta!$N$4:$N$47,'_Supporto Listone'!B71)&gt;0,"Vi",IF(COUNTIF(Asta!$P$4:$P$47,'_Supporto Listone'!B71)&gt;0,"Lore",IF(COUNTIF(Asta!$R$4:$R$47,'_Supporto Listone'!B71)&gt;0,"Robbo",IF(COUNTIF(Asta!$T$4:$T$47,'_Supporto Listone'!B71)&gt;0,"Ale",""))))))))))</x:f>
      </x:c>
      <x:c r="K71" s="493" t="str">
        <x:f>IF(COUNTIF(Asta!$B$4:$B$47,'_Supporto Listone'!B71)&gt;0,INDEX(Asta!$C$4:$C$47,MATCH('_Supporto Listone'!B71,Asta!$B$4:$B$47,0)),IF(COUNTIF(Asta!$D$4:$D$47,'_Supporto Listone'!B71)&gt;0,INDEX(Asta!$E$4:$E$47,MATCH('_Supporto Listone'!B71,Asta!$D$4:$D$47,0)),IF(COUNTIF(Asta!$F$4:$F$47,'_Supporto Listone'!B71)&gt;0,INDEX(Asta!$G$4:$G$47,MATCH('_Supporto Listone'!B71,Asta!$F$4:$F$47,0)),IF(COUNTIF(Asta!$H$4:$H$47,'_Supporto Listone'!B71)&gt;0,INDEX(Asta!$I$4:$I$47,MATCH('_Supporto Listone'!B71,Asta!$H$4:$H$47,0)),IF(COUNTIF(Asta!$J$4:$J$47,'_Supporto Listone'!B71)&gt;0,INDEX(Asta!$K$4:$K$47,MATCH('_Supporto Listone'!B71,Asta!$J$4:$J$47,0)),IF(COUNTIF(Asta!$L$4:$L$47,'_Supporto Listone'!B71)&gt;0,INDEX(Asta!$M$4:$M$47,MATCH('_Supporto Listone'!B71,Asta!$L$4:$L$47,0)),IF(COUNTIF(Asta!$N$4:$N$47,'_Supporto Listone'!B71)&gt;0,INDEX(Asta!$O$4:$O$47,MATCH('_Supporto Listone'!B71,Asta!$N$4:$N$47,0)),IF(COUNTIF(Asta!$P$4:$P$47,'_Supporto Listone'!B71)&gt;0,INDEX(Asta!$Q$4:$Q$47,MATCH('_Supporto Listone'!B71,Asta!$P$4:$P$47,0)),IF(COUNTIF(Asta!$R$4:$R$47,'_Supporto Listone'!B71)&gt;0,INDEX(Asta!$S$4:$S$47,MATCH('_Supporto Listone'!B71,Asta!$R$4:$R$47,0)),IF(COUNTIF(Asta!$T$4:$T$47,'_Supporto Listone'!B71)&gt;0,INDEX(Asta!$U$4:$U$47,MATCH('_Supporto Listone'!B71,Asta!$T$4:$T$47,0)),""))))))))))</x:f>
      </x:c>
    </x:row>
    <x:row r="72">
      <x:c r="A72" s="432" t="str">
        <x:f>IF($J72&lt;&gt;"",REGEXREPLACE(TO_TEXT('_Supporto Listone'!A72),"(.)","$1"&amp;UNICHAR(822)),'_Supporto Listone'!A72)</x:f>
        <x:v>D</x:v>
      </x:c>
      <x:c r="B72" s="433" t="str">
        <x:f>IF($J72&lt;&gt;"",REGEXREPLACE(TO_TEXT('_Supporto Listone'!B72),"(.)","$1"&amp;UNICHAR(822)),'_Supporto Listone'!B72)</x:f>
        <x:v>Akanji</x:v>
      </x:c>
      <x:c r="C72" s="433" t="str">
        <x:f>IF($J72&lt;&gt;"",REGEXREPLACE(TO_TEXT('_Supporto Listone'!C72),"(.)","$1"&amp;UNICHAR(822)),'_Supporto Listone'!C72)</x:f>
        <x:v>Inter</x:v>
      </x:c>
      <x:c r="D72" s="433" t="str">
        <x:f>IF($J72&lt;&gt;"",REGEXREPLACE(TO_TEXT('_Supporto Listone'!D72),"(.)","$1"&amp;UNICHAR(822)),'_Supporto Listone'!D72)</x:f>
        <x:v>Dc</x:v>
      </x:c>
      <x:c r="E72" s="433" t="str">
        <x:f>IF($J72&lt;&gt;"",REGEXREPLACE(TO_TEXT('_Supporto Listone'!E72),"(.)","$1"&amp;UNICHAR(822)),'_Supporto Listone'!E72)</x:f>
        <x:v>Titolare</x:v>
      </x:c>
      <x:c r="F72" s="462" t="n">
        <x:f>IF($J72&lt;&gt;"",REGEXREPLACE(TO_TEXT('_Supporto Listone'!F72),"(.)","$1"&amp;UNICHAR(822)),'_Supporto Listone'!F72)</x:f>
        <x:v>16</x:v>
      </x:c>
      <x:c r="G72" s="462" t="n">
        <x:f>IF($J72&lt;&gt;"",REGEXREPLACE(TO_TEXT('_Supporto Listone'!G72),"(.)","$1"&amp;UNICHAR(822)),'_Supporto Listone'!G72)</x:f>
        <x:v>55</x:v>
      </x:c>
      <x:c r="H72" s="462" t="n">
        <x:f>IF($J72&lt;&gt;"",REGEXREPLACE(TO_TEXT('_Supporto Listone'!H72),"(.)","$1"&amp;UNICHAR(822)),'_Supporto Listone'!H72)</x:f>
        <x:v>28</x:v>
      </x:c>
      <x:c r="I72" s="434"/>
      <x:c r="J72" s="433" t="str">
        <x:f>IF(COUNTIF(Asta!$B$4:$B$47,'_Supporto Listone'!B72)&gt;0,"Simone",IF(COUNTIF(Asta!$D$4:$D$47,'_Supporto Listone'!B72)&gt;0,"Giacomo",IF(COUNTIF(Asta!$F$4:$F$47,'_Supporto Listone'!B72)&gt;0,"Niko",IF(COUNTIF(Asta!$H$4:$H$47,'_Supporto Listone'!B72)&gt;0,"Quici",IF(COUNTIF(Asta!$J$4:$J$47,'_Supporto Listone'!B72)&gt;0,"Fratello Quici",IF(COUNTIF(Asta!$L$4:$L$47,'_Supporto Listone'!B72)&gt;0,"Nicolò",IF(COUNTIF(Asta!$N$4:$N$47,'_Supporto Listone'!B72)&gt;0,"Vi",IF(COUNTIF(Asta!$P$4:$P$47,'_Supporto Listone'!B72)&gt;0,"Lore",IF(COUNTIF(Asta!$R$4:$R$47,'_Supporto Listone'!B72)&gt;0,"Robbo",IF(COUNTIF(Asta!$T$4:$T$47,'_Supporto Listone'!B72)&gt;0,"Ale",""))))))))))</x:f>
      </x:c>
      <x:c r="K72" s="493" t="str">
        <x:f>IF(COUNTIF(Asta!$B$4:$B$47,'_Supporto Listone'!B72)&gt;0,INDEX(Asta!$C$4:$C$47,MATCH('_Supporto Listone'!B72,Asta!$B$4:$B$47,0)),IF(COUNTIF(Asta!$D$4:$D$47,'_Supporto Listone'!B72)&gt;0,INDEX(Asta!$E$4:$E$47,MATCH('_Supporto Listone'!B72,Asta!$D$4:$D$47,0)),IF(COUNTIF(Asta!$F$4:$F$47,'_Supporto Listone'!B72)&gt;0,INDEX(Asta!$G$4:$G$47,MATCH('_Supporto Listone'!B72,Asta!$F$4:$F$47,0)),IF(COUNTIF(Asta!$H$4:$H$47,'_Supporto Listone'!B72)&gt;0,INDEX(Asta!$I$4:$I$47,MATCH('_Supporto Listone'!B72,Asta!$H$4:$H$47,0)),IF(COUNTIF(Asta!$J$4:$J$47,'_Supporto Listone'!B72)&gt;0,INDEX(Asta!$K$4:$K$47,MATCH('_Supporto Listone'!B72,Asta!$J$4:$J$47,0)),IF(COUNTIF(Asta!$L$4:$L$47,'_Supporto Listone'!B72)&gt;0,INDEX(Asta!$M$4:$M$47,MATCH('_Supporto Listone'!B72,Asta!$L$4:$L$47,0)),IF(COUNTIF(Asta!$N$4:$N$47,'_Supporto Listone'!B72)&gt;0,INDEX(Asta!$O$4:$O$47,MATCH('_Supporto Listone'!B72,Asta!$N$4:$N$47,0)),IF(COUNTIF(Asta!$P$4:$P$47,'_Supporto Listone'!B72)&gt;0,INDEX(Asta!$Q$4:$Q$47,MATCH('_Supporto Listone'!B72,Asta!$P$4:$P$47,0)),IF(COUNTIF(Asta!$R$4:$R$47,'_Supporto Listone'!B72)&gt;0,INDEX(Asta!$S$4:$S$47,MATCH('_Supporto Listone'!B72,Asta!$R$4:$R$47,0)),IF(COUNTIF(Asta!$T$4:$T$47,'_Supporto Listone'!B72)&gt;0,INDEX(Asta!$U$4:$U$47,MATCH('_Supporto Listone'!B72,Asta!$T$4:$T$47,0)),""))))))))))</x:f>
      </x:c>
    </x:row>
    <x:row r="73">
      <x:c r="A73" s="432" t="str">
        <x:f>IF($J73&lt;&gt;"",REGEXREPLACE(TO_TEXT('_Supporto Listone'!A73),"(.)","$1"&amp;UNICHAR(822)),'_Supporto Listone'!A73)</x:f>
        <x:v>D</x:v>
      </x:c>
      <x:c r="B73" s="433" t="str">
        <x:f>IF($J73&lt;&gt;"",REGEXREPLACE(TO_TEXT('_Supporto Listone'!B73),"(.)","$1"&amp;UNICHAR(822)),'_Supporto Listone'!B73)</x:f>
        <x:v>Bremer</x:v>
      </x:c>
      <x:c r="C73" s="433" t="str">
        <x:f>IF($J73&lt;&gt;"",REGEXREPLACE(TO_TEXT('_Supporto Listone'!C73),"(.)","$1"&amp;UNICHAR(822)),'_Supporto Listone'!C73)</x:f>
        <x:v>Juventus</x:v>
      </x:c>
      <x:c r="D73" s="433" t="str">
        <x:f>IF($J73&lt;&gt;"",REGEXREPLACE(TO_TEXT('_Supporto Listone'!D73),"(.)","$1"&amp;UNICHAR(822)),'_Supporto Listone'!D73)</x:f>
        <x:v>Dc</x:v>
      </x:c>
      <x:c r="E73" s="433" t="str">
        <x:f>IF($J73&lt;&gt;"",REGEXREPLACE(TO_TEXT('_Supporto Listone'!E73),"(.)","$1"&amp;UNICHAR(822)),'_Supporto Listone'!E73)</x:f>
        <x:v>Titolare</x:v>
      </x:c>
      <x:c r="F73" s="462" t="n">
        <x:f>IF($J73&lt;&gt;"",REGEXREPLACE(TO_TEXT('_Supporto Listone'!F73),"(.)","$1"&amp;UNICHAR(822)),'_Supporto Listone'!F73)</x:f>
        <x:v>15</x:v>
      </x:c>
      <x:c r="G73" s="462" t="n">
        <x:f>IF($J73&lt;&gt;"",REGEXREPLACE(TO_TEXT('_Supporto Listone'!G73),"(.)","$1"&amp;UNICHAR(822)),'_Supporto Listone'!G73)</x:f>
        <x:v>50</x:v>
      </x:c>
      <x:c r="H73" s="462" t="n">
        <x:f>IF($J73&lt;&gt;"",REGEXREPLACE(TO_TEXT('_Supporto Listone'!H73),"(.)","$1"&amp;UNICHAR(822)),'_Supporto Listone'!H73)</x:f>
        <x:v>25</x:v>
      </x:c>
      <x:c r="I73" s="434"/>
      <x:c r="J73" s="433" t="str">
        <x:f>IF(COUNTIF(Asta!$B$4:$B$47,'_Supporto Listone'!B73)&gt;0,"Simone",IF(COUNTIF(Asta!$D$4:$D$47,'_Supporto Listone'!B73)&gt;0,"Giacomo",IF(COUNTIF(Asta!$F$4:$F$47,'_Supporto Listone'!B73)&gt;0,"Niko",IF(COUNTIF(Asta!$H$4:$H$47,'_Supporto Listone'!B73)&gt;0,"Quici",IF(COUNTIF(Asta!$J$4:$J$47,'_Supporto Listone'!B73)&gt;0,"Fratello Quici",IF(COUNTIF(Asta!$L$4:$L$47,'_Supporto Listone'!B73)&gt;0,"Nicolò",IF(COUNTIF(Asta!$N$4:$N$47,'_Supporto Listone'!B73)&gt;0,"Vi",IF(COUNTIF(Asta!$P$4:$P$47,'_Supporto Listone'!B73)&gt;0,"Lore",IF(COUNTIF(Asta!$R$4:$R$47,'_Supporto Listone'!B73)&gt;0,"Robbo",IF(COUNTIF(Asta!$T$4:$T$47,'_Supporto Listone'!B73)&gt;0,"Ale",""))))))))))</x:f>
      </x:c>
      <x:c r="K73" s="493" t="str">
        <x:f>IF(COUNTIF(Asta!$B$4:$B$47,'_Supporto Listone'!B73)&gt;0,INDEX(Asta!$C$4:$C$47,MATCH('_Supporto Listone'!B73,Asta!$B$4:$B$47,0)),IF(COUNTIF(Asta!$D$4:$D$47,'_Supporto Listone'!B73)&gt;0,INDEX(Asta!$E$4:$E$47,MATCH('_Supporto Listone'!B73,Asta!$D$4:$D$47,0)),IF(COUNTIF(Asta!$F$4:$F$47,'_Supporto Listone'!B73)&gt;0,INDEX(Asta!$G$4:$G$47,MATCH('_Supporto Listone'!B73,Asta!$F$4:$F$47,0)),IF(COUNTIF(Asta!$H$4:$H$47,'_Supporto Listone'!B73)&gt;0,INDEX(Asta!$I$4:$I$47,MATCH('_Supporto Listone'!B73,Asta!$H$4:$H$47,0)),IF(COUNTIF(Asta!$J$4:$J$47,'_Supporto Listone'!B73)&gt;0,INDEX(Asta!$K$4:$K$47,MATCH('_Supporto Listone'!B73,Asta!$J$4:$J$47,0)),IF(COUNTIF(Asta!$L$4:$L$47,'_Supporto Listone'!B73)&gt;0,INDEX(Asta!$M$4:$M$47,MATCH('_Supporto Listone'!B73,Asta!$L$4:$L$47,0)),IF(COUNTIF(Asta!$N$4:$N$47,'_Supporto Listone'!B73)&gt;0,INDEX(Asta!$O$4:$O$47,MATCH('_Supporto Listone'!B73,Asta!$N$4:$N$47,0)),IF(COUNTIF(Asta!$P$4:$P$47,'_Supporto Listone'!B73)&gt;0,INDEX(Asta!$Q$4:$Q$47,MATCH('_Supporto Listone'!B73,Asta!$P$4:$P$47,0)),IF(COUNTIF(Asta!$R$4:$R$47,'_Supporto Listone'!B73)&gt;0,INDEX(Asta!$S$4:$S$47,MATCH('_Supporto Listone'!B73,Asta!$R$4:$R$47,0)),IF(COUNTIF(Asta!$T$4:$T$47,'_Supporto Listone'!B73)&gt;0,INDEX(Asta!$U$4:$U$47,MATCH('_Supporto Listone'!B73,Asta!$T$4:$T$47,0)),""))))))))))</x:f>
      </x:c>
    </x:row>
    <x:row r="74">
      <x:c r="A74" s="432" t="str">
        <x:f>IF($J74&lt;&gt;"",REGEXREPLACE(TO_TEXT('_Supporto Listone'!A74),"(.)","$1"&amp;UNICHAR(822)),'_Supporto Listone'!A74)</x:f>
        <x:v>D</x:v>
      </x:c>
      <x:c r="B74" s="433" t="str">
        <x:f>IF($J74&lt;&gt;"",REGEXREPLACE(TO_TEXT('_Supporto Listone'!B74),"(.)","$1"&amp;UNICHAR(822)),'_Supporto Listone'!B74)</x:f>
        <x:v>Mancini</x:v>
      </x:c>
      <x:c r="C74" s="433" t="str">
        <x:f>IF($J74&lt;&gt;"",REGEXREPLACE(TO_TEXT('_Supporto Listone'!C74),"(.)","$1"&amp;UNICHAR(822)),'_Supporto Listone'!C74)</x:f>
        <x:v>Roma</x:v>
      </x:c>
      <x:c r="D74" s="433" t="str">
        <x:f>IF($J74&lt;&gt;"",REGEXREPLACE(TO_TEXT('_Supporto Listone'!D74),"(.)","$1"&amp;UNICHAR(822)),'_Supporto Listone'!D74)</x:f>
        <x:v>Dc</x:v>
      </x:c>
      <x:c r="E74" s="433" t="str">
        <x:f>IF($J74&lt;&gt;"",REGEXREPLACE(TO_TEXT('_Supporto Listone'!E74),"(.)","$1"&amp;UNICHAR(822)),'_Supporto Listone'!E74)</x:f>
        <x:v>Titolare</x:v>
      </x:c>
      <x:c r="F74" s="462" t="n">
        <x:f>IF($J74&lt;&gt;"",REGEXREPLACE(TO_TEXT('_Supporto Listone'!F74),"(.)","$1"&amp;UNICHAR(822)),'_Supporto Listone'!F74)</x:f>
        <x:v>15</x:v>
      </x:c>
      <x:c r="G74" s="462" t="n">
        <x:f>IF($J74&lt;&gt;"",REGEXREPLACE(TO_TEXT('_Supporto Listone'!G74),"(.)","$1"&amp;UNICHAR(822)),'_Supporto Listone'!G74)</x:f>
        <x:v>49</x:v>
      </x:c>
      <x:c r="H74" s="462" t="n">
        <x:f>IF($J74&lt;&gt;"",REGEXREPLACE(TO_TEXT('_Supporto Listone'!H74),"(.)","$1"&amp;UNICHAR(822)),'_Supporto Listone'!H74)</x:f>
        <x:v>25</x:v>
      </x:c>
      <x:c r="I74" s="434"/>
      <x:c r="J74" s="433" t="str">
        <x:f>IF(COUNTIF(Asta!$B$4:$B$47,'_Supporto Listone'!B74)&gt;0,"Simone",IF(COUNTIF(Asta!$D$4:$D$47,'_Supporto Listone'!B74)&gt;0,"Giacomo",IF(COUNTIF(Asta!$F$4:$F$47,'_Supporto Listone'!B74)&gt;0,"Niko",IF(COUNTIF(Asta!$H$4:$H$47,'_Supporto Listone'!B74)&gt;0,"Quici",IF(COUNTIF(Asta!$J$4:$J$47,'_Supporto Listone'!B74)&gt;0,"Fratello Quici",IF(COUNTIF(Asta!$L$4:$L$47,'_Supporto Listone'!B74)&gt;0,"Nicolò",IF(COUNTIF(Asta!$N$4:$N$47,'_Supporto Listone'!B74)&gt;0,"Vi",IF(COUNTIF(Asta!$P$4:$P$47,'_Supporto Listone'!B74)&gt;0,"Lore",IF(COUNTIF(Asta!$R$4:$R$47,'_Supporto Listone'!B74)&gt;0,"Robbo",IF(COUNTIF(Asta!$T$4:$T$47,'_Supporto Listone'!B74)&gt;0,"Ale",""))))))))))</x:f>
      </x:c>
      <x:c r="K74" s="493" t="str">
        <x:f>IF(COUNTIF(Asta!$B$4:$B$47,'_Supporto Listone'!B74)&gt;0,INDEX(Asta!$C$4:$C$47,MATCH('_Supporto Listone'!B74,Asta!$B$4:$B$47,0)),IF(COUNTIF(Asta!$D$4:$D$47,'_Supporto Listone'!B74)&gt;0,INDEX(Asta!$E$4:$E$47,MATCH('_Supporto Listone'!B74,Asta!$D$4:$D$47,0)),IF(COUNTIF(Asta!$F$4:$F$47,'_Supporto Listone'!B74)&gt;0,INDEX(Asta!$G$4:$G$47,MATCH('_Supporto Listone'!B74,Asta!$F$4:$F$47,0)),IF(COUNTIF(Asta!$H$4:$H$47,'_Supporto Listone'!B74)&gt;0,INDEX(Asta!$I$4:$I$47,MATCH('_Supporto Listone'!B74,Asta!$H$4:$H$47,0)),IF(COUNTIF(Asta!$J$4:$J$47,'_Supporto Listone'!B74)&gt;0,INDEX(Asta!$K$4:$K$47,MATCH('_Supporto Listone'!B74,Asta!$J$4:$J$47,0)),IF(COUNTIF(Asta!$L$4:$L$47,'_Supporto Listone'!B74)&gt;0,INDEX(Asta!$M$4:$M$47,MATCH('_Supporto Listone'!B74,Asta!$L$4:$L$47,0)),IF(COUNTIF(Asta!$N$4:$N$47,'_Supporto Listone'!B74)&gt;0,INDEX(Asta!$O$4:$O$47,MATCH('_Supporto Listone'!B74,Asta!$N$4:$N$47,0)),IF(COUNTIF(Asta!$P$4:$P$47,'_Supporto Listone'!B74)&gt;0,INDEX(Asta!$Q$4:$Q$47,MATCH('_Supporto Listone'!B74,Asta!$P$4:$P$47,0)),IF(COUNTIF(Asta!$R$4:$R$47,'_Supporto Listone'!B74)&gt;0,INDEX(Asta!$S$4:$S$47,MATCH('_Supporto Listone'!B74,Asta!$R$4:$R$47,0)),IF(COUNTIF(Asta!$T$4:$T$47,'_Supporto Listone'!B74)&gt;0,INDEX(Asta!$U$4:$U$47,MATCH('_Supporto Listone'!B74,Asta!$T$4:$T$47,0)),""))))))))))</x:f>
      </x:c>
    </x:row>
    <x:row r="75">
      <x:c r="A75" s="432" t="str">
        <x:f>IF($J75&lt;&gt;"",REGEXREPLACE(TO_TEXT('_Supporto Listone'!A75),"(.)","$1"&amp;UNICHAR(822)),'_Supporto Listone'!A75)</x:f>
        <x:v>D</x:v>
      </x:c>
      <x:c r="B75" s="433" t="str">
        <x:f>IF($J75&lt;&gt;"",REGEXREPLACE(TO_TEXT('_Supporto Listone'!B75),"(.)","$1"&amp;UNICHAR(822)),'_Supporto Listone'!B75)</x:f>
        <x:v>Bastoni</x:v>
      </x:c>
      <x:c r="C75" s="433" t="str">
        <x:f>IF($J75&lt;&gt;"",REGEXREPLACE(TO_TEXT('_Supporto Listone'!C75),"(.)","$1"&amp;UNICHAR(822)),'_Supporto Listone'!C75)</x:f>
        <x:v>Inter</x:v>
      </x:c>
      <x:c r="D75" s="433" t="str">
        <x:f>IF($J75&lt;&gt;"",REGEXREPLACE(TO_TEXT('_Supporto Listone'!D75),"(.)","$1"&amp;UNICHAR(822)),'_Supporto Listone'!D75)</x:f>
        <x:v>Dc</x:v>
      </x:c>
      <x:c r="E75" s="433" t="str">
        <x:f>IF($J75&lt;&gt;"",REGEXREPLACE(TO_TEXT('_Supporto Listone'!E75),"(.)","$1"&amp;UNICHAR(822)),'_Supporto Listone'!E75)</x:f>
        <x:v>Titolare</x:v>
      </x:c>
      <x:c r="F75" s="462" t="n">
        <x:f>IF($J75&lt;&gt;"",REGEXREPLACE(TO_TEXT('_Supporto Listone'!F75),"(.)","$1"&amp;UNICHAR(822)),'_Supporto Listone'!F75)</x:f>
        <x:v>14</x:v>
      </x:c>
      <x:c r="G75" s="462" t="n">
        <x:f>IF($J75&lt;&gt;"",REGEXREPLACE(TO_TEXT('_Supporto Listone'!G75),"(.)","$1"&amp;UNICHAR(822)),'_Supporto Listone'!G75)</x:f>
        <x:v>44</x:v>
      </x:c>
      <x:c r="H75" s="462" t="n">
        <x:f>IF($J75&lt;&gt;"",REGEXREPLACE(TO_TEXT('_Supporto Listone'!H75),"(.)","$1"&amp;UNICHAR(822)),'_Supporto Listone'!H75)</x:f>
        <x:v>22</x:v>
      </x:c>
      <x:c r="I75" s="434"/>
      <x:c r="J75" s="433" t="str">
        <x:f>IF(COUNTIF(Asta!$B$4:$B$47,'_Supporto Listone'!B75)&gt;0,"Simone",IF(COUNTIF(Asta!$D$4:$D$47,'_Supporto Listone'!B75)&gt;0,"Giacomo",IF(COUNTIF(Asta!$F$4:$F$47,'_Supporto Listone'!B75)&gt;0,"Niko",IF(COUNTIF(Asta!$H$4:$H$47,'_Supporto Listone'!B75)&gt;0,"Quici",IF(COUNTIF(Asta!$J$4:$J$47,'_Supporto Listone'!B75)&gt;0,"Fratello Quici",IF(COUNTIF(Asta!$L$4:$L$47,'_Supporto Listone'!B75)&gt;0,"Nicolò",IF(COUNTIF(Asta!$N$4:$N$47,'_Supporto Listone'!B75)&gt;0,"Vi",IF(COUNTIF(Asta!$P$4:$P$47,'_Supporto Listone'!B75)&gt;0,"Lore",IF(COUNTIF(Asta!$R$4:$R$47,'_Supporto Listone'!B75)&gt;0,"Robbo",IF(COUNTIF(Asta!$T$4:$T$47,'_Supporto Listone'!B75)&gt;0,"Ale",""))))))))))</x:f>
      </x:c>
      <x:c r="K75" s="493" t="str">
        <x:f>IF(COUNTIF(Asta!$B$4:$B$47,'_Supporto Listone'!B75)&gt;0,INDEX(Asta!$C$4:$C$47,MATCH('_Supporto Listone'!B75,Asta!$B$4:$B$47,0)),IF(COUNTIF(Asta!$D$4:$D$47,'_Supporto Listone'!B75)&gt;0,INDEX(Asta!$E$4:$E$47,MATCH('_Supporto Listone'!B75,Asta!$D$4:$D$47,0)),IF(COUNTIF(Asta!$F$4:$F$47,'_Supporto Listone'!B75)&gt;0,INDEX(Asta!$G$4:$G$47,MATCH('_Supporto Listone'!B75,Asta!$F$4:$F$47,0)),IF(COUNTIF(Asta!$H$4:$H$47,'_Supporto Listone'!B75)&gt;0,INDEX(Asta!$I$4:$I$47,MATCH('_Supporto Listone'!B75,Asta!$H$4:$H$47,0)),IF(COUNTIF(Asta!$J$4:$J$47,'_Supporto Listone'!B75)&gt;0,INDEX(Asta!$K$4:$K$47,MATCH('_Supporto Listone'!B75,Asta!$J$4:$J$47,0)),IF(COUNTIF(Asta!$L$4:$L$47,'_Supporto Listone'!B75)&gt;0,INDEX(Asta!$M$4:$M$47,MATCH('_Supporto Listone'!B75,Asta!$L$4:$L$47,0)),IF(COUNTIF(Asta!$N$4:$N$47,'_Supporto Listone'!B75)&gt;0,INDEX(Asta!$O$4:$O$47,MATCH('_Supporto Listone'!B75,Asta!$N$4:$N$47,0)),IF(COUNTIF(Asta!$P$4:$P$47,'_Supporto Listone'!B75)&gt;0,INDEX(Asta!$Q$4:$Q$47,MATCH('_Supporto Listone'!B75,Asta!$P$4:$P$47,0)),IF(COUNTIF(Asta!$R$4:$R$47,'_Supporto Listone'!B75)&gt;0,INDEX(Asta!$S$4:$S$47,MATCH('_Supporto Listone'!B75,Asta!$R$4:$R$47,0)),IF(COUNTIF(Asta!$T$4:$T$47,'_Supporto Listone'!B75)&gt;0,INDEX(Asta!$U$4:$U$47,MATCH('_Supporto Listone'!B75,Asta!$T$4:$T$47,0)),""))))))))))</x:f>
      </x:c>
    </x:row>
    <x:row r="76">
      <x:c r="A76" s="432" t="str">
        <x:f>IF($J76&lt;&gt;"",REGEXREPLACE(TO_TEXT('_Supporto Listone'!A76),"(.)","$1"&amp;UNICHAR(822)),'_Supporto Listone'!A76)</x:f>
        <x:v>D</x:v>
      </x:c>
      <x:c r="B76" s="433" t="str">
        <x:f>IF($J76&lt;&gt;"",REGEXREPLACE(TO_TEXT('_Supporto Listone'!B76),"(.)","$1"&amp;UNICHAR(822)),'_Supporto Listone'!B76)</x:f>
        <x:v>Pavlovic</x:v>
      </x:c>
      <x:c r="C76" s="433" t="str">
        <x:f>IF($J76&lt;&gt;"",REGEXREPLACE(TO_TEXT('_Supporto Listone'!C76),"(.)","$1"&amp;UNICHAR(822)),'_Supporto Listone'!C76)</x:f>
        <x:v>Milan</x:v>
      </x:c>
      <x:c r="D76" s="433" t="str">
        <x:f>IF($J76&lt;&gt;"",REGEXREPLACE(TO_TEXT('_Supporto Listone'!D76),"(.)","$1"&amp;UNICHAR(822)),'_Supporto Listone'!D76)</x:f>
        <x:v>Dc</x:v>
      </x:c>
      <x:c r="E76" s="433" t="str">
        <x:f>IF($J76&lt;&gt;"",REGEXREPLACE(TO_TEXT('_Supporto Listone'!E76),"(.)","$1"&amp;UNICHAR(822)),'_Supporto Listone'!E76)</x:f>
        <x:v>Titolare</x:v>
      </x:c>
      <x:c r="F76" s="462" t="n">
        <x:f>IF($J76&lt;&gt;"",REGEXREPLACE(TO_TEXT('_Supporto Listone'!F76),"(.)","$1"&amp;UNICHAR(822)),'_Supporto Listone'!F76)</x:f>
        <x:v>14</x:v>
      </x:c>
      <x:c r="G76" s="462" t="n">
        <x:f>IF($J76&lt;&gt;"",REGEXREPLACE(TO_TEXT('_Supporto Listone'!G76),"(.)","$1"&amp;UNICHAR(822)),'_Supporto Listone'!G76)</x:f>
        <x:v>48</x:v>
      </x:c>
      <x:c r="H76" s="462" t="n">
        <x:f>IF($J76&lt;&gt;"",REGEXREPLACE(TO_TEXT('_Supporto Listone'!H76),"(.)","$1"&amp;UNICHAR(822)),'_Supporto Listone'!H76)</x:f>
        <x:v>24</x:v>
      </x:c>
      <x:c r="I76" s="434"/>
      <x:c r="J76" s="433" t="str">
        <x:f>IF(COUNTIF(Asta!$B$4:$B$47,'_Supporto Listone'!B76)&gt;0,"Simone",IF(COUNTIF(Asta!$D$4:$D$47,'_Supporto Listone'!B76)&gt;0,"Giacomo",IF(COUNTIF(Asta!$F$4:$F$47,'_Supporto Listone'!B76)&gt;0,"Niko",IF(COUNTIF(Asta!$H$4:$H$47,'_Supporto Listone'!B76)&gt;0,"Quici",IF(COUNTIF(Asta!$J$4:$J$47,'_Supporto Listone'!B76)&gt;0,"Fratello Quici",IF(COUNTIF(Asta!$L$4:$L$47,'_Supporto Listone'!B76)&gt;0,"Nicolò",IF(COUNTIF(Asta!$N$4:$N$47,'_Supporto Listone'!B76)&gt;0,"Vi",IF(COUNTIF(Asta!$P$4:$P$47,'_Supporto Listone'!B76)&gt;0,"Lore",IF(COUNTIF(Asta!$R$4:$R$47,'_Supporto Listone'!B76)&gt;0,"Robbo",IF(COUNTIF(Asta!$T$4:$T$47,'_Supporto Listone'!B76)&gt;0,"Ale",""))))))))))</x:f>
      </x:c>
      <x:c r="K76" s="493" t="str">
        <x:f>IF(COUNTIF(Asta!$B$4:$B$47,'_Supporto Listone'!B76)&gt;0,INDEX(Asta!$C$4:$C$47,MATCH('_Supporto Listone'!B76,Asta!$B$4:$B$47,0)),IF(COUNTIF(Asta!$D$4:$D$47,'_Supporto Listone'!B76)&gt;0,INDEX(Asta!$E$4:$E$47,MATCH('_Supporto Listone'!B76,Asta!$D$4:$D$47,0)),IF(COUNTIF(Asta!$F$4:$F$47,'_Supporto Listone'!B76)&gt;0,INDEX(Asta!$G$4:$G$47,MATCH('_Supporto Listone'!B76,Asta!$F$4:$F$47,0)),IF(COUNTIF(Asta!$H$4:$H$47,'_Supporto Listone'!B76)&gt;0,INDEX(Asta!$I$4:$I$47,MATCH('_Supporto Listone'!B76,Asta!$H$4:$H$47,0)),IF(COUNTIF(Asta!$J$4:$J$47,'_Supporto Listone'!B76)&gt;0,INDEX(Asta!$K$4:$K$47,MATCH('_Supporto Listone'!B76,Asta!$J$4:$J$47,0)),IF(COUNTIF(Asta!$L$4:$L$47,'_Supporto Listone'!B76)&gt;0,INDEX(Asta!$M$4:$M$47,MATCH('_Supporto Listone'!B76,Asta!$L$4:$L$47,0)),IF(COUNTIF(Asta!$N$4:$N$47,'_Supporto Listone'!B76)&gt;0,INDEX(Asta!$O$4:$O$47,MATCH('_Supporto Listone'!B76,Asta!$N$4:$N$47,0)),IF(COUNTIF(Asta!$P$4:$P$47,'_Supporto Listone'!B76)&gt;0,INDEX(Asta!$Q$4:$Q$47,MATCH('_Supporto Listone'!B76,Asta!$P$4:$P$47,0)),IF(COUNTIF(Asta!$R$4:$R$47,'_Supporto Listone'!B76)&gt;0,INDEX(Asta!$S$4:$S$47,MATCH('_Supporto Listone'!B76,Asta!$R$4:$R$47,0)),IF(COUNTIF(Asta!$T$4:$T$47,'_Supporto Listone'!B76)&gt;0,INDEX(Asta!$U$4:$U$47,MATCH('_Supporto Listone'!B76,Asta!$T$4:$T$47,0)),""))))))))))</x:f>
      </x:c>
    </x:row>
    <x:row r="77">
      <x:c r="A77" s="432" t="str">
        <x:f>IF($J77&lt;&gt;"",REGEXREPLACE(TO_TEXT('_Supporto Listone'!A77),"(.)","$1"&amp;UNICHAR(822)),'_Supporto Listone'!A77)</x:f>
        <x:v>D</x:v>
      </x:c>
      <x:c r="B77" s="433" t="str">
        <x:f>IF($J77&lt;&gt;"",REGEXREPLACE(TO_TEXT('_Supporto Listone'!B77),"(.)","$1"&amp;UNICHAR(822)),'_Supporto Listone'!B77)</x:f>
        <x:v>Rrahmani</x:v>
      </x:c>
      <x:c r="C77" s="433" t="str">
        <x:f>IF($J77&lt;&gt;"",REGEXREPLACE(TO_TEXT('_Supporto Listone'!C77),"(.)","$1"&amp;UNICHAR(822)),'_Supporto Listone'!C77)</x:f>
        <x:v>Napoli</x:v>
      </x:c>
      <x:c r="D77" s="433" t="str">
        <x:f>IF($J77&lt;&gt;"",REGEXREPLACE(TO_TEXT('_Supporto Listone'!D77),"(.)","$1"&amp;UNICHAR(822)),'_Supporto Listone'!D77)</x:f>
        <x:v>Dc</x:v>
      </x:c>
      <x:c r="E77" s="433" t="str">
        <x:f>IF($J77&lt;&gt;"",REGEXREPLACE(TO_TEXT('_Supporto Listone'!E77),"(.)","$1"&amp;UNICHAR(822)),'_Supporto Listone'!E77)</x:f>
        <x:v>Titolare</x:v>
      </x:c>
      <x:c r="F77" s="462" t="n">
        <x:f>IF($J77&lt;&gt;"",REGEXREPLACE(TO_TEXT('_Supporto Listone'!F77),"(.)","$1"&amp;UNICHAR(822)),'_Supporto Listone'!F77)</x:f>
        <x:v>14</x:v>
      </x:c>
      <x:c r="G77" s="462" t="n">
        <x:f>IF($J77&lt;&gt;"",REGEXREPLACE(TO_TEXT('_Supporto Listone'!G77),"(.)","$1"&amp;UNICHAR(822)),'_Supporto Listone'!G77)</x:f>
        <x:v>47</x:v>
      </x:c>
      <x:c r="H77" s="462" t="n">
        <x:f>IF($J77&lt;&gt;"",REGEXREPLACE(TO_TEXT('_Supporto Listone'!H77),"(.)","$1"&amp;UNICHAR(822)),'_Supporto Listone'!H77)</x:f>
        <x:v>24</x:v>
      </x:c>
      <x:c r="I77" s="434"/>
      <x:c r="J77" s="433" t="str">
        <x:f>IF(COUNTIF(Asta!$B$4:$B$47,'_Supporto Listone'!B77)&gt;0,"Simone",IF(COUNTIF(Asta!$D$4:$D$47,'_Supporto Listone'!B77)&gt;0,"Giacomo",IF(COUNTIF(Asta!$F$4:$F$47,'_Supporto Listone'!B77)&gt;0,"Niko",IF(COUNTIF(Asta!$H$4:$H$47,'_Supporto Listone'!B77)&gt;0,"Quici",IF(COUNTIF(Asta!$J$4:$J$47,'_Supporto Listone'!B77)&gt;0,"Fratello Quici",IF(COUNTIF(Asta!$L$4:$L$47,'_Supporto Listone'!B77)&gt;0,"Nicolò",IF(COUNTIF(Asta!$N$4:$N$47,'_Supporto Listone'!B77)&gt;0,"Vi",IF(COUNTIF(Asta!$P$4:$P$47,'_Supporto Listone'!B77)&gt;0,"Lore",IF(COUNTIF(Asta!$R$4:$R$47,'_Supporto Listone'!B77)&gt;0,"Robbo",IF(COUNTIF(Asta!$T$4:$T$47,'_Supporto Listone'!B77)&gt;0,"Ale",""))))))))))</x:f>
      </x:c>
      <x:c r="K77" s="493" t="str">
        <x:f>IF(COUNTIF(Asta!$B$4:$B$47,'_Supporto Listone'!B77)&gt;0,INDEX(Asta!$C$4:$C$47,MATCH('_Supporto Listone'!B77,Asta!$B$4:$B$47,0)),IF(COUNTIF(Asta!$D$4:$D$47,'_Supporto Listone'!B77)&gt;0,INDEX(Asta!$E$4:$E$47,MATCH('_Supporto Listone'!B77,Asta!$D$4:$D$47,0)),IF(COUNTIF(Asta!$F$4:$F$47,'_Supporto Listone'!B77)&gt;0,INDEX(Asta!$G$4:$G$47,MATCH('_Supporto Listone'!B77,Asta!$F$4:$F$47,0)),IF(COUNTIF(Asta!$H$4:$H$47,'_Supporto Listone'!B77)&gt;0,INDEX(Asta!$I$4:$I$47,MATCH('_Supporto Listone'!B77,Asta!$H$4:$H$47,0)),IF(COUNTIF(Asta!$J$4:$J$47,'_Supporto Listone'!B77)&gt;0,INDEX(Asta!$K$4:$K$47,MATCH('_Supporto Listone'!B77,Asta!$J$4:$J$47,0)),IF(COUNTIF(Asta!$L$4:$L$47,'_Supporto Listone'!B77)&gt;0,INDEX(Asta!$M$4:$M$47,MATCH('_Supporto Listone'!B77,Asta!$L$4:$L$47,0)),IF(COUNTIF(Asta!$N$4:$N$47,'_Supporto Listone'!B77)&gt;0,INDEX(Asta!$O$4:$O$47,MATCH('_Supporto Listone'!B77,Asta!$N$4:$N$47,0)),IF(COUNTIF(Asta!$P$4:$P$47,'_Supporto Listone'!B77)&gt;0,INDEX(Asta!$Q$4:$Q$47,MATCH('_Supporto Listone'!B77,Asta!$P$4:$P$47,0)),IF(COUNTIF(Asta!$R$4:$R$47,'_Supporto Listone'!B77)&gt;0,INDEX(Asta!$S$4:$S$47,MATCH('_Supporto Listone'!B77,Asta!$R$4:$R$47,0)),IF(COUNTIF(Asta!$T$4:$T$47,'_Supporto Listone'!B77)&gt;0,INDEX(Asta!$U$4:$U$47,MATCH('_Supporto Listone'!B77,Asta!$T$4:$T$47,0)),""))))))))))</x:f>
      </x:c>
    </x:row>
    <x:row r="78">
      <x:c r="A78" s="432" t="str">
        <x:f>IF($J78&lt;&gt;"",REGEXREPLACE(TO_TEXT('_Supporto Listone'!A78),"(.)","$1"&amp;UNICHAR(822)),'_Supporto Listone'!A78)</x:f>
        <x:v>D</x:v>
      </x:c>
      <x:c r="B78" s="433" t="str">
        <x:f>IF($J78&lt;&gt;"",REGEXREPLACE(TO_TEXT('_Supporto Listone'!B78),"(.)","$1"&amp;UNICHAR(822)),'_Supporto Listone'!B78)</x:f>
        <x:v>Kalulu</x:v>
      </x:c>
      <x:c r="C78" s="433" t="str">
        <x:f>IF($J78&lt;&gt;"",REGEXREPLACE(TO_TEXT('_Supporto Listone'!C78),"(.)","$1"&amp;UNICHAR(822)),'_Supporto Listone'!C78)</x:f>
        <x:v>Juventus</x:v>
      </x:c>
      <x:c r="D78" s="433" t="str">
        <x:f>IF($J78&lt;&gt;"",REGEXREPLACE(TO_TEXT('_Supporto Listone'!D78),"(.)","$1"&amp;UNICHAR(822)),'_Supporto Listone'!D78)</x:f>
        <x:v>Dd;Dc</x:v>
      </x:c>
      <x:c r="E78" s="433" t="str">
        <x:f>IF($J78&lt;&gt;"",REGEXREPLACE(TO_TEXT('_Supporto Listone'!E78),"(.)","$1"&amp;UNICHAR(822)),'_Supporto Listone'!E78)</x:f>
        <x:v>Titolare</x:v>
      </x:c>
      <x:c r="F78" s="462" t="n">
        <x:f>IF($J78&lt;&gt;"",REGEXREPLACE(TO_TEXT('_Supporto Listone'!F78),"(.)","$1"&amp;UNICHAR(822)),'_Supporto Listone'!F78)</x:f>
        <x:v>13</x:v>
      </x:c>
      <x:c r="G78" s="462" t="n">
        <x:f>IF($J78&lt;&gt;"",REGEXREPLACE(TO_TEXT('_Supporto Listone'!G78),"(.)","$1"&amp;UNICHAR(822)),'_Supporto Listone'!G78)</x:f>
        <x:v>46</x:v>
      </x:c>
      <x:c r="H78" s="462" t="n">
        <x:f>IF($J78&lt;&gt;"",REGEXREPLACE(TO_TEXT('_Supporto Listone'!H78),"(.)","$1"&amp;UNICHAR(822)),'_Supporto Listone'!H78)</x:f>
        <x:v>23</x:v>
      </x:c>
      <x:c r="I78" s="434"/>
      <x:c r="J78" s="433" t="str">
        <x:f>IF(COUNTIF(Asta!$B$4:$B$47,'_Supporto Listone'!B78)&gt;0,"Simone",IF(COUNTIF(Asta!$D$4:$D$47,'_Supporto Listone'!B78)&gt;0,"Giacomo",IF(COUNTIF(Asta!$F$4:$F$47,'_Supporto Listone'!B78)&gt;0,"Niko",IF(COUNTIF(Asta!$H$4:$H$47,'_Supporto Listone'!B78)&gt;0,"Quici",IF(COUNTIF(Asta!$J$4:$J$47,'_Supporto Listone'!B78)&gt;0,"Fratello Quici",IF(COUNTIF(Asta!$L$4:$L$47,'_Supporto Listone'!B78)&gt;0,"Nicolò",IF(COUNTIF(Asta!$N$4:$N$47,'_Supporto Listone'!B78)&gt;0,"Vi",IF(COUNTIF(Asta!$P$4:$P$47,'_Supporto Listone'!B78)&gt;0,"Lore",IF(COUNTIF(Asta!$R$4:$R$47,'_Supporto Listone'!B78)&gt;0,"Robbo",IF(COUNTIF(Asta!$T$4:$T$47,'_Supporto Listone'!B78)&gt;0,"Ale",""))))))))))</x:f>
      </x:c>
      <x:c r="K78" s="493" t="str">
        <x:f>IF(COUNTIF(Asta!$B$4:$B$47,'_Supporto Listone'!B78)&gt;0,INDEX(Asta!$C$4:$C$47,MATCH('_Supporto Listone'!B78,Asta!$B$4:$B$47,0)),IF(COUNTIF(Asta!$D$4:$D$47,'_Supporto Listone'!B78)&gt;0,INDEX(Asta!$E$4:$E$47,MATCH('_Supporto Listone'!B78,Asta!$D$4:$D$47,0)),IF(COUNTIF(Asta!$F$4:$F$47,'_Supporto Listone'!B78)&gt;0,INDEX(Asta!$G$4:$G$47,MATCH('_Supporto Listone'!B78,Asta!$F$4:$F$47,0)),IF(COUNTIF(Asta!$H$4:$H$47,'_Supporto Listone'!B78)&gt;0,INDEX(Asta!$I$4:$I$47,MATCH('_Supporto Listone'!B78,Asta!$H$4:$H$47,0)),IF(COUNTIF(Asta!$J$4:$J$47,'_Supporto Listone'!B78)&gt;0,INDEX(Asta!$K$4:$K$47,MATCH('_Supporto Listone'!B78,Asta!$J$4:$J$47,0)),IF(COUNTIF(Asta!$L$4:$L$47,'_Supporto Listone'!B78)&gt;0,INDEX(Asta!$M$4:$M$47,MATCH('_Supporto Listone'!B78,Asta!$L$4:$L$47,0)),IF(COUNTIF(Asta!$N$4:$N$47,'_Supporto Listone'!B78)&gt;0,INDEX(Asta!$O$4:$O$47,MATCH('_Supporto Listone'!B78,Asta!$N$4:$N$47,0)),IF(COUNTIF(Asta!$P$4:$P$47,'_Supporto Listone'!B78)&gt;0,INDEX(Asta!$Q$4:$Q$47,MATCH('_Supporto Listone'!B78,Asta!$P$4:$P$47,0)),IF(COUNTIF(Asta!$R$4:$R$47,'_Supporto Listone'!B78)&gt;0,INDEX(Asta!$S$4:$S$47,MATCH('_Supporto Listone'!B78,Asta!$R$4:$R$47,0)),IF(COUNTIF(Asta!$T$4:$T$47,'_Supporto Listone'!B78)&gt;0,INDEX(Asta!$U$4:$U$47,MATCH('_Supporto Listone'!B78,Asta!$T$4:$T$47,0)),""))))))))))</x:f>
      </x:c>
    </x:row>
    <x:row r="79">
      <x:c r="A79" s="432" t="str">
        <x:f>IF($J79&lt;&gt;"",REGEXREPLACE(TO_TEXT('_Supporto Listone'!A79),"(.)","$1"&amp;UNICHAR(822)),'_Supporto Listone'!A79)</x:f>
        <x:v>D</x:v>
      </x:c>
      <x:c r="B79" s="433" t="str">
        <x:f>IF($J79&lt;&gt;"",REGEXREPLACE(TO_TEXT('_Supporto Listone'!B79),"(.)","$1"&amp;UNICHAR(822)),'_Supporto Listone'!B79)</x:f>
        <x:v>N'Dicka</x:v>
      </x:c>
      <x:c r="C79" s="433" t="str">
        <x:f>IF($J79&lt;&gt;"",REGEXREPLACE(TO_TEXT('_Supporto Listone'!C79),"(.)","$1"&amp;UNICHAR(822)),'_Supporto Listone'!C79)</x:f>
        <x:v>Roma</x:v>
      </x:c>
      <x:c r="D79" s="433" t="str">
        <x:f>IF($J79&lt;&gt;"",REGEXREPLACE(TO_TEXT('_Supporto Listone'!D79),"(.)","$1"&amp;UNICHAR(822)),'_Supporto Listone'!D79)</x:f>
        <x:v>Dc</x:v>
      </x:c>
      <x:c r="E79" s="433" t="str">
        <x:f>IF($J79&lt;&gt;"",REGEXREPLACE(TO_TEXT('_Supporto Listone'!E79),"(.)","$1"&amp;UNICHAR(822)),'_Supporto Listone'!E79)</x:f>
        <x:v>Titolare</x:v>
      </x:c>
      <x:c r="F79" s="462" t="n">
        <x:f>IF($J79&lt;&gt;"",REGEXREPLACE(TO_TEXT('_Supporto Listone'!F79),"(.)","$1"&amp;UNICHAR(822)),'_Supporto Listone'!F79)</x:f>
        <x:v>13</x:v>
      </x:c>
      <x:c r="G79" s="462" t="n">
        <x:f>IF($J79&lt;&gt;"",REGEXREPLACE(TO_TEXT('_Supporto Listone'!G79),"(.)","$1"&amp;UNICHAR(822)),'_Supporto Listone'!G79)</x:f>
        <x:v>44</x:v>
      </x:c>
      <x:c r="H79" s="462" t="n">
        <x:f>IF($J79&lt;&gt;"",REGEXREPLACE(TO_TEXT('_Supporto Listone'!H79),"(.)","$1"&amp;UNICHAR(822)),'_Supporto Listone'!H79)</x:f>
        <x:v>22</x:v>
      </x:c>
      <x:c r="I79" s="434"/>
      <x:c r="J79" s="433" t="str">
        <x:f>IF(COUNTIF(Asta!$B$4:$B$47,'_Supporto Listone'!B79)&gt;0,"Simone",IF(COUNTIF(Asta!$D$4:$D$47,'_Supporto Listone'!B79)&gt;0,"Giacomo",IF(COUNTIF(Asta!$F$4:$F$47,'_Supporto Listone'!B79)&gt;0,"Niko",IF(COUNTIF(Asta!$H$4:$H$47,'_Supporto Listone'!B79)&gt;0,"Quici",IF(COUNTIF(Asta!$J$4:$J$47,'_Supporto Listone'!B79)&gt;0,"Fratello Quici",IF(COUNTIF(Asta!$L$4:$L$47,'_Supporto Listone'!B79)&gt;0,"Nicolò",IF(COUNTIF(Asta!$N$4:$N$47,'_Supporto Listone'!B79)&gt;0,"Vi",IF(COUNTIF(Asta!$P$4:$P$47,'_Supporto Listone'!B79)&gt;0,"Lore",IF(COUNTIF(Asta!$R$4:$R$47,'_Supporto Listone'!B79)&gt;0,"Robbo",IF(COUNTIF(Asta!$T$4:$T$47,'_Supporto Listone'!B79)&gt;0,"Ale",""))))))))))</x:f>
      </x:c>
      <x:c r="K79" s="493" t="str">
        <x:f>IF(COUNTIF(Asta!$B$4:$B$47,'_Supporto Listone'!B79)&gt;0,INDEX(Asta!$C$4:$C$47,MATCH('_Supporto Listone'!B79,Asta!$B$4:$B$47,0)),IF(COUNTIF(Asta!$D$4:$D$47,'_Supporto Listone'!B79)&gt;0,INDEX(Asta!$E$4:$E$47,MATCH('_Supporto Listone'!B79,Asta!$D$4:$D$47,0)),IF(COUNTIF(Asta!$F$4:$F$47,'_Supporto Listone'!B79)&gt;0,INDEX(Asta!$G$4:$G$47,MATCH('_Supporto Listone'!B79,Asta!$F$4:$F$47,0)),IF(COUNTIF(Asta!$H$4:$H$47,'_Supporto Listone'!B79)&gt;0,INDEX(Asta!$I$4:$I$47,MATCH('_Supporto Listone'!B79,Asta!$H$4:$H$47,0)),IF(COUNTIF(Asta!$J$4:$J$47,'_Supporto Listone'!B79)&gt;0,INDEX(Asta!$K$4:$K$47,MATCH('_Supporto Listone'!B79,Asta!$J$4:$J$47,0)),IF(COUNTIF(Asta!$L$4:$L$47,'_Supporto Listone'!B79)&gt;0,INDEX(Asta!$M$4:$M$47,MATCH('_Supporto Listone'!B79,Asta!$L$4:$L$47,0)),IF(COUNTIF(Asta!$N$4:$N$47,'_Supporto Listone'!B79)&gt;0,INDEX(Asta!$O$4:$O$47,MATCH('_Supporto Listone'!B79,Asta!$N$4:$N$47,0)),IF(COUNTIF(Asta!$P$4:$P$47,'_Supporto Listone'!B79)&gt;0,INDEX(Asta!$Q$4:$Q$47,MATCH('_Supporto Listone'!B79,Asta!$P$4:$P$47,0)),IF(COUNTIF(Asta!$R$4:$R$47,'_Supporto Listone'!B79)&gt;0,INDEX(Asta!$S$4:$S$47,MATCH('_Supporto Listone'!B79,Asta!$R$4:$R$47,0)),IF(COUNTIF(Asta!$T$4:$T$47,'_Supporto Listone'!B79)&gt;0,INDEX(Asta!$U$4:$U$47,MATCH('_Supporto Listone'!B79,Asta!$T$4:$T$47,0)),""))))))))))</x:f>
      </x:c>
    </x:row>
    <x:row r="80">
      <x:c r="A80" s="432" t="str">
        <x:f>IF($J80&lt;&gt;"",REGEXREPLACE(TO_TEXT('_Supporto Listone'!A80),"(.)","$1"&amp;UNICHAR(822)),'_Supporto Listone'!A80)</x:f>
        <x:v>D</x:v>
      </x:c>
      <x:c r="B80" s="433" t="str">
        <x:f>IF($J80&lt;&gt;"",REGEXREPLACE(TO_TEXT('_Supporto Listone'!B80),"(.)","$1"&amp;UNICHAR(822)),'_Supporto Listone'!B80)</x:f>
        <x:v>Solet</x:v>
      </x:c>
      <x:c r="C80" s="433" t="str">
        <x:f>IF($J80&lt;&gt;"",REGEXREPLACE(TO_TEXT('_Supporto Listone'!C80),"(.)","$1"&amp;UNICHAR(822)),'_Supporto Listone'!C80)</x:f>
        <x:v>Udinese</x:v>
      </x:c>
      <x:c r="D80" s="433" t="str">
        <x:f>IF($J80&lt;&gt;"",REGEXREPLACE(TO_TEXT('_Supporto Listone'!D80),"(.)","$1"&amp;UNICHAR(822)),'_Supporto Listone'!D80)</x:f>
        <x:v>Dc</x:v>
      </x:c>
      <x:c r="E80" s="433" t="str">
        <x:f>IF($J80&lt;&gt;"",REGEXREPLACE(TO_TEXT('_Supporto Listone'!E80),"(.)","$1"&amp;UNICHAR(822)),'_Supporto Listone'!E80)</x:f>
        <x:v>Titolare</x:v>
      </x:c>
      <x:c r="F80" s="462" t="n">
        <x:f>IF($J80&lt;&gt;"",REGEXREPLACE(TO_TEXT('_Supporto Listone'!F80),"(.)","$1"&amp;UNICHAR(822)),'_Supporto Listone'!F80)</x:f>
        <x:v>13</x:v>
      </x:c>
      <x:c r="G80" s="462" t="n">
        <x:f>IF($J80&lt;&gt;"",REGEXREPLACE(TO_TEXT('_Supporto Listone'!G80),"(.)","$1"&amp;UNICHAR(822)),'_Supporto Listone'!G80)</x:f>
        <x:v>46</x:v>
      </x:c>
      <x:c r="H80" s="462" t="n">
        <x:f>IF($J80&lt;&gt;"",REGEXREPLACE(TO_TEXT('_Supporto Listone'!H80),"(.)","$1"&amp;UNICHAR(822)),'_Supporto Listone'!H80)</x:f>
        <x:v>23</x:v>
      </x:c>
      <x:c r="I80" s="434" t="str">
        <x:f>IF($J80&lt;&gt;"",REGEXREPLACE(TO_TEXT('_Supporto Listone'!I80),"(.)","$1"&amp;UNICHAR(822)),'_Supporto Listone'!I80)</x:f>
        <x:v>Rigorista</x:v>
      </x:c>
      <x:c r="J80" s="433" t="str">
        <x:f>IF(COUNTIF(Asta!$B$4:$B$47,'_Supporto Listone'!B80)&gt;0,"Simone",IF(COUNTIF(Asta!$D$4:$D$47,'_Supporto Listone'!B80)&gt;0,"Giacomo",IF(COUNTIF(Asta!$F$4:$F$47,'_Supporto Listone'!B80)&gt;0,"Niko",IF(COUNTIF(Asta!$H$4:$H$47,'_Supporto Listone'!B80)&gt;0,"Quici",IF(COUNTIF(Asta!$J$4:$J$47,'_Supporto Listone'!B80)&gt;0,"Fratello Quici",IF(COUNTIF(Asta!$L$4:$L$47,'_Supporto Listone'!B80)&gt;0,"Nicolò",IF(COUNTIF(Asta!$N$4:$N$47,'_Supporto Listone'!B80)&gt;0,"Vi",IF(COUNTIF(Asta!$P$4:$P$47,'_Supporto Listone'!B80)&gt;0,"Lore",IF(COUNTIF(Asta!$R$4:$R$47,'_Supporto Listone'!B80)&gt;0,"Robbo",IF(COUNTIF(Asta!$T$4:$T$47,'_Supporto Listone'!B80)&gt;0,"Ale",""))))))))))</x:f>
      </x:c>
      <x:c r="K80" s="493" t="str">
        <x:f>IF(COUNTIF(Asta!$B$4:$B$47,'_Supporto Listone'!B80)&gt;0,INDEX(Asta!$C$4:$C$47,MATCH('_Supporto Listone'!B80,Asta!$B$4:$B$47,0)),IF(COUNTIF(Asta!$D$4:$D$47,'_Supporto Listone'!B80)&gt;0,INDEX(Asta!$E$4:$E$47,MATCH('_Supporto Listone'!B80,Asta!$D$4:$D$47,0)),IF(COUNTIF(Asta!$F$4:$F$47,'_Supporto Listone'!B80)&gt;0,INDEX(Asta!$G$4:$G$47,MATCH('_Supporto Listone'!B80,Asta!$F$4:$F$47,0)),IF(COUNTIF(Asta!$H$4:$H$47,'_Supporto Listone'!B80)&gt;0,INDEX(Asta!$I$4:$I$47,MATCH('_Supporto Listone'!B80,Asta!$H$4:$H$47,0)),IF(COUNTIF(Asta!$J$4:$J$47,'_Supporto Listone'!B80)&gt;0,INDEX(Asta!$K$4:$K$47,MATCH('_Supporto Listone'!B80,Asta!$J$4:$J$47,0)),IF(COUNTIF(Asta!$L$4:$L$47,'_Supporto Listone'!B80)&gt;0,INDEX(Asta!$M$4:$M$47,MATCH('_Supporto Listone'!B80,Asta!$L$4:$L$47,0)),IF(COUNTIF(Asta!$N$4:$N$47,'_Supporto Listone'!B80)&gt;0,INDEX(Asta!$O$4:$O$47,MATCH('_Supporto Listone'!B80,Asta!$N$4:$N$47,0)),IF(COUNTIF(Asta!$P$4:$P$47,'_Supporto Listone'!B80)&gt;0,INDEX(Asta!$Q$4:$Q$47,MATCH('_Supporto Listone'!B80,Asta!$P$4:$P$47,0)),IF(COUNTIF(Asta!$R$4:$R$47,'_Supporto Listone'!B80)&gt;0,INDEX(Asta!$S$4:$S$47,MATCH('_Supporto Listone'!B80,Asta!$R$4:$R$47,0)),IF(COUNTIF(Asta!$T$4:$T$47,'_Supporto Listone'!B80)&gt;0,INDEX(Asta!$U$4:$U$47,MATCH('_Supporto Listone'!B80,Asta!$T$4:$T$47,0)),""))))))))))</x:f>
      </x:c>
    </x:row>
    <x:row r="81">
      <x:c r="A81" s="432" t="str">
        <x:f>IF($J81&lt;&gt;"",REGEXREPLACE(TO_TEXT('_Supporto Listone'!A81),"(.)","$1"&amp;UNICHAR(822)),'_Supporto Listone'!A81)</x:f>
        <x:v>D</x:v>
      </x:c>
      <x:c r="B81" s="433" t="str">
        <x:f>IF($J81&lt;&gt;"",REGEXREPLACE(TO_TEXT('_Supporto Listone'!B81),"(.)","$1"&amp;UNICHAR(822)),'_Supporto Listone'!B81)</x:f>
        <x:v>Stones</x:v>
      </x:c>
      <x:c r="C81" s="433" t="str">
        <x:f>IF($J81&lt;&gt;"",REGEXREPLACE(TO_TEXT('_Supporto Listone'!C81),"(.)","$1"&amp;UNICHAR(822)),'_Supporto Listone'!C81)</x:f>
        <x:v>Inter</x:v>
      </x:c>
      <x:c r="D81" s="433" t="str">
        <x:f>IF($J81&lt;&gt;"",REGEXREPLACE(TO_TEXT('_Supporto Listone'!D81),"(.)","$1"&amp;UNICHAR(822)),'_Supporto Listone'!D81)</x:f>
        <x:v>Dc</x:v>
      </x:c>
      <x:c r="E81" s="433" t="str">
        <x:f>IF($J81&lt;&gt;"",REGEXREPLACE(TO_TEXT('_Supporto Listone'!E81),"(.)","$1"&amp;UNICHAR(822)),'_Supporto Listone'!E81)</x:f>
        <x:v>Ballottaggio</x:v>
      </x:c>
      <x:c r="F81" s="462" t="n">
        <x:f>IF($J81&lt;&gt;"",REGEXREPLACE(TO_TEXT('_Supporto Listone'!F81),"(.)","$1"&amp;UNICHAR(822)),'_Supporto Listone'!F81)</x:f>
        <x:v>12</x:v>
      </x:c>
      <x:c r="G81" s="462" t="n">
        <x:f>IF($J81&lt;&gt;"",REGEXREPLACE(TO_TEXT('_Supporto Listone'!G81),"(.)","$1"&amp;UNICHAR(822)),'_Supporto Listone'!G81)</x:f>
        <x:v>38</x:v>
      </x:c>
      <x:c r="H81" s="462" t="n">
        <x:f>IF($J81&lt;&gt;"",REGEXREPLACE(TO_TEXT('_Supporto Listone'!H81),"(.)","$1"&amp;UNICHAR(822)),'_Supporto Listone'!H81)</x:f>
        <x:v>19</x:v>
      </x:c>
      <x:c r="I81" s="434"/>
      <x:c r="J81" s="433" t="str">
        <x:f>IF(COUNTIF(Asta!$B$4:$B$47,'_Supporto Listone'!B81)&gt;0,"Simone",IF(COUNTIF(Asta!$D$4:$D$47,'_Supporto Listone'!B81)&gt;0,"Giacomo",IF(COUNTIF(Asta!$F$4:$F$47,'_Supporto Listone'!B81)&gt;0,"Niko",IF(COUNTIF(Asta!$H$4:$H$47,'_Supporto Listone'!B81)&gt;0,"Quici",IF(COUNTIF(Asta!$J$4:$J$47,'_Supporto Listone'!B81)&gt;0,"Fratello Quici",IF(COUNTIF(Asta!$L$4:$L$47,'_Supporto Listone'!B81)&gt;0,"Nicolò",IF(COUNTIF(Asta!$N$4:$N$47,'_Supporto Listone'!B81)&gt;0,"Vi",IF(COUNTIF(Asta!$P$4:$P$47,'_Supporto Listone'!B81)&gt;0,"Lore",IF(COUNTIF(Asta!$R$4:$R$47,'_Supporto Listone'!B81)&gt;0,"Robbo",IF(COUNTIF(Asta!$T$4:$T$47,'_Supporto Listone'!B81)&gt;0,"Ale",""))))))))))</x:f>
      </x:c>
      <x:c r="K81" s="493" t="str">
        <x:f>IF(COUNTIF(Asta!$B$4:$B$47,'_Supporto Listone'!B81)&gt;0,INDEX(Asta!$C$4:$C$47,MATCH('_Supporto Listone'!B81,Asta!$B$4:$B$47,0)),IF(COUNTIF(Asta!$D$4:$D$47,'_Supporto Listone'!B81)&gt;0,INDEX(Asta!$E$4:$E$47,MATCH('_Supporto Listone'!B81,Asta!$D$4:$D$47,0)),IF(COUNTIF(Asta!$F$4:$F$47,'_Supporto Listone'!B81)&gt;0,INDEX(Asta!$G$4:$G$47,MATCH('_Supporto Listone'!B81,Asta!$F$4:$F$47,0)),IF(COUNTIF(Asta!$H$4:$H$47,'_Supporto Listone'!B81)&gt;0,INDEX(Asta!$I$4:$I$47,MATCH('_Supporto Listone'!B81,Asta!$H$4:$H$47,0)),IF(COUNTIF(Asta!$J$4:$J$47,'_Supporto Listone'!B81)&gt;0,INDEX(Asta!$K$4:$K$47,MATCH('_Supporto Listone'!B81,Asta!$J$4:$J$47,0)),IF(COUNTIF(Asta!$L$4:$L$47,'_Supporto Listone'!B81)&gt;0,INDEX(Asta!$M$4:$M$47,MATCH('_Supporto Listone'!B81,Asta!$L$4:$L$47,0)),IF(COUNTIF(Asta!$N$4:$N$47,'_Supporto Listone'!B81)&gt;0,INDEX(Asta!$O$4:$O$47,MATCH('_Supporto Listone'!B81,Asta!$N$4:$N$47,0)),IF(COUNTIF(Asta!$P$4:$P$47,'_Supporto Listone'!B81)&gt;0,INDEX(Asta!$Q$4:$Q$47,MATCH('_Supporto Listone'!B81,Asta!$P$4:$P$47,0)),IF(COUNTIF(Asta!$R$4:$R$47,'_Supporto Listone'!B81)&gt;0,INDEX(Asta!$S$4:$S$47,MATCH('_Supporto Listone'!B81,Asta!$R$4:$R$47,0)),IF(COUNTIF(Asta!$T$4:$T$47,'_Supporto Listone'!B81)&gt;0,INDEX(Asta!$U$4:$U$47,MATCH('_Supporto Listone'!B81,Asta!$T$4:$T$47,0)),""))))))))))</x:f>
      </x:c>
    </x:row>
    <x:row r="82">
      <x:c r="A82" s="432" t="str">
        <x:f>IF($J82&lt;&gt;"",REGEXREPLACE(TO_TEXT('_Supporto Listone'!A82),"(.)","$1"&amp;UNICHAR(822)),'_Supporto Listone'!A82)</x:f>
        <x:v>D</x:v>
      </x:c>
      <x:c r="B82" s="433" t="str">
        <x:f>IF($J82&lt;&gt;"",REGEXREPLACE(TO_TEXT('_Supporto Listone'!B82),"(.)","$1"&amp;UNICHAR(822)),'_Supporto Listone'!B82)</x:f>
        <x:v>Gila</x:v>
      </x:c>
      <x:c r="C82" s="433" t="str">
        <x:f>IF($J82&lt;&gt;"",REGEXREPLACE(TO_TEXT('_Supporto Listone'!C82),"(.)","$1"&amp;UNICHAR(822)),'_Supporto Listone'!C82)</x:f>
        <x:v>Milan</x:v>
      </x:c>
      <x:c r="D82" s="433" t="str">
        <x:f>IF($J82&lt;&gt;"",REGEXREPLACE(TO_TEXT('_Supporto Listone'!D82),"(.)","$1"&amp;UNICHAR(822)),'_Supporto Listone'!D82)</x:f>
        <x:v>Dc</x:v>
      </x:c>
      <x:c r="E82" s="433" t="str">
        <x:f>IF($J82&lt;&gt;"",REGEXREPLACE(TO_TEXT('_Supporto Listone'!E82),"(.)","$1"&amp;UNICHAR(822)),'_Supporto Listone'!E82)</x:f>
        <x:v>Titolare</x:v>
      </x:c>
      <x:c r="F82" s="462" t="n">
        <x:f>IF($J82&lt;&gt;"",REGEXREPLACE(TO_TEXT('_Supporto Listone'!F82),"(.)","$1"&amp;UNICHAR(822)),'_Supporto Listone'!F82)</x:f>
        <x:v>12</x:v>
      </x:c>
      <x:c r="G82" s="462" t="n">
        <x:f>IF($J82&lt;&gt;"",REGEXREPLACE(TO_TEXT('_Supporto Listone'!G82),"(.)","$1"&amp;UNICHAR(822)),'_Supporto Listone'!G82)</x:f>
        <x:v>31</x:v>
      </x:c>
      <x:c r="H82" s="462" t="n">
        <x:f>IF($J82&lt;&gt;"",REGEXREPLACE(TO_TEXT('_Supporto Listone'!H82),"(.)","$1"&amp;UNICHAR(822)),'_Supporto Listone'!H82)</x:f>
        <x:v>16</x:v>
      </x:c>
      <x:c r="I82" s="434"/>
      <x:c r="J82" s="433" t="str">
        <x:f>IF(COUNTIF(Asta!$B$4:$B$47,'_Supporto Listone'!B82)&gt;0,"Simone",IF(COUNTIF(Asta!$D$4:$D$47,'_Supporto Listone'!B82)&gt;0,"Giacomo",IF(COUNTIF(Asta!$F$4:$F$47,'_Supporto Listone'!B82)&gt;0,"Niko",IF(COUNTIF(Asta!$H$4:$H$47,'_Supporto Listone'!B82)&gt;0,"Quici",IF(COUNTIF(Asta!$J$4:$J$47,'_Supporto Listone'!B82)&gt;0,"Fratello Quici",IF(COUNTIF(Asta!$L$4:$L$47,'_Supporto Listone'!B82)&gt;0,"Nicolò",IF(COUNTIF(Asta!$N$4:$N$47,'_Supporto Listone'!B82)&gt;0,"Vi",IF(COUNTIF(Asta!$P$4:$P$47,'_Supporto Listone'!B82)&gt;0,"Lore",IF(COUNTIF(Asta!$R$4:$R$47,'_Supporto Listone'!B82)&gt;0,"Robbo",IF(COUNTIF(Asta!$T$4:$T$47,'_Supporto Listone'!B82)&gt;0,"Ale",""))))))))))</x:f>
      </x:c>
      <x:c r="K82" s="493" t="str">
        <x:f>IF(COUNTIF(Asta!$B$4:$B$47,'_Supporto Listone'!B82)&gt;0,INDEX(Asta!$C$4:$C$47,MATCH('_Supporto Listone'!B82,Asta!$B$4:$B$47,0)),IF(COUNTIF(Asta!$D$4:$D$47,'_Supporto Listone'!B82)&gt;0,INDEX(Asta!$E$4:$E$47,MATCH('_Supporto Listone'!B82,Asta!$D$4:$D$47,0)),IF(COUNTIF(Asta!$F$4:$F$47,'_Supporto Listone'!B82)&gt;0,INDEX(Asta!$G$4:$G$47,MATCH('_Supporto Listone'!B82,Asta!$F$4:$F$47,0)),IF(COUNTIF(Asta!$H$4:$H$47,'_Supporto Listone'!B82)&gt;0,INDEX(Asta!$I$4:$I$47,MATCH('_Supporto Listone'!B82,Asta!$H$4:$H$47,0)),IF(COUNTIF(Asta!$J$4:$J$47,'_Supporto Listone'!B82)&gt;0,INDEX(Asta!$K$4:$K$47,MATCH('_Supporto Listone'!B82,Asta!$J$4:$J$47,0)),IF(COUNTIF(Asta!$L$4:$L$47,'_Supporto Listone'!B82)&gt;0,INDEX(Asta!$M$4:$M$47,MATCH('_Supporto Listone'!B82,Asta!$L$4:$L$47,0)),IF(COUNTIF(Asta!$N$4:$N$47,'_Supporto Listone'!B82)&gt;0,INDEX(Asta!$O$4:$O$47,MATCH('_Supporto Listone'!B82,Asta!$N$4:$N$47,0)),IF(COUNTIF(Asta!$P$4:$P$47,'_Supporto Listone'!B82)&gt;0,INDEX(Asta!$Q$4:$Q$47,MATCH('_Supporto Listone'!B82,Asta!$P$4:$P$47,0)),IF(COUNTIF(Asta!$R$4:$R$47,'_Supporto Listone'!B82)&gt;0,INDEX(Asta!$S$4:$S$47,MATCH('_Supporto Listone'!B82,Asta!$R$4:$R$47,0)),IF(COUNTIF(Asta!$T$4:$T$47,'_Supporto Listone'!B82)&gt;0,INDEX(Asta!$U$4:$U$47,MATCH('_Supporto Listone'!B82,Asta!$T$4:$T$47,0)),""))))))))))</x:f>
      </x:c>
    </x:row>
    <x:row r="83">
      <x:c r="A83" s="432" t="str">
        <x:f>IF($J83&lt;&gt;"",REGEXREPLACE(TO_TEXT('_Supporto Listone'!A83),"(.)","$1"&amp;UNICHAR(822)),'_Supporto Listone'!A83)</x:f>
        <x:v>D</x:v>
      </x:c>
      <x:c r="B83" s="433" t="str">
        <x:f>IF($J83&lt;&gt;"",REGEXREPLACE(TO_TEXT('_Supporto Listone'!B83),"(.)","$1"&amp;UNICHAR(822)),'_Supporto Listone'!B83)</x:f>
        <x:v>Di Lorenzo</x:v>
      </x:c>
      <x:c r="C83" s="433" t="str">
        <x:f>IF($J83&lt;&gt;"",REGEXREPLACE(TO_TEXT('_Supporto Listone'!C83),"(.)","$1"&amp;UNICHAR(822)),'_Supporto Listone'!C83)</x:f>
        <x:v>Napoli</x:v>
      </x:c>
      <x:c r="D83" s="433" t="str">
        <x:f>IF($J83&lt;&gt;"",REGEXREPLACE(TO_TEXT('_Supporto Listone'!D83),"(.)","$1"&amp;UNICHAR(822)),'_Supporto Listone'!D83)</x:f>
        <x:v>Dd;E</x:v>
      </x:c>
      <x:c r="E83" s="433" t="str">
        <x:f>IF($J83&lt;&gt;"",REGEXREPLACE(TO_TEXT('_Supporto Listone'!E83),"(.)","$1"&amp;UNICHAR(822)),'_Supporto Listone'!E83)</x:f>
        <x:v>Titolare</x:v>
      </x:c>
      <x:c r="F83" s="462" t="n">
        <x:f>IF($J83&lt;&gt;"",REGEXREPLACE(TO_TEXT('_Supporto Listone'!F83),"(.)","$1"&amp;UNICHAR(822)),'_Supporto Listone'!F83)</x:f>
        <x:v>12</x:v>
      </x:c>
      <x:c r="G83" s="462" t="n">
        <x:f>IF($J83&lt;&gt;"",REGEXREPLACE(TO_TEXT('_Supporto Listone'!G83),"(.)","$1"&amp;UNICHAR(822)),'_Supporto Listone'!G83)</x:f>
        <x:v>40</x:v>
      </x:c>
      <x:c r="H83" s="462" t="n">
        <x:f>IF($J83&lt;&gt;"",REGEXREPLACE(TO_TEXT('_Supporto Listone'!H83),"(.)","$1"&amp;UNICHAR(822)),'_Supporto Listone'!H83)</x:f>
        <x:v>20</x:v>
      </x:c>
      <x:c r="I83" s="434"/>
      <x:c r="J83" s="433" t="str">
        <x:f>IF(COUNTIF(Asta!$B$4:$B$47,'_Supporto Listone'!B83)&gt;0,"Simone",IF(COUNTIF(Asta!$D$4:$D$47,'_Supporto Listone'!B83)&gt;0,"Giacomo",IF(COUNTIF(Asta!$F$4:$F$47,'_Supporto Listone'!B83)&gt;0,"Niko",IF(COUNTIF(Asta!$H$4:$H$47,'_Supporto Listone'!B83)&gt;0,"Quici",IF(COUNTIF(Asta!$J$4:$J$47,'_Supporto Listone'!B83)&gt;0,"Fratello Quici",IF(COUNTIF(Asta!$L$4:$L$47,'_Supporto Listone'!B83)&gt;0,"Nicolò",IF(COUNTIF(Asta!$N$4:$N$47,'_Supporto Listone'!B83)&gt;0,"Vi",IF(COUNTIF(Asta!$P$4:$P$47,'_Supporto Listone'!B83)&gt;0,"Lore",IF(COUNTIF(Asta!$R$4:$R$47,'_Supporto Listone'!B83)&gt;0,"Robbo",IF(COUNTIF(Asta!$T$4:$T$47,'_Supporto Listone'!B83)&gt;0,"Ale",""))))))))))</x:f>
      </x:c>
      <x:c r="K83" s="493" t="str">
        <x:f>IF(COUNTIF(Asta!$B$4:$B$47,'_Supporto Listone'!B83)&gt;0,INDEX(Asta!$C$4:$C$47,MATCH('_Supporto Listone'!B83,Asta!$B$4:$B$47,0)),IF(COUNTIF(Asta!$D$4:$D$47,'_Supporto Listone'!B83)&gt;0,INDEX(Asta!$E$4:$E$47,MATCH('_Supporto Listone'!B83,Asta!$D$4:$D$47,0)),IF(COUNTIF(Asta!$F$4:$F$47,'_Supporto Listone'!B83)&gt;0,INDEX(Asta!$G$4:$G$47,MATCH('_Supporto Listone'!B83,Asta!$F$4:$F$47,0)),IF(COUNTIF(Asta!$H$4:$H$47,'_Supporto Listone'!B83)&gt;0,INDEX(Asta!$I$4:$I$47,MATCH('_Supporto Listone'!B83,Asta!$H$4:$H$47,0)),IF(COUNTIF(Asta!$J$4:$J$47,'_Supporto Listone'!B83)&gt;0,INDEX(Asta!$K$4:$K$47,MATCH('_Supporto Listone'!B83,Asta!$J$4:$J$47,0)),IF(COUNTIF(Asta!$L$4:$L$47,'_Supporto Listone'!B83)&gt;0,INDEX(Asta!$M$4:$M$47,MATCH('_Supporto Listone'!B83,Asta!$L$4:$L$47,0)),IF(COUNTIF(Asta!$N$4:$N$47,'_Supporto Listone'!B83)&gt;0,INDEX(Asta!$O$4:$O$47,MATCH('_Supporto Listone'!B83,Asta!$N$4:$N$47,0)),IF(COUNTIF(Asta!$P$4:$P$47,'_Supporto Listone'!B83)&gt;0,INDEX(Asta!$Q$4:$Q$47,MATCH('_Supporto Listone'!B83,Asta!$P$4:$P$47,0)),IF(COUNTIF(Asta!$R$4:$R$47,'_Supporto Listone'!B83)&gt;0,INDEX(Asta!$S$4:$S$47,MATCH('_Supporto Listone'!B83,Asta!$R$4:$R$47,0)),IF(COUNTIF(Asta!$T$4:$T$47,'_Supporto Listone'!B83)&gt;0,INDEX(Asta!$U$4:$U$47,MATCH('_Supporto Listone'!B83,Asta!$T$4:$T$47,0)),""))))))))))</x:f>
      </x:c>
    </x:row>
    <x:row r="84">
      <x:c r="A84" s="432" t="str">
        <x:f>IF($J84&lt;&gt;"",REGEXREPLACE(TO_TEXT('_Supporto Listone'!A84),"(.)","$1"&amp;UNICHAR(822)),'_Supporto Listone'!A84)</x:f>
        <x:v>D</x:v>
      </x:c>
      <x:c r="B84" s="433" t="str">
        <x:f>IF($J84&lt;&gt;"",REGEXREPLACE(TO_TEXT('_Supporto Listone'!B84),"(.)","$1"&amp;UNICHAR(822)),'_Supporto Listone'!B84)</x:f>
        <x:v>Ostigard</x:v>
      </x:c>
      <x:c r="C84" s="433" t="str">
        <x:f>IF($J84&lt;&gt;"",REGEXREPLACE(TO_TEXT('_Supporto Listone'!C84),"(.)","$1"&amp;UNICHAR(822)),'_Supporto Listone'!C84)</x:f>
        <x:v>Genoa</x:v>
      </x:c>
      <x:c r="D84" s="433" t="str">
        <x:f>IF($J84&lt;&gt;"",REGEXREPLACE(TO_TEXT('_Supporto Listone'!D84),"(.)","$1"&amp;UNICHAR(822)),'_Supporto Listone'!D84)</x:f>
        <x:v>Dc</x:v>
      </x:c>
      <x:c r="E84" s="433" t="str">
        <x:f>IF($J84&lt;&gt;"",REGEXREPLACE(TO_TEXT('_Supporto Listone'!E84),"(.)","$1"&amp;UNICHAR(822)),'_Supporto Listone'!E84)</x:f>
        <x:v>Titolare</x:v>
      </x:c>
      <x:c r="F84" s="462" t="n">
        <x:f>IF($J84&lt;&gt;"",REGEXREPLACE(TO_TEXT('_Supporto Listone'!F84),"(.)","$1"&amp;UNICHAR(822)),'_Supporto Listone'!F84)</x:f>
        <x:v>11</x:v>
      </x:c>
      <x:c r="G84" s="462" t="n">
        <x:f>IF($J84&lt;&gt;"",REGEXREPLACE(TO_TEXT('_Supporto Listone'!G84),"(.)","$1"&amp;UNICHAR(822)),'_Supporto Listone'!G84)</x:f>
        <x:v>40</x:v>
      </x:c>
      <x:c r="H84" s="462" t="n">
        <x:f>IF($J84&lt;&gt;"",REGEXREPLACE(TO_TEXT('_Supporto Listone'!H84),"(.)","$1"&amp;UNICHAR(822)),'_Supporto Listone'!H84)</x:f>
        <x:v>20</x:v>
      </x:c>
      <x:c r="I84" s="434" t="str">
        <x:f>IF($J84&lt;&gt;"",REGEXREPLACE(TO_TEXT('_Supporto Listone'!I84),"(.)","$1"&amp;UNICHAR(822)),'_Supporto Listone'!I84)</x:f>
        <x:v>Rigorista</x:v>
      </x:c>
      <x:c r="J84" s="433" t="str">
        <x:f>IF(COUNTIF(Asta!$B$4:$B$47,'_Supporto Listone'!B84)&gt;0,"Simone",IF(COUNTIF(Asta!$D$4:$D$47,'_Supporto Listone'!B84)&gt;0,"Giacomo",IF(COUNTIF(Asta!$F$4:$F$47,'_Supporto Listone'!B84)&gt;0,"Niko",IF(COUNTIF(Asta!$H$4:$H$47,'_Supporto Listone'!B84)&gt;0,"Quici",IF(COUNTIF(Asta!$J$4:$J$47,'_Supporto Listone'!B84)&gt;0,"Fratello Quici",IF(COUNTIF(Asta!$L$4:$L$47,'_Supporto Listone'!B84)&gt;0,"Nicolò",IF(COUNTIF(Asta!$N$4:$N$47,'_Supporto Listone'!B84)&gt;0,"Vi",IF(COUNTIF(Asta!$P$4:$P$47,'_Supporto Listone'!B84)&gt;0,"Lore",IF(COUNTIF(Asta!$R$4:$R$47,'_Supporto Listone'!B84)&gt;0,"Robbo",IF(COUNTIF(Asta!$T$4:$T$47,'_Supporto Listone'!B84)&gt;0,"Ale",""))))))))))</x:f>
      </x:c>
      <x:c r="K84" s="493" t="str">
        <x:f>IF(COUNTIF(Asta!$B$4:$B$47,'_Supporto Listone'!B84)&gt;0,INDEX(Asta!$C$4:$C$47,MATCH('_Supporto Listone'!B84,Asta!$B$4:$B$47,0)),IF(COUNTIF(Asta!$D$4:$D$47,'_Supporto Listone'!B84)&gt;0,INDEX(Asta!$E$4:$E$47,MATCH('_Supporto Listone'!B84,Asta!$D$4:$D$47,0)),IF(COUNTIF(Asta!$F$4:$F$47,'_Supporto Listone'!B84)&gt;0,INDEX(Asta!$G$4:$G$47,MATCH('_Supporto Listone'!B84,Asta!$F$4:$F$47,0)),IF(COUNTIF(Asta!$H$4:$H$47,'_Supporto Listone'!B84)&gt;0,INDEX(Asta!$I$4:$I$47,MATCH('_Supporto Listone'!B84,Asta!$H$4:$H$47,0)),IF(COUNTIF(Asta!$J$4:$J$47,'_Supporto Listone'!B84)&gt;0,INDEX(Asta!$K$4:$K$47,MATCH('_Supporto Listone'!B84,Asta!$J$4:$J$47,0)),IF(COUNTIF(Asta!$L$4:$L$47,'_Supporto Listone'!B84)&gt;0,INDEX(Asta!$M$4:$M$47,MATCH('_Supporto Listone'!B84,Asta!$L$4:$L$47,0)),IF(COUNTIF(Asta!$N$4:$N$47,'_Supporto Listone'!B84)&gt;0,INDEX(Asta!$O$4:$O$47,MATCH('_Supporto Listone'!B84,Asta!$N$4:$N$47,0)),IF(COUNTIF(Asta!$P$4:$P$47,'_Supporto Listone'!B84)&gt;0,INDEX(Asta!$Q$4:$Q$47,MATCH('_Supporto Listone'!B84,Asta!$P$4:$P$47,0)),IF(COUNTIF(Asta!$R$4:$R$47,'_Supporto Listone'!B84)&gt;0,INDEX(Asta!$S$4:$S$47,MATCH('_Supporto Listone'!B84,Asta!$R$4:$R$47,0)),IF(COUNTIF(Asta!$T$4:$T$47,'_Supporto Listone'!B84)&gt;0,INDEX(Asta!$U$4:$U$47,MATCH('_Supporto Listone'!B84,Asta!$T$4:$T$47,0)),""))))))))))</x:f>
      </x:c>
    </x:row>
    <x:row r="85">
      <x:c r="A85" s="432" t="str">
        <x:f>IF($J85&lt;&gt;"",REGEXREPLACE(TO_TEXT('_Supporto Listone'!A85),"(.)","$1"&amp;UNICHAR(822)),'_Supporto Listone'!A85)</x:f>
        <x:v>D</x:v>
      </x:c>
      <x:c r="B85" s="433" t="str">
        <x:f>IF($J85&lt;&gt;"",REGEXREPLACE(TO_TEXT('_Supporto Listone'!B85),"(.)","$1"&amp;UNICHAR(822)),'_Supporto Listone'!B85)</x:f>
        <x:v>Bisseck</x:v>
      </x:c>
      <x:c r="C85" s="433" t="str">
        <x:f>IF($J85&lt;&gt;"",REGEXREPLACE(TO_TEXT('_Supporto Listone'!C85),"(.)","$1"&amp;UNICHAR(822)),'_Supporto Listone'!C85)</x:f>
        <x:v>Inter</x:v>
      </x:c>
      <x:c r="D85" s="433" t="str">
        <x:f>IF($J85&lt;&gt;"",REGEXREPLACE(TO_TEXT('_Supporto Listone'!D85),"(.)","$1"&amp;UNICHAR(822)),'_Supporto Listone'!D85)</x:f>
        <x:v>Dc</x:v>
      </x:c>
      <x:c r="E85" s="433" t="str">
        <x:f>IF($J85&lt;&gt;"",REGEXREPLACE(TO_TEXT('_Supporto Listone'!E85),"(.)","$1"&amp;UNICHAR(822)),'_Supporto Listone'!E85)</x:f>
        <x:v>Titolare / ballottaggio</x:v>
      </x:c>
      <x:c r="F85" s="462" t="n">
        <x:f>IF($J85&lt;&gt;"",REGEXREPLACE(TO_TEXT('_Supporto Listone'!F85),"(.)","$1"&amp;UNICHAR(822)),'_Supporto Listone'!F85)</x:f>
        <x:v>11</x:v>
      </x:c>
      <x:c r="G85" s="462" t="n">
        <x:f>IF($J85&lt;&gt;"",REGEXREPLACE(TO_TEXT('_Supporto Listone'!G85),"(.)","$1"&amp;UNICHAR(822)),'_Supporto Listone'!G85)</x:f>
        <x:v>33</x:v>
      </x:c>
      <x:c r="H85" s="462" t="n">
        <x:f>IF($J85&lt;&gt;"",REGEXREPLACE(TO_TEXT('_Supporto Listone'!H85),"(.)","$1"&amp;UNICHAR(822)),'_Supporto Listone'!H85)</x:f>
        <x:v>17</x:v>
      </x:c>
      <x:c r="I85" s="434"/>
      <x:c r="J85" s="433" t="str">
        <x:f>IF(COUNTIF(Asta!$B$4:$B$47,'_Supporto Listone'!B85)&gt;0,"Simone",IF(COUNTIF(Asta!$D$4:$D$47,'_Supporto Listone'!B85)&gt;0,"Giacomo",IF(COUNTIF(Asta!$F$4:$F$47,'_Supporto Listone'!B85)&gt;0,"Niko",IF(COUNTIF(Asta!$H$4:$H$47,'_Supporto Listone'!B85)&gt;0,"Quici",IF(COUNTIF(Asta!$J$4:$J$47,'_Supporto Listone'!B85)&gt;0,"Fratello Quici",IF(COUNTIF(Asta!$L$4:$L$47,'_Supporto Listone'!B85)&gt;0,"Nicolò",IF(COUNTIF(Asta!$N$4:$N$47,'_Supporto Listone'!B85)&gt;0,"Vi",IF(COUNTIF(Asta!$P$4:$P$47,'_Supporto Listone'!B85)&gt;0,"Lore",IF(COUNTIF(Asta!$R$4:$R$47,'_Supporto Listone'!B85)&gt;0,"Robbo",IF(COUNTIF(Asta!$T$4:$T$47,'_Supporto Listone'!B85)&gt;0,"Ale",""))))))))))</x:f>
      </x:c>
      <x:c r="K85" s="493" t="str">
        <x:f>IF(COUNTIF(Asta!$B$4:$B$47,'_Supporto Listone'!B85)&gt;0,INDEX(Asta!$C$4:$C$47,MATCH('_Supporto Listone'!B85,Asta!$B$4:$B$47,0)),IF(COUNTIF(Asta!$D$4:$D$47,'_Supporto Listone'!B85)&gt;0,INDEX(Asta!$E$4:$E$47,MATCH('_Supporto Listone'!B85,Asta!$D$4:$D$47,0)),IF(COUNTIF(Asta!$F$4:$F$47,'_Supporto Listone'!B85)&gt;0,INDEX(Asta!$G$4:$G$47,MATCH('_Supporto Listone'!B85,Asta!$F$4:$F$47,0)),IF(COUNTIF(Asta!$H$4:$H$47,'_Supporto Listone'!B85)&gt;0,INDEX(Asta!$I$4:$I$47,MATCH('_Supporto Listone'!B85,Asta!$H$4:$H$47,0)),IF(COUNTIF(Asta!$J$4:$J$47,'_Supporto Listone'!B85)&gt;0,INDEX(Asta!$K$4:$K$47,MATCH('_Supporto Listone'!B85,Asta!$J$4:$J$47,0)),IF(COUNTIF(Asta!$L$4:$L$47,'_Supporto Listone'!B85)&gt;0,INDEX(Asta!$M$4:$M$47,MATCH('_Supporto Listone'!B85,Asta!$L$4:$L$47,0)),IF(COUNTIF(Asta!$N$4:$N$47,'_Supporto Listone'!B85)&gt;0,INDEX(Asta!$O$4:$O$47,MATCH('_Supporto Listone'!B85,Asta!$N$4:$N$47,0)),IF(COUNTIF(Asta!$P$4:$P$47,'_Supporto Listone'!B85)&gt;0,INDEX(Asta!$Q$4:$Q$47,MATCH('_Supporto Listone'!B85,Asta!$P$4:$P$47,0)),IF(COUNTIF(Asta!$R$4:$R$47,'_Supporto Listone'!B85)&gt;0,INDEX(Asta!$S$4:$S$47,MATCH('_Supporto Listone'!B85,Asta!$R$4:$R$47,0)),IF(COUNTIF(Asta!$T$4:$T$47,'_Supporto Listone'!B85)&gt;0,INDEX(Asta!$U$4:$U$47,MATCH('_Supporto Listone'!B85,Asta!$T$4:$T$47,0)),""))))))))))</x:f>
      </x:c>
    </x:row>
    <x:row r="86">
      <x:c r="A86" s="432" t="str">
        <x:f>IF($J86&lt;&gt;"",REGEXREPLACE(TO_TEXT('_Supporto Listone'!A86),"(.)","$1"&amp;UNICHAR(822)),'_Supporto Listone'!A86)</x:f>
        <x:v>D</x:v>
      </x:c>
      <x:c r="B86" s="433" t="str">
        <x:f>IF($J86&lt;&gt;"",REGEXREPLACE(TO_TEXT('_Supporto Listone'!B86),"(.)","$1"&amp;UNICHAR(822)),'_Supporto Listone'!B86)</x:f>
        <x:v>Scalvini</x:v>
      </x:c>
      <x:c r="C86" s="433" t="str">
        <x:f>IF($J86&lt;&gt;"",REGEXREPLACE(TO_TEXT('_Supporto Listone'!C86),"(.)","$1"&amp;UNICHAR(822)),'_Supporto Listone'!C86)</x:f>
        <x:v>Atalanta</x:v>
      </x:c>
      <x:c r="D86" s="433" t="str">
        <x:f>IF($J86&lt;&gt;"",REGEXREPLACE(TO_TEXT('_Supporto Listone'!D86),"(.)","$1"&amp;UNICHAR(822)),'_Supporto Listone'!D86)</x:f>
        <x:v>Dc</x:v>
      </x:c>
      <x:c r="E86" s="433" t="str">
        <x:f>IF($J86&lt;&gt;"",REGEXREPLACE(TO_TEXT('_Supporto Listone'!E86),"(.)","$1"&amp;UNICHAR(822)),'_Supporto Listone'!E86)</x:f>
        <x:v>Titolare</x:v>
      </x:c>
      <x:c r="F86" s="462" t="n">
        <x:f>IF($J86&lt;&gt;"",REGEXREPLACE(TO_TEXT('_Supporto Listone'!F86),"(.)","$1"&amp;UNICHAR(822)),'_Supporto Listone'!F86)</x:f>
        <x:v>10</x:v>
      </x:c>
      <x:c r="G86" s="462" t="n">
        <x:f>IF($J86&lt;&gt;"",REGEXREPLACE(TO_TEXT('_Supporto Listone'!G86),"(.)","$1"&amp;UNICHAR(822)),'_Supporto Listone'!G86)</x:f>
        <x:v>28</x:v>
      </x:c>
      <x:c r="H86" s="462" t="n">
        <x:f>IF($J86&lt;&gt;"",REGEXREPLACE(TO_TEXT('_Supporto Listone'!H86),"(.)","$1"&amp;UNICHAR(822)),'_Supporto Listone'!H86)</x:f>
        <x:v>14</x:v>
      </x:c>
      <x:c r="I86" s="434"/>
      <x:c r="J86" s="433" t="str">
        <x:f>IF(COUNTIF(Asta!$B$4:$B$47,'_Supporto Listone'!B86)&gt;0,"Simone",IF(COUNTIF(Asta!$D$4:$D$47,'_Supporto Listone'!B86)&gt;0,"Giacomo",IF(COUNTIF(Asta!$F$4:$F$47,'_Supporto Listone'!B86)&gt;0,"Niko",IF(COUNTIF(Asta!$H$4:$H$47,'_Supporto Listone'!B86)&gt;0,"Quici",IF(COUNTIF(Asta!$J$4:$J$47,'_Supporto Listone'!B86)&gt;0,"Fratello Quici",IF(COUNTIF(Asta!$L$4:$L$47,'_Supporto Listone'!B86)&gt;0,"Nicolò",IF(COUNTIF(Asta!$N$4:$N$47,'_Supporto Listone'!B86)&gt;0,"Vi",IF(COUNTIF(Asta!$P$4:$P$47,'_Supporto Listone'!B86)&gt;0,"Lore",IF(COUNTIF(Asta!$R$4:$R$47,'_Supporto Listone'!B86)&gt;0,"Robbo",IF(COUNTIF(Asta!$T$4:$T$47,'_Supporto Listone'!B86)&gt;0,"Ale",""))))))))))</x:f>
      </x:c>
      <x:c r="K86" s="493" t="str">
        <x:f>IF(COUNTIF(Asta!$B$4:$B$47,'_Supporto Listone'!B86)&gt;0,INDEX(Asta!$C$4:$C$47,MATCH('_Supporto Listone'!B86,Asta!$B$4:$B$47,0)),IF(COUNTIF(Asta!$D$4:$D$47,'_Supporto Listone'!B86)&gt;0,INDEX(Asta!$E$4:$E$47,MATCH('_Supporto Listone'!B86,Asta!$D$4:$D$47,0)),IF(COUNTIF(Asta!$F$4:$F$47,'_Supporto Listone'!B86)&gt;0,INDEX(Asta!$G$4:$G$47,MATCH('_Supporto Listone'!B86,Asta!$F$4:$F$47,0)),IF(COUNTIF(Asta!$H$4:$H$47,'_Supporto Listone'!B86)&gt;0,INDEX(Asta!$I$4:$I$47,MATCH('_Supporto Listone'!B86,Asta!$H$4:$H$47,0)),IF(COUNTIF(Asta!$J$4:$J$47,'_Supporto Listone'!B86)&gt;0,INDEX(Asta!$K$4:$K$47,MATCH('_Supporto Listone'!B86,Asta!$J$4:$J$47,0)),IF(COUNTIF(Asta!$L$4:$L$47,'_Supporto Listone'!B86)&gt;0,INDEX(Asta!$M$4:$M$47,MATCH('_Supporto Listone'!B86,Asta!$L$4:$L$47,0)),IF(COUNTIF(Asta!$N$4:$N$47,'_Supporto Listone'!B86)&gt;0,INDEX(Asta!$O$4:$O$47,MATCH('_Supporto Listone'!B86,Asta!$N$4:$N$47,0)),IF(COUNTIF(Asta!$P$4:$P$47,'_Supporto Listone'!B86)&gt;0,INDEX(Asta!$Q$4:$Q$47,MATCH('_Supporto Listone'!B86,Asta!$P$4:$P$47,0)),IF(COUNTIF(Asta!$R$4:$R$47,'_Supporto Listone'!B86)&gt;0,INDEX(Asta!$S$4:$S$47,MATCH('_Supporto Listone'!B86,Asta!$R$4:$R$47,0)),IF(COUNTIF(Asta!$T$4:$T$47,'_Supporto Listone'!B86)&gt;0,INDEX(Asta!$U$4:$U$47,MATCH('_Supporto Listone'!B86,Asta!$T$4:$T$47,0)),""))))))))))</x:f>
      </x:c>
    </x:row>
    <x:row r="87">
      <x:c r="A87" s="432" t="str">
        <x:f>IF($J87&lt;&gt;"",REGEXREPLACE(TO_TEXT('_Supporto Listone'!A87),"(.)","$1"&amp;UNICHAR(822)),'_Supporto Listone'!A87)</x:f>
        <x:v>D</x:v>
      </x:c>
      <x:c r="B87" s="433" t="str">
        <x:f>IF($J87&lt;&gt;"",REGEXREPLACE(TO_TEXT('_Supporto Listone'!B87),"(.)","$1"&amp;UNICHAR(822)),'_Supporto Listone'!B87)</x:f>
        <x:v>Ramon</x:v>
      </x:c>
      <x:c r="C87" s="433" t="str">
        <x:f>IF($J87&lt;&gt;"",REGEXREPLACE(TO_TEXT('_Supporto Listone'!C87),"(.)","$1"&amp;UNICHAR(822)),'_Supporto Listone'!C87)</x:f>
        <x:v>Como</x:v>
      </x:c>
      <x:c r="D87" s="433" t="str">
        <x:f>IF($J87&lt;&gt;"",REGEXREPLACE(TO_TEXT('_Supporto Listone'!D87),"(.)","$1"&amp;UNICHAR(822)),'_Supporto Listone'!D87)</x:f>
        <x:v>Dc</x:v>
      </x:c>
      <x:c r="E87" s="433" t="str">
        <x:f>IF($J87&lt;&gt;"",REGEXREPLACE(TO_TEXT('_Supporto Listone'!E87),"(.)","$1"&amp;UNICHAR(822)),'_Supporto Listone'!E87)</x:f>
        <x:v>Titolare</x:v>
      </x:c>
      <x:c r="F87" s="462" t="n">
        <x:f>IF($J87&lt;&gt;"",REGEXREPLACE(TO_TEXT('_Supporto Listone'!F87),"(.)","$1"&amp;UNICHAR(822)),'_Supporto Listone'!F87)</x:f>
        <x:v>10</x:v>
      </x:c>
      <x:c r="G87" s="462" t="n">
        <x:f>IF($J87&lt;&gt;"",REGEXREPLACE(TO_TEXT('_Supporto Listone'!G87),"(.)","$1"&amp;UNICHAR(822)),'_Supporto Listone'!G87)</x:f>
        <x:v>32</x:v>
      </x:c>
      <x:c r="H87" s="462" t="n">
        <x:f>IF($J87&lt;&gt;"",REGEXREPLACE(TO_TEXT('_Supporto Listone'!H87),"(.)","$1"&amp;UNICHAR(822)),'_Supporto Listone'!H87)</x:f>
        <x:v>16</x:v>
      </x:c>
      <x:c r="I87" s="434"/>
      <x:c r="J87" s="433" t="str">
        <x:f>IF(COUNTIF(Asta!$B$4:$B$47,'_Supporto Listone'!B87)&gt;0,"Simone",IF(COUNTIF(Asta!$D$4:$D$47,'_Supporto Listone'!B87)&gt;0,"Giacomo",IF(COUNTIF(Asta!$F$4:$F$47,'_Supporto Listone'!B87)&gt;0,"Niko",IF(COUNTIF(Asta!$H$4:$H$47,'_Supporto Listone'!B87)&gt;0,"Quici",IF(COUNTIF(Asta!$J$4:$J$47,'_Supporto Listone'!B87)&gt;0,"Fratello Quici",IF(COUNTIF(Asta!$L$4:$L$47,'_Supporto Listone'!B87)&gt;0,"Nicolò",IF(COUNTIF(Asta!$N$4:$N$47,'_Supporto Listone'!B87)&gt;0,"Vi",IF(COUNTIF(Asta!$P$4:$P$47,'_Supporto Listone'!B87)&gt;0,"Lore",IF(COUNTIF(Asta!$R$4:$R$47,'_Supporto Listone'!B87)&gt;0,"Robbo",IF(COUNTIF(Asta!$T$4:$T$47,'_Supporto Listone'!B87)&gt;0,"Ale",""))))))))))</x:f>
      </x:c>
      <x:c r="K87" s="493" t="str">
        <x:f>IF(COUNTIF(Asta!$B$4:$B$47,'_Supporto Listone'!B87)&gt;0,INDEX(Asta!$C$4:$C$47,MATCH('_Supporto Listone'!B87,Asta!$B$4:$B$47,0)),IF(COUNTIF(Asta!$D$4:$D$47,'_Supporto Listone'!B87)&gt;0,INDEX(Asta!$E$4:$E$47,MATCH('_Supporto Listone'!B87,Asta!$D$4:$D$47,0)),IF(COUNTIF(Asta!$F$4:$F$47,'_Supporto Listone'!B87)&gt;0,INDEX(Asta!$G$4:$G$47,MATCH('_Supporto Listone'!B87,Asta!$F$4:$F$47,0)),IF(COUNTIF(Asta!$H$4:$H$47,'_Supporto Listone'!B87)&gt;0,INDEX(Asta!$I$4:$I$47,MATCH('_Supporto Listone'!B87,Asta!$H$4:$H$47,0)),IF(COUNTIF(Asta!$J$4:$J$47,'_Supporto Listone'!B87)&gt;0,INDEX(Asta!$K$4:$K$47,MATCH('_Supporto Listone'!B87,Asta!$J$4:$J$47,0)),IF(COUNTIF(Asta!$L$4:$L$47,'_Supporto Listone'!B87)&gt;0,INDEX(Asta!$M$4:$M$47,MATCH('_Supporto Listone'!B87,Asta!$L$4:$L$47,0)),IF(COUNTIF(Asta!$N$4:$N$47,'_Supporto Listone'!B87)&gt;0,INDEX(Asta!$O$4:$O$47,MATCH('_Supporto Listone'!B87,Asta!$N$4:$N$47,0)),IF(COUNTIF(Asta!$P$4:$P$47,'_Supporto Listone'!B87)&gt;0,INDEX(Asta!$Q$4:$Q$47,MATCH('_Supporto Listone'!B87,Asta!$P$4:$P$47,0)),IF(COUNTIF(Asta!$R$4:$R$47,'_Supporto Listone'!B87)&gt;0,INDEX(Asta!$S$4:$S$47,MATCH('_Supporto Listone'!B87,Asta!$R$4:$R$47,0)),IF(COUNTIF(Asta!$T$4:$T$47,'_Supporto Listone'!B87)&gt;0,INDEX(Asta!$U$4:$U$47,MATCH('_Supporto Listone'!B87,Asta!$T$4:$T$47,0)),""))))))))))</x:f>
      </x:c>
    </x:row>
    <x:row r="88">
      <x:c r="A88" s="432" t="str">
        <x:f>IF($J88&lt;&gt;"",REGEXREPLACE(TO_TEXT('_Supporto Listone'!A88),"(.)","$1"&amp;UNICHAR(822)),'_Supporto Listone'!A88)</x:f>
        <x:v>D</x:v>
      </x:c>
      <x:c r="B88" s="433" t="str">
        <x:f>IF($J88&lt;&gt;"",REGEXREPLACE(TO_TEXT('_Supporto Listone'!B88),"(.)","$1"&amp;UNICHAR(822)),'_Supporto Listone'!B88)</x:f>
        <x:v>Dodò</x:v>
      </x:c>
      <x:c r="C88" s="433" t="str">
        <x:f>IF($J88&lt;&gt;"",REGEXREPLACE(TO_TEXT('_Supporto Listone'!C88),"(.)","$1"&amp;UNICHAR(822)),'_Supporto Listone'!C88)</x:f>
        <x:v>Fiorentina</x:v>
      </x:c>
      <x:c r="D88" s="433" t="str">
        <x:f>IF($J88&lt;&gt;"",REGEXREPLACE(TO_TEXT('_Supporto Listone'!D88),"(.)","$1"&amp;UNICHAR(822)),'_Supporto Listone'!D88)</x:f>
        <x:v>Dd;E</x:v>
      </x:c>
      <x:c r="E88" s="433" t="str">
        <x:f>IF($J88&lt;&gt;"",REGEXREPLACE(TO_TEXT('_Supporto Listone'!E88),"(.)","$1"&amp;UNICHAR(822)),'_Supporto Listone'!E88)</x:f>
        <x:v>Riserva / rotazione</x:v>
      </x:c>
      <x:c r="F88" s="462" t="n">
        <x:f>IF($J88&lt;&gt;"",REGEXREPLACE(TO_TEXT('_Supporto Listone'!F88),"(.)","$1"&amp;UNICHAR(822)),'_Supporto Listone'!F88)</x:f>
        <x:v>10</x:v>
      </x:c>
      <x:c r="G88" s="462" t="n">
        <x:f>IF($J88&lt;&gt;"",REGEXREPLACE(TO_TEXT('_Supporto Listone'!G88),"(.)","$1"&amp;UNICHAR(822)),'_Supporto Listone'!G88)</x:f>
        <x:v>30</x:v>
      </x:c>
      <x:c r="H88" s="462" t="n">
        <x:f>IF($J88&lt;&gt;"",REGEXREPLACE(TO_TEXT('_Supporto Listone'!H88),"(.)","$1"&amp;UNICHAR(822)),'_Supporto Listone'!H88)</x:f>
        <x:v>15</x:v>
      </x:c>
      <x:c r="I88" s="434"/>
      <x:c r="J88" s="433" t="str">
        <x:f>IF(COUNTIF(Asta!$B$4:$B$47,'_Supporto Listone'!B88)&gt;0,"Simone",IF(COUNTIF(Asta!$D$4:$D$47,'_Supporto Listone'!B88)&gt;0,"Giacomo",IF(COUNTIF(Asta!$F$4:$F$47,'_Supporto Listone'!B88)&gt;0,"Niko",IF(COUNTIF(Asta!$H$4:$H$47,'_Supporto Listone'!B88)&gt;0,"Quici",IF(COUNTIF(Asta!$J$4:$J$47,'_Supporto Listone'!B88)&gt;0,"Fratello Quici",IF(COUNTIF(Asta!$L$4:$L$47,'_Supporto Listone'!B88)&gt;0,"Nicolò",IF(COUNTIF(Asta!$N$4:$N$47,'_Supporto Listone'!B88)&gt;0,"Vi",IF(COUNTIF(Asta!$P$4:$P$47,'_Supporto Listone'!B88)&gt;0,"Lore",IF(COUNTIF(Asta!$R$4:$R$47,'_Supporto Listone'!B88)&gt;0,"Robbo",IF(COUNTIF(Asta!$T$4:$T$47,'_Supporto Listone'!B88)&gt;0,"Ale",""))))))))))</x:f>
      </x:c>
      <x:c r="K88" s="493" t="str">
        <x:f>IF(COUNTIF(Asta!$B$4:$B$47,'_Supporto Listone'!B88)&gt;0,INDEX(Asta!$C$4:$C$47,MATCH('_Supporto Listone'!B88,Asta!$B$4:$B$47,0)),IF(COUNTIF(Asta!$D$4:$D$47,'_Supporto Listone'!B88)&gt;0,INDEX(Asta!$E$4:$E$47,MATCH('_Supporto Listone'!B88,Asta!$D$4:$D$47,0)),IF(COUNTIF(Asta!$F$4:$F$47,'_Supporto Listone'!B88)&gt;0,INDEX(Asta!$G$4:$G$47,MATCH('_Supporto Listone'!B88,Asta!$F$4:$F$47,0)),IF(COUNTIF(Asta!$H$4:$H$47,'_Supporto Listone'!B88)&gt;0,INDEX(Asta!$I$4:$I$47,MATCH('_Supporto Listone'!B88,Asta!$H$4:$H$47,0)),IF(COUNTIF(Asta!$J$4:$J$47,'_Supporto Listone'!B88)&gt;0,INDEX(Asta!$K$4:$K$47,MATCH('_Supporto Listone'!B88,Asta!$J$4:$J$47,0)),IF(COUNTIF(Asta!$L$4:$L$47,'_Supporto Listone'!B88)&gt;0,INDEX(Asta!$M$4:$M$47,MATCH('_Supporto Listone'!B88,Asta!$L$4:$L$47,0)),IF(COUNTIF(Asta!$N$4:$N$47,'_Supporto Listone'!B88)&gt;0,INDEX(Asta!$O$4:$O$47,MATCH('_Supporto Listone'!B88,Asta!$N$4:$N$47,0)),IF(COUNTIF(Asta!$P$4:$P$47,'_Supporto Listone'!B88)&gt;0,INDEX(Asta!$Q$4:$Q$47,MATCH('_Supporto Listone'!B88,Asta!$P$4:$P$47,0)),IF(COUNTIF(Asta!$R$4:$R$47,'_Supporto Listone'!B88)&gt;0,INDEX(Asta!$S$4:$S$47,MATCH('_Supporto Listone'!B88,Asta!$R$4:$R$47,0)),IF(COUNTIF(Asta!$T$4:$T$47,'_Supporto Listone'!B88)&gt;0,INDEX(Asta!$U$4:$U$47,MATCH('_Supporto Listone'!B88,Asta!$T$4:$T$47,0)),""))))))))))</x:f>
      </x:c>
    </x:row>
    <x:row r="89">
      <x:c r="A89" s="432" t="str">
        <x:f>IF($J89&lt;&gt;"",REGEXREPLACE(TO_TEXT('_Supporto Listone'!A89),"(.)","$1"&amp;UNICHAR(822)),'_Supporto Listone'!A89)</x:f>
        <x:v>D</x:v>
      </x:c>
      <x:c r="B89" s="433" t="str">
        <x:f>IF($J89&lt;&gt;"",REGEXREPLACE(TO_TEXT('_Supporto Listone'!B89),"(.)","$1"&amp;UNICHAR(822)),'_Supporto Listone'!B89)</x:f>
        <x:v>Hermoso</x:v>
      </x:c>
      <x:c r="C89" s="433" t="str">
        <x:f>IF($J89&lt;&gt;"",REGEXREPLACE(TO_TEXT('_Supporto Listone'!C89),"(.)","$1"&amp;UNICHAR(822)),'_Supporto Listone'!C89)</x:f>
        <x:v>Roma</x:v>
      </x:c>
      <x:c r="D89" s="433" t="str">
        <x:f>IF($J89&lt;&gt;"",REGEXREPLACE(TO_TEXT('_Supporto Listone'!D89),"(.)","$1"&amp;UNICHAR(822)),'_Supporto Listone'!D89)</x:f>
        <x:v>Dc</x:v>
      </x:c>
      <x:c r="E89" s="433" t="str">
        <x:f>IF($J89&lt;&gt;"",REGEXREPLACE(TO_TEXT('_Supporto Listone'!E89),"(.)","$1"&amp;UNICHAR(822)),'_Supporto Listone'!E89)</x:f>
        <x:v>Titolare / ballottaggio</x:v>
      </x:c>
      <x:c r="F89" s="462" t="n">
        <x:f>IF($J89&lt;&gt;"",REGEXREPLACE(TO_TEXT('_Supporto Listone'!F89),"(.)","$1"&amp;UNICHAR(822)),'_Supporto Listone'!F89)</x:f>
        <x:v>10</x:v>
      </x:c>
      <x:c r="G89" s="462" t="n">
        <x:f>IF($J89&lt;&gt;"",REGEXREPLACE(TO_TEXT('_Supporto Listone'!G89),"(.)","$1"&amp;UNICHAR(822)),'_Supporto Listone'!G89)</x:f>
        <x:v>26</x:v>
      </x:c>
      <x:c r="H89" s="462" t="n">
        <x:f>IF($J89&lt;&gt;"",REGEXREPLACE(TO_TEXT('_Supporto Listone'!H89),"(.)","$1"&amp;UNICHAR(822)),'_Supporto Listone'!H89)</x:f>
        <x:v>13</x:v>
      </x:c>
      <x:c r="I89" s="434"/>
      <x:c r="J89" s="433" t="str">
        <x:f>IF(COUNTIF(Asta!$B$4:$B$47,'_Supporto Listone'!B89)&gt;0,"Simone",IF(COUNTIF(Asta!$D$4:$D$47,'_Supporto Listone'!B89)&gt;0,"Giacomo",IF(COUNTIF(Asta!$F$4:$F$47,'_Supporto Listone'!B89)&gt;0,"Niko",IF(COUNTIF(Asta!$H$4:$H$47,'_Supporto Listone'!B89)&gt;0,"Quici",IF(COUNTIF(Asta!$J$4:$J$47,'_Supporto Listone'!B89)&gt;0,"Fratello Quici",IF(COUNTIF(Asta!$L$4:$L$47,'_Supporto Listone'!B89)&gt;0,"Nicolò",IF(COUNTIF(Asta!$N$4:$N$47,'_Supporto Listone'!B89)&gt;0,"Vi",IF(COUNTIF(Asta!$P$4:$P$47,'_Supporto Listone'!B89)&gt;0,"Lore",IF(COUNTIF(Asta!$R$4:$R$47,'_Supporto Listone'!B89)&gt;0,"Robbo",IF(COUNTIF(Asta!$T$4:$T$47,'_Supporto Listone'!B89)&gt;0,"Ale",""))))))))))</x:f>
      </x:c>
      <x:c r="K89" s="493" t="str">
        <x:f>IF(COUNTIF(Asta!$B$4:$B$47,'_Supporto Listone'!B89)&gt;0,INDEX(Asta!$C$4:$C$47,MATCH('_Supporto Listone'!B89,Asta!$B$4:$B$47,0)),IF(COUNTIF(Asta!$D$4:$D$47,'_Supporto Listone'!B89)&gt;0,INDEX(Asta!$E$4:$E$47,MATCH('_Supporto Listone'!B89,Asta!$D$4:$D$47,0)),IF(COUNTIF(Asta!$F$4:$F$47,'_Supporto Listone'!B89)&gt;0,INDEX(Asta!$G$4:$G$47,MATCH('_Supporto Listone'!B89,Asta!$F$4:$F$47,0)),IF(COUNTIF(Asta!$H$4:$H$47,'_Supporto Listone'!B89)&gt;0,INDEX(Asta!$I$4:$I$47,MATCH('_Supporto Listone'!B89,Asta!$H$4:$H$47,0)),IF(COUNTIF(Asta!$J$4:$J$47,'_Supporto Listone'!B89)&gt;0,INDEX(Asta!$K$4:$K$47,MATCH('_Supporto Listone'!B89,Asta!$J$4:$J$47,0)),IF(COUNTIF(Asta!$L$4:$L$47,'_Supporto Listone'!B89)&gt;0,INDEX(Asta!$M$4:$M$47,MATCH('_Supporto Listone'!B89,Asta!$L$4:$L$47,0)),IF(COUNTIF(Asta!$N$4:$N$47,'_Supporto Listone'!B89)&gt;0,INDEX(Asta!$O$4:$O$47,MATCH('_Supporto Listone'!B89,Asta!$N$4:$N$47,0)),IF(COUNTIF(Asta!$P$4:$P$47,'_Supporto Listone'!B89)&gt;0,INDEX(Asta!$Q$4:$Q$47,MATCH('_Supporto Listone'!B89,Asta!$P$4:$P$47,0)),IF(COUNTIF(Asta!$R$4:$R$47,'_Supporto Listone'!B89)&gt;0,INDEX(Asta!$S$4:$S$47,MATCH('_Supporto Listone'!B89,Asta!$R$4:$R$47,0)),IF(COUNTIF(Asta!$T$4:$T$47,'_Supporto Listone'!B89)&gt;0,INDEX(Asta!$U$4:$U$47,MATCH('_Supporto Listone'!B89,Asta!$T$4:$T$47,0)),""))))))))))</x:f>
      </x:c>
    </x:row>
    <x:row r="90">
      <x:c r="A90" s="432" t="str">
        <x:f>IF($J90&lt;&gt;"",REGEXREPLACE(TO_TEXT('_Supporto Listone'!A90),"(.)","$1"&amp;UNICHAR(822)),'_Supporto Listone'!A90)</x:f>
        <x:v>D</x:v>
      </x:c>
      <x:c r="B90" s="433" t="str">
        <x:f>IF($J90&lt;&gt;"",REGEXREPLACE(TO_TEXT('_Supporto Listone'!B90),"(.)","$1"&amp;UNICHAR(822)),'_Supporto Listone'!B90)</x:f>
        <x:v>Vasquez</x:v>
      </x:c>
      <x:c r="C90" s="433" t="str">
        <x:f>IF($J90&lt;&gt;"",REGEXREPLACE(TO_TEXT('_Supporto Listone'!C90),"(.)","$1"&amp;UNICHAR(822)),'_Supporto Listone'!C90)</x:f>
        <x:v>Genoa</x:v>
      </x:c>
      <x:c r="D90" s="433" t="str">
        <x:f>IF($J90&lt;&gt;"",REGEXREPLACE(TO_TEXT('_Supporto Listone'!D90),"(.)","$1"&amp;UNICHAR(822)),'_Supporto Listone'!D90)</x:f>
        <x:v>Ds;Dc</x:v>
      </x:c>
      <x:c r="E90" s="433" t="str">
        <x:f>IF($J90&lt;&gt;"",REGEXREPLACE(TO_TEXT('_Supporto Listone'!E90),"(.)","$1"&amp;UNICHAR(822)),'_Supporto Listone'!E90)</x:f>
        <x:v>Titolare</x:v>
      </x:c>
      <x:c r="F90" s="462" t="n">
        <x:f>IF($J90&lt;&gt;"",REGEXREPLACE(TO_TEXT('_Supporto Listone'!F90),"(.)","$1"&amp;UNICHAR(822)),'_Supporto Listone'!F90)</x:f>
        <x:v>9</x:v>
      </x:c>
      <x:c r="G90" s="462" t="n">
        <x:f>IF($J90&lt;&gt;"",REGEXREPLACE(TO_TEXT('_Supporto Listone'!G90),"(.)","$1"&amp;UNICHAR(822)),'_Supporto Listone'!G90)</x:f>
        <x:v>33</x:v>
      </x:c>
      <x:c r="H90" s="462" t="n">
        <x:f>IF($J90&lt;&gt;"",REGEXREPLACE(TO_TEXT('_Supporto Listone'!H90),"(.)","$1"&amp;UNICHAR(822)),'_Supporto Listone'!H90)</x:f>
        <x:v>17</x:v>
      </x:c>
      <x:c r="I90" s="434"/>
      <x:c r="J90" s="433" t="str">
        <x:f>IF(COUNTIF(Asta!$B$4:$B$47,'_Supporto Listone'!B90)&gt;0,"Simone",IF(COUNTIF(Asta!$D$4:$D$47,'_Supporto Listone'!B90)&gt;0,"Giacomo",IF(COUNTIF(Asta!$F$4:$F$47,'_Supporto Listone'!B90)&gt;0,"Niko",IF(COUNTIF(Asta!$H$4:$H$47,'_Supporto Listone'!B90)&gt;0,"Quici",IF(COUNTIF(Asta!$J$4:$J$47,'_Supporto Listone'!B90)&gt;0,"Fratello Quici",IF(COUNTIF(Asta!$L$4:$L$47,'_Supporto Listone'!B90)&gt;0,"Nicolò",IF(COUNTIF(Asta!$N$4:$N$47,'_Supporto Listone'!B90)&gt;0,"Vi",IF(COUNTIF(Asta!$P$4:$P$47,'_Supporto Listone'!B90)&gt;0,"Lore",IF(COUNTIF(Asta!$R$4:$R$47,'_Supporto Listone'!B90)&gt;0,"Robbo",IF(COUNTIF(Asta!$T$4:$T$47,'_Supporto Listone'!B90)&gt;0,"Ale",""))))))))))</x:f>
      </x:c>
      <x:c r="K90" s="493" t="str">
        <x:f>IF(COUNTIF(Asta!$B$4:$B$47,'_Supporto Listone'!B90)&gt;0,INDEX(Asta!$C$4:$C$47,MATCH('_Supporto Listone'!B90,Asta!$B$4:$B$47,0)),IF(COUNTIF(Asta!$D$4:$D$47,'_Supporto Listone'!B90)&gt;0,INDEX(Asta!$E$4:$E$47,MATCH('_Supporto Listone'!B90,Asta!$D$4:$D$47,0)),IF(COUNTIF(Asta!$F$4:$F$47,'_Supporto Listone'!B90)&gt;0,INDEX(Asta!$G$4:$G$47,MATCH('_Supporto Listone'!B90,Asta!$F$4:$F$47,0)),IF(COUNTIF(Asta!$H$4:$H$47,'_Supporto Listone'!B90)&gt;0,INDEX(Asta!$I$4:$I$47,MATCH('_Supporto Listone'!B90,Asta!$H$4:$H$47,0)),IF(COUNTIF(Asta!$J$4:$J$47,'_Supporto Listone'!B90)&gt;0,INDEX(Asta!$K$4:$K$47,MATCH('_Supporto Listone'!B90,Asta!$J$4:$J$47,0)),IF(COUNTIF(Asta!$L$4:$L$47,'_Supporto Listone'!B90)&gt;0,INDEX(Asta!$M$4:$M$47,MATCH('_Supporto Listone'!B90,Asta!$L$4:$L$47,0)),IF(COUNTIF(Asta!$N$4:$N$47,'_Supporto Listone'!B90)&gt;0,INDEX(Asta!$O$4:$O$47,MATCH('_Supporto Listone'!B90,Asta!$N$4:$N$47,0)),IF(COUNTIF(Asta!$P$4:$P$47,'_Supporto Listone'!B90)&gt;0,INDEX(Asta!$Q$4:$Q$47,MATCH('_Supporto Listone'!B90,Asta!$P$4:$P$47,0)),IF(COUNTIF(Asta!$R$4:$R$47,'_Supporto Listone'!B90)&gt;0,INDEX(Asta!$S$4:$S$47,MATCH('_Supporto Listone'!B90,Asta!$R$4:$R$47,0)),IF(COUNTIF(Asta!$T$4:$T$47,'_Supporto Listone'!B90)&gt;0,INDEX(Asta!$U$4:$U$47,MATCH('_Supporto Listone'!B90,Asta!$T$4:$T$47,0)),""))))))))))</x:f>
      </x:c>
    </x:row>
    <x:row r="91">
      <x:c r="A91" s="432" t="str">
        <x:f>IF($J91&lt;&gt;"",REGEXREPLACE(TO_TEXT('_Supporto Listone'!A91),"(.)","$1"&amp;UNICHAR(822)),'_Supporto Listone'!A91)</x:f>
        <x:v>D</x:v>
      </x:c>
      <x:c r="B91" s="433" t="str">
        <x:f>IF($J91&lt;&gt;"",REGEXREPLACE(TO_TEXT('_Supporto Listone'!B91),"(.)","$1"&amp;UNICHAR(822)),'_Supporto Listone'!B91)</x:f>
        <x:v>Cambiaso</x:v>
      </x:c>
      <x:c r="C91" s="433" t="str">
        <x:f>IF($J91&lt;&gt;"",REGEXREPLACE(TO_TEXT('_Supporto Listone'!C91),"(.)","$1"&amp;UNICHAR(822)),'_Supporto Listone'!C91)</x:f>
        <x:v>Juventus</x:v>
      </x:c>
      <x:c r="D91" s="433" t="str">
        <x:f>IF($J91&lt;&gt;"",REGEXREPLACE(TO_TEXT('_Supporto Listone'!D91),"(.)","$1"&amp;UNICHAR(822)),'_Supporto Listone'!D91)</x:f>
        <x:v>Dd;Ds;E</x:v>
      </x:c>
      <x:c r="E91" s="433" t="str">
        <x:f>IF($J91&lt;&gt;"",REGEXREPLACE(TO_TEXT('_Supporto Listone'!E91),"(.)","$1"&amp;UNICHAR(822)),'_Supporto Listone'!E91)</x:f>
        <x:v>Ballottaggio</x:v>
      </x:c>
      <x:c r="F91" s="462" t="n">
        <x:f>IF($J91&lt;&gt;"",REGEXREPLACE(TO_TEXT('_Supporto Listone'!F91),"(.)","$1"&amp;UNICHAR(822)),'_Supporto Listone'!F91)</x:f>
        <x:v>9</x:v>
      </x:c>
      <x:c r="G91" s="462" t="n">
        <x:f>IF($J91&lt;&gt;"",REGEXREPLACE(TO_TEXT('_Supporto Listone'!G91),"(.)","$1"&amp;UNICHAR(822)),'_Supporto Listone'!G91)</x:f>
        <x:v>27</x:v>
      </x:c>
      <x:c r="H91" s="462" t="n">
        <x:f>IF($J91&lt;&gt;"",REGEXREPLACE(TO_TEXT('_Supporto Listone'!H91),"(.)","$1"&amp;UNICHAR(822)),'_Supporto Listone'!H91)</x:f>
        <x:v>14</x:v>
      </x:c>
      <x:c r="I91" s="434"/>
      <x:c r="J91" s="433" t="str">
        <x:f>IF(COUNTIF(Asta!$B$4:$B$47,'_Supporto Listone'!B91)&gt;0,"Simone",IF(COUNTIF(Asta!$D$4:$D$47,'_Supporto Listone'!B91)&gt;0,"Giacomo",IF(COUNTIF(Asta!$F$4:$F$47,'_Supporto Listone'!B91)&gt;0,"Niko",IF(COUNTIF(Asta!$H$4:$H$47,'_Supporto Listone'!B91)&gt;0,"Quici",IF(COUNTIF(Asta!$J$4:$J$47,'_Supporto Listone'!B91)&gt;0,"Fratello Quici",IF(COUNTIF(Asta!$L$4:$L$47,'_Supporto Listone'!B91)&gt;0,"Nicolò",IF(COUNTIF(Asta!$N$4:$N$47,'_Supporto Listone'!B91)&gt;0,"Vi",IF(COUNTIF(Asta!$P$4:$P$47,'_Supporto Listone'!B91)&gt;0,"Lore",IF(COUNTIF(Asta!$R$4:$R$47,'_Supporto Listone'!B91)&gt;0,"Robbo",IF(COUNTIF(Asta!$T$4:$T$47,'_Supporto Listone'!B91)&gt;0,"Ale",""))))))))))</x:f>
      </x:c>
      <x:c r="K91" s="493" t="str">
        <x:f>IF(COUNTIF(Asta!$B$4:$B$47,'_Supporto Listone'!B91)&gt;0,INDEX(Asta!$C$4:$C$47,MATCH('_Supporto Listone'!B91,Asta!$B$4:$B$47,0)),IF(COUNTIF(Asta!$D$4:$D$47,'_Supporto Listone'!B91)&gt;0,INDEX(Asta!$E$4:$E$47,MATCH('_Supporto Listone'!B91,Asta!$D$4:$D$47,0)),IF(COUNTIF(Asta!$F$4:$F$47,'_Supporto Listone'!B91)&gt;0,INDEX(Asta!$G$4:$G$47,MATCH('_Supporto Listone'!B91,Asta!$F$4:$F$47,0)),IF(COUNTIF(Asta!$H$4:$H$47,'_Supporto Listone'!B91)&gt;0,INDEX(Asta!$I$4:$I$47,MATCH('_Supporto Listone'!B91,Asta!$H$4:$H$47,0)),IF(COUNTIF(Asta!$J$4:$J$47,'_Supporto Listone'!B91)&gt;0,INDEX(Asta!$K$4:$K$47,MATCH('_Supporto Listone'!B91,Asta!$J$4:$J$47,0)),IF(COUNTIF(Asta!$L$4:$L$47,'_Supporto Listone'!B91)&gt;0,INDEX(Asta!$M$4:$M$47,MATCH('_Supporto Listone'!B91,Asta!$L$4:$L$47,0)),IF(COUNTIF(Asta!$N$4:$N$47,'_Supporto Listone'!B91)&gt;0,INDEX(Asta!$O$4:$O$47,MATCH('_Supporto Listone'!B91,Asta!$N$4:$N$47,0)),IF(COUNTIF(Asta!$P$4:$P$47,'_Supporto Listone'!B91)&gt;0,INDEX(Asta!$Q$4:$Q$47,MATCH('_Supporto Listone'!B91,Asta!$P$4:$P$47,0)),IF(COUNTIF(Asta!$R$4:$R$47,'_Supporto Listone'!B91)&gt;0,INDEX(Asta!$S$4:$S$47,MATCH('_Supporto Listone'!B91,Asta!$R$4:$R$47,0)),IF(COUNTIF(Asta!$T$4:$T$47,'_Supporto Listone'!B91)&gt;0,INDEX(Asta!$U$4:$U$47,MATCH('_Supporto Listone'!B91,Asta!$T$4:$T$47,0)),""))))))))))</x:f>
      </x:c>
    </x:row>
    <x:row r="92">
      <x:c r="A92" s="432" t="str">
        <x:f>IF($J92&lt;&gt;"",REGEXREPLACE(TO_TEXT('_Supporto Listone'!A92),"(.)","$1"&amp;UNICHAR(822)),'_Supporto Listone'!A92)</x:f>
        <x:v>D</x:v>
      </x:c>
      <x:c r="B92" s="433" t="str">
        <x:f>IF($J92&lt;&gt;"",REGEXREPLACE(TO_TEXT('_Supporto Listone'!B92),"(.)","$1"&amp;UNICHAR(822)),'_Supporto Listone'!B92)</x:f>
        <x:v>Hien</x:v>
      </x:c>
      <x:c r="C92" s="433" t="str">
        <x:f>IF($J92&lt;&gt;"",REGEXREPLACE(TO_TEXT('_Supporto Listone'!C92),"(.)","$1"&amp;UNICHAR(822)),'_Supporto Listone'!C92)</x:f>
        <x:v>Atalanta</x:v>
      </x:c>
      <x:c r="D92" s="433" t="str">
        <x:f>IF($J92&lt;&gt;"",REGEXREPLACE(TO_TEXT('_Supporto Listone'!D92),"(.)","$1"&amp;UNICHAR(822)),'_Supporto Listone'!D92)</x:f>
        <x:v>Dc</x:v>
      </x:c>
      <x:c r="E92" s="433" t="str">
        <x:f>IF($J92&lt;&gt;"",REGEXREPLACE(TO_TEXT('_Supporto Listone'!E92),"(.)","$1"&amp;UNICHAR(822)),'_Supporto Listone'!E92)</x:f>
        <x:v>Ballottaggio</x:v>
      </x:c>
      <x:c r="F92" s="462" t="n">
        <x:f>IF($J92&lt;&gt;"",REGEXREPLACE(TO_TEXT('_Supporto Listone'!F92),"(.)","$1"&amp;UNICHAR(822)),'_Supporto Listone'!F92)</x:f>
        <x:v>8</x:v>
      </x:c>
      <x:c r="G92" s="462" t="n">
        <x:f>IF($J92&lt;&gt;"",REGEXREPLACE(TO_TEXT('_Supporto Listone'!G92),"(.)","$1"&amp;UNICHAR(822)),'_Supporto Listone'!G92)</x:f>
        <x:v>16</x:v>
      </x:c>
      <x:c r="H92" s="462" t="n">
        <x:f>IF($J92&lt;&gt;"",REGEXREPLACE(TO_TEXT('_Supporto Listone'!H92),"(.)","$1"&amp;UNICHAR(822)),'_Supporto Listone'!H92)</x:f>
        <x:v>8</x:v>
      </x:c>
      <x:c r="I92" s="434"/>
      <x:c r="J92" s="433" t="str">
        <x:f>IF(COUNTIF(Asta!$B$4:$B$47,'_Supporto Listone'!B92)&gt;0,"Simone",IF(COUNTIF(Asta!$D$4:$D$47,'_Supporto Listone'!B92)&gt;0,"Giacomo",IF(COUNTIF(Asta!$F$4:$F$47,'_Supporto Listone'!B92)&gt;0,"Niko",IF(COUNTIF(Asta!$H$4:$H$47,'_Supporto Listone'!B92)&gt;0,"Quici",IF(COUNTIF(Asta!$J$4:$J$47,'_Supporto Listone'!B92)&gt;0,"Fratello Quici",IF(COUNTIF(Asta!$L$4:$L$47,'_Supporto Listone'!B92)&gt;0,"Nicolò",IF(COUNTIF(Asta!$N$4:$N$47,'_Supporto Listone'!B92)&gt;0,"Vi",IF(COUNTIF(Asta!$P$4:$P$47,'_Supporto Listone'!B92)&gt;0,"Lore",IF(COUNTIF(Asta!$R$4:$R$47,'_Supporto Listone'!B92)&gt;0,"Robbo",IF(COUNTIF(Asta!$T$4:$T$47,'_Supporto Listone'!B92)&gt;0,"Ale",""))))))))))</x:f>
      </x:c>
      <x:c r="K92" s="493" t="str">
        <x:f>IF(COUNTIF(Asta!$B$4:$B$47,'_Supporto Listone'!B92)&gt;0,INDEX(Asta!$C$4:$C$47,MATCH('_Supporto Listone'!B92,Asta!$B$4:$B$47,0)),IF(COUNTIF(Asta!$D$4:$D$47,'_Supporto Listone'!B92)&gt;0,INDEX(Asta!$E$4:$E$47,MATCH('_Supporto Listone'!B92,Asta!$D$4:$D$47,0)),IF(COUNTIF(Asta!$F$4:$F$47,'_Supporto Listone'!B92)&gt;0,INDEX(Asta!$G$4:$G$47,MATCH('_Supporto Listone'!B92,Asta!$F$4:$F$47,0)),IF(COUNTIF(Asta!$H$4:$H$47,'_Supporto Listone'!B92)&gt;0,INDEX(Asta!$I$4:$I$47,MATCH('_Supporto Listone'!B92,Asta!$H$4:$H$47,0)),IF(COUNTIF(Asta!$J$4:$J$47,'_Supporto Listone'!B92)&gt;0,INDEX(Asta!$K$4:$K$47,MATCH('_Supporto Listone'!B92,Asta!$J$4:$J$47,0)),IF(COUNTIF(Asta!$L$4:$L$47,'_Supporto Listone'!B92)&gt;0,INDEX(Asta!$M$4:$M$47,MATCH('_Supporto Listone'!B92,Asta!$L$4:$L$47,0)),IF(COUNTIF(Asta!$N$4:$N$47,'_Supporto Listone'!B92)&gt;0,INDEX(Asta!$O$4:$O$47,MATCH('_Supporto Listone'!B92,Asta!$N$4:$N$47,0)),IF(COUNTIF(Asta!$P$4:$P$47,'_Supporto Listone'!B92)&gt;0,INDEX(Asta!$Q$4:$Q$47,MATCH('_Supporto Listone'!B92,Asta!$P$4:$P$47,0)),IF(COUNTIF(Asta!$R$4:$R$47,'_Supporto Listone'!B92)&gt;0,INDEX(Asta!$S$4:$S$47,MATCH('_Supporto Listone'!B92,Asta!$R$4:$R$47,0)),IF(COUNTIF(Asta!$T$4:$T$47,'_Supporto Listone'!B92)&gt;0,INDEX(Asta!$U$4:$U$47,MATCH('_Supporto Listone'!B92,Asta!$T$4:$T$47,0)),""))))))))))</x:f>
      </x:c>
    </x:row>
    <x:row r="93">
      <x:c r="A93" s="432" t="str">
        <x:f>IF($J93&lt;&gt;"",REGEXREPLACE(TO_TEXT('_Supporto Listone'!A93),"(.)","$1"&amp;UNICHAR(822)),'_Supporto Listone'!A93)</x:f>
        <x:v>D</x:v>
      </x:c>
      <x:c r="B93" s="433" t="str">
        <x:f>IF($J93&lt;&gt;"",REGEXREPLACE(TO_TEXT('_Supporto Listone'!B93),"(.)","$1"&amp;UNICHAR(822)),'_Supporto Listone'!B93)</x:f>
        <x:v>Zappacosta</x:v>
      </x:c>
      <x:c r="C93" s="433" t="str">
        <x:f>IF($J93&lt;&gt;"",REGEXREPLACE(TO_TEXT('_Supporto Listone'!C93),"(.)","$1"&amp;UNICHAR(822)),'_Supporto Listone'!C93)</x:f>
        <x:v>Atalanta</x:v>
      </x:c>
      <x:c r="D93" s="433" t="str">
        <x:f>IF($J93&lt;&gt;"",REGEXREPLACE(TO_TEXT('_Supporto Listone'!D93),"(.)","$1"&amp;UNICHAR(822)),'_Supporto Listone'!D93)</x:f>
        <x:v>Dd;E</x:v>
      </x:c>
      <x:c r="E93" s="433" t="str">
        <x:f>IF($J93&lt;&gt;"",REGEXREPLACE(TO_TEXT('_Supporto Listone'!E93),"(.)","$1"&amp;UNICHAR(822)),'_Supporto Listone'!E93)</x:f>
        <x:v>Ballottaggio</x:v>
      </x:c>
      <x:c r="F93" s="462" t="n">
        <x:f>IF($J93&lt;&gt;"",REGEXREPLACE(TO_TEXT('_Supporto Listone'!F93),"(.)","$1"&amp;UNICHAR(822)),'_Supporto Listone'!F93)</x:f>
        <x:v>8</x:v>
      </x:c>
      <x:c r="G93" s="462" t="n">
        <x:f>IF($J93&lt;&gt;"",REGEXREPLACE(TO_TEXT('_Supporto Listone'!G93),"(.)","$1"&amp;UNICHAR(822)),'_Supporto Listone'!G93)</x:f>
        <x:v>24</x:v>
      </x:c>
      <x:c r="H93" s="462" t="n">
        <x:f>IF($J93&lt;&gt;"",REGEXREPLACE(TO_TEXT('_Supporto Listone'!H93),"(.)","$1"&amp;UNICHAR(822)),'_Supporto Listone'!H93)</x:f>
        <x:v>12</x:v>
      </x:c>
      <x:c r="I93" s="434"/>
      <x:c r="J93" s="433" t="str">
        <x:f>IF(COUNTIF(Asta!$B$4:$B$47,'_Supporto Listone'!B93)&gt;0,"Simone",IF(COUNTIF(Asta!$D$4:$D$47,'_Supporto Listone'!B93)&gt;0,"Giacomo",IF(COUNTIF(Asta!$F$4:$F$47,'_Supporto Listone'!B93)&gt;0,"Niko",IF(COUNTIF(Asta!$H$4:$H$47,'_Supporto Listone'!B93)&gt;0,"Quici",IF(COUNTIF(Asta!$J$4:$J$47,'_Supporto Listone'!B93)&gt;0,"Fratello Quici",IF(COUNTIF(Asta!$L$4:$L$47,'_Supporto Listone'!B93)&gt;0,"Nicolò",IF(COUNTIF(Asta!$N$4:$N$47,'_Supporto Listone'!B93)&gt;0,"Vi",IF(COUNTIF(Asta!$P$4:$P$47,'_Supporto Listone'!B93)&gt;0,"Lore",IF(COUNTIF(Asta!$R$4:$R$47,'_Supporto Listone'!B93)&gt;0,"Robbo",IF(COUNTIF(Asta!$T$4:$T$47,'_Supporto Listone'!B93)&gt;0,"Ale",""))))))))))</x:f>
      </x:c>
      <x:c r="K93" s="493" t="str">
        <x:f>IF(COUNTIF(Asta!$B$4:$B$47,'_Supporto Listone'!B93)&gt;0,INDEX(Asta!$C$4:$C$47,MATCH('_Supporto Listone'!B93,Asta!$B$4:$B$47,0)),IF(COUNTIF(Asta!$D$4:$D$47,'_Supporto Listone'!B93)&gt;0,INDEX(Asta!$E$4:$E$47,MATCH('_Supporto Listone'!B93,Asta!$D$4:$D$47,0)),IF(COUNTIF(Asta!$F$4:$F$47,'_Supporto Listone'!B93)&gt;0,INDEX(Asta!$G$4:$G$47,MATCH('_Supporto Listone'!B93,Asta!$F$4:$F$47,0)),IF(COUNTIF(Asta!$H$4:$H$47,'_Supporto Listone'!B93)&gt;0,INDEX(Asta!$I$4:$I$47,MATCH('_Supporto Listone'!B93,Asta!$H$4:$H$47,0)),IF(COUNTIF(Asta!$J$4:$J$47,'_Supporto Listone'!B93)&gt;0,INDEX(Asta!$K$4:$K$47,MATCH('_Supporto Listone'!B93,Asta!$J$4:$J$47,0)),IF(COUNTIF(Asta!$L$4:$L$47,'_Supporto Listone'!B93)&gt;0,INDEX(Asta!$M$4:$M$47,MATCH('_Supporto Listone'!B93,Asta!$L$4:$L$47,0)),IF(COUNTIF(Asta!$N$4:$N$47,'_Supporto Listone'!B93)&gt;0,INDEX(Asta!$O$4:$O$47,MATCH('_Supporto Listone'!B93,Asta!$N$4:$N$47,0)),IF(COUNTIF(Asta!$P$4:$P$47,'_Supporto Listone'!B93)&gt;0,INDEX(Asta!$Q$4:$Q$47,MATCH('_Supporto Listone'!B93,Asta!$P$4:$P$47,0)),IF(COUNTIF(Asta!$R$4:$R$47,'_Supporto Listone'!B93)&gt;0,INDEX(Asta!$S$4:$S$47,MATCH('_Supporto Listone'!B93,Asta!$R$4:$R$47,0)),IF(COUNTIF(Asta!$T$4:$T$47,'_Supporto Listone'!B93)&gt;0,INDEX(Asta!$U$4:$U$47,MATCH('_Supporto Listone'!B93,Asta!$T$4:$T$47,0)),""))))))))))</x:f>
      </x:c>
    </x:row>
    <x:row r="94">
      <x:c r="A94" s="432" t="str">
        <x:f>IF($J94&lt;&gt;"",REGEXREPLACE(TO_TEXT('_Supporto Listone'!A94),"(.)","$1"&amp;UNICHAR(822)),'_Supporto Listone'!A94)</x:f>
        <x:v>D</x:v>
      </x:c>
      <x:c r="B94" s="433" t="str">
        <x:f>IF($J94&lt;&gt;"",REGEXREPLACE(TO_TEXT('_Supporto Listone'!B94),"(.)","$1"&amp;UNICHAR(822)),'_Supporto Listone'!B94)</x:f>
        <x:v>Lucumì</x:v>
      </x:c>
      <x:c r="C94" s="433" t="str">
        <x:f>IF($J94&lt;&gt;"",REGEXREPLACE(TO_TEXT('_Supporto Listone'!C94),"(.)","$1"&amp;UNICHAR(822)),'_Supporto Listone'!C94)</x:f>
        <x:v>Bologna</x:v>
      </x:c>
      <x:c r="D94" s="433" t="str">
        <x:f>IF($J94&lt;&gt;"",REGEXREPLACE(TO_TEXT('_Supporto Listone'!D94),"(.)","$1"&amp;UNICHAR(822)),'_Supporto Listone'!D94)</x:f>
        <x:v>Dc</x:v>
      </x:c>
      <x:c r="E94" s="433" t="str">
        <x:f>IF($J94&lt;&gt;"",REGEXREPLACE(TO_TEXT('_Supporto Listone'!E94),"(.)","$1"&amp;UNICHAR(822)),'_Supporto Listone'!E94)</x:f>
        <x:v>Riserva / rotazione</x:v>
      </x:c>
      <x:c r="F94" s="462" t="n">
        <x:f>IF($J94&lt;&gt;"",REGEXREPLACE(TO_TEXT('_Supporto Listone'!F94),"(.)","$1"&amp;UNICHAR(822)),'_Supporto Listone'!F94)</x:f>
        <x:v>8</x:v>
      </x:c>
      <x:c r="G94" s="462" t="n">
        <x:f>IF($J94&lt;&gt;"",REGEXREPLACE(TO_TEXT('_Supporto Listone'!G94),"(.)","$1"&amp;UNICHAR(822)),'_Supporto Listone'!G94)</x:f>
        <x:v>18</x:v>
      </x:c>
      <x:c r="H94" s="462" t="n">
        <x:f>IF($J94&lt;&gt;"",REGEXREPLACE(TO_TEXT('_Supporto Listone'!H94),"(.)","$1"&amp;UNICHAR(822)),'_Supporto Listone'!H94)</x:f>
        <x:v>9</x:v>
      </x:c>
      <x:c r="I94" s="434"/>
      <x:c r="J94" s="433" t="str">
        <x:f>IF(COUNTIF(Asta!$B$4:$B$47,'_Supporto Listone'!B94)&gt;0,"Simone",IF(COUNTIF(Asta!$D$4:$D$47,'_Supporto Listone'!B94)&gt;0,"Giacomo",IF(COUNTIF(Asta!$F$4:$F$47,'_Supporto Listone'!B94)&gt;0,"Niko",IF(COUNTIF(Asta!$H$4:$H$47,'_Supporto Listone'!B94)&gt;0,"Quici",IF(COUNTIF(Asta!$J$4:$J$47,'_Supporto Listone'!B94)&gt;0,"Fratello Quici",IF(COUNTIF(Asta!$L$4:$L$47,'_Supporto Listone'!B94)&gt;0,"Nicolò",IF(COUNTIF(Asta!$N$4:$N$47,'_Supporto Listone'!B94)&gt;0,"Vi",IF(COUNTIF(Asta!$P$4:$P$47,'_Supporto Listone'!B94)&gt;0,"Lore",IF(COUNTIF(Asta!$R$4:$R$47,'_Supporto Listone'!B94)&gt;0,"Robbo",IF(COUNTIF(Asta!$T$4:$T$47,'_Supporto Listone'!B94)&gt;0,"Ale",""))))))))))</x:f>
      </x:c>
      <x:c r="K94" s="493" t="str">
        <x:f>IF(COUNTIF(Asta!$B$4:$B$47,'_Supporto Listone'!B94)&gt;0,INDEX(Asta!$C$4:$C$47,MATCH('_Supporto Listone'!B94,Asta!$B$4:$B$47,0)),IF(COUNTIF(Asta!$D$4:$D$47,'_Supporto Listone'!B94)&gt;0,INDEX(Asta!$E$4:$E$47,MATCH('_Supporto Listone'!B94,Asta!$D$4:$D$47,0)),IF(COUNTIF(Asta!$F$4:$F$47,'_Supporto Listone'!B94)&gt;0,INDEX(Asta!$G$4:$G$47,MATCH('_Supporto Listone'!B94,Asta!$F$4:$F$47,0)),IF(COUNTIF(Asta!$H$4:$H$47,'_Supporto Listone'!B94)&gt;0,INDEX(Asta!$I$4:$I$47,MATCH('_Supporto Listone'!B94,Asta!$H$4:$H$47,0)),IF(COUNTIF(Asta!$J$4:$J$47,'_Supporto Listone'!B94)&gt;0,INDEX(Asta!$K$4:$K$47,MATCH('_Supporto Listone'!B94,Asta!$J$4:$J$47,0)),IF(COUNTIF(Asta!$L$4:$L$47,'_Supporto Listone'!B94)&gt;0,INDEX(Asta!$M$4:$M$47,MATCH('_Supporto Listone'!B94,Asta!$L$4:$L$47,0)),IF(COUNTIF(Asta!$N$4:$N$47,'_Supporto Listone'!B94)&gt;0,INDEX(Asta!$O$4:$O$47,MATCH('_Supporto Listone'!B94,Asta!$N$4:$N$47,0)),IF(COUNTIF(Asta!$P$4:$P$47,'_Supporto Listone'!B94)&gt;0,INDEX(Asta!$Q$4:$Q$47,MATCH('_Supporto Listone'!B94,Asta!$P$4:$P$47,0)),IF(COUNTIF(Asta!$R$4:$R$47,'_Supporto Listone'!B94)&gt;0,INDEX(Asta!$S$4:$S$47,MATCH('_Supporto Listone'!B94,Asta!$R$4:$R$47,0)),IF(COUNTIF(Asta!$T$4:$T$47,'_Supporto Listone'!B94)&gt;0,INDEX(Asta!$U$4:$U$47,MATCH('_Supporto Listone'!B94,Asta!$T$4:$T$47,0)),""))))))))))</x:f>
      </x:c>
    </x:row>
    <x:row r="95">
      <x:c r="A95" s="432" t="str">
        <x:f>IF($J95&lt;&gt;"",REGEXREPLACE(TO_TEXT('_Supporto Listone'!A95),"(.)","$1"&amp;UNICHAR(822)),'_Supporto Listone'!A95)</x:f>
        <x:v>D</x:v>
      </x:c>
      <x:c r="B95" s="433" t="str">
        <x:f>IF($J95&lt;&gt;"",REGEXREPLACE(TO_TEXT('_Supporto Listone'!B95),"(.)","$1"&amp;UNICHAR(822)),'_Supporto Listone'!B95)</x:f>
        <x:v>Miranda J.</x:v>
      </x:c>
      <x:c r="C95" s="433" t="str">
        <x:f>IF($J95&lt;&gt;"",REGEXREPLACE(TO_TEXT('_Supporto Listone'!C95),"(.)","$1"&amp;UNICHAR(822)),'_Supporto Listone'!C95)</x:f>
        <x:v>Bologna</x:v>
      </x:c>
      <x:c r="D95" s="433" t="str">
        <x:f>IF($J95&lt;&gt;"",REGEXREPLACE(TO_TEXT('_Supporto Listone'!D95),"(.)","$1"&amp;UNICHAR(822)),'_Supporto Listone'!D95)</x:f>
        <x:v>Ds;E</x:v>
      </x:c>
      <x:c r="E95" s="433" t="str">
        <x:f>IF($J95&lt;&gt;"",REGEXREPLACE(TO_TEXT('_Supporto Listone'!E95),"(.)","$1"&amp;UNICHAR(822)),'_Supporto Listone'!E95)</x:f>
        <x:v>Titolare</x:v>
      </x:c>
      <x:c r="F95" s="462" t="n">
        <x:f>IF($J95&lt;&gt;"",REGEXREPLACE(TO_TEXT('_Supporto Listone'!F95),"(.)","$1"&amp;UNICHAR(822)),'_Supporto Listone'!F95)</x:f>
        <x:v>8</x:v>
      </x:c>
      <x:c r="G95" s="462" t="n">
        <x:f>IF($J95&lt;&gt;"",REGEXREPLACE(TO_TEXT('_Supporto Listone'!G95),"(.)","$1"&amp;UNICHAR(822)),'_Supporto Listone'!G95)</x:f>
        <x:v>24</x:v>
      </x:c>
      <x:c r="H95" s="462" t="n">
        <x:f>IF($J95&lt;&gt;"",REGEXREPLACE(TO_TEXT('_Supporto Listone'!H95),"(.)","$1"&amp;UNICHAR(822)),'_Supporto Listone'!H95)</x:f>
        <x:v>12</x:v>
      </x:c>
      <x:c r="I95" s="434" t="str">
        <x:f>IF($J95&lt;&gt;"",REGEXREPLACE(TO_TEXT('_Supporto Listone'!I95),"(.)","$1"&amp;UNICHAR(822)),'_Supporto Listone'!I95)</x:f>
        <x:v>Piazzati</x:v>
      </x:c>
      <x:c r="J95" s="433" t="str">
        <x:f>IF(COUNTIF(Asta!$B$4:$B$47,'_Supporto Listone'!B95)&gt;0,"Simone",IF(COUNTIF(Asta!$D$4:$D$47,'_Supporto Listone'!B95)&gt;0,"Giacomo",IF(COUNTIF(Asta!$F$4:$F$47,'_Supporto Listone'!B95)&gt;0,"Niko",IF(COUNTIF(Asta!$H$4:$H$47,'_Supporto Listone'!B95)&gt;0,"Quici",IF(COUNTIF(Asta!$J$4:$J$47,'_Supporto Listone'!B95)&gt;0,"Fratello Quici",IF(COUNTIF(Asta!$L$4:$L$47,'_Supporto Listone'!B95)&gt;0,"Nicolò",IF(COUNTIF(Asta!$N$4:$N$47,'_Supporto Listone'!B95)&gt;0,"Vi",IF(COUNTIF(Asta!$P$4:$P$47,'_Supporto Listone'!B95)&gt;0,"Lore",IF(COUNTIF(Asta!$R$4:$R$47,'_Supporto Listone'!B95)&gt;0,"Robbo",IF(COUNTIF(Asta!$T$4:$T$47,'_Supporto Listone'!B95)&gt;0,"Ale",""))))))))))</x:f>
      </x:c>
      <x:c r="K95" s="493" t="str">
        <x:f>IF(COUNTIF(Asta!$B$4:$B$47,'_Supporto Listone'!B95)&gt;0,INDEX(Asta!$C$4:$C$47,MATCH('_Supporto Listone'!B95,Asta!$B$4:$B$47,0)),IF(COUNTIF(Asta!$D$4:$D$47,'_Supporto Listone'!B95)&gt;0,INDEX(Asta!$E$4:$E$47,MATCH('_Supporto Listone'!B95,Asta!$D$4:$D$47,0)),IF(COUNTIF(Asta!$F$4:$F$47,'_Supporto Listone'!B95)&gt;0,INDEX(Asta!$G$4:$G$47,MATCH('_Supporto Listone'!B95,Asta!$F$4:$F$47,0)),IF(COUNTIF(Asta!$H$4:$H$47,'_Supporto Listone'!B95)&gt;0,INDEX(Asta!$I$4:$I$47,MATCH('_Supporto Listone'!B95,Asta!$H$4:$H$47,0)),IF(COUNTIF(Asta!$J$4:$J$47,'_Supporto Listone'!B95)&gt;0,INDEX(Asta!$K$4:$K$47,MATCH('_Supporto Listone'!B95,Asta!$J$4:$J$47,0)),IF(COUNTIF(Asta!$L$4:$L$47,'_Supporto Listone'!B95)&gt;0,INDEX(Asta!$M$4:$M$47,MATCH('_Supporto Listone'!B95,Asta!$L$4:$L$47,0)),IF(COUNTIF(Asta!$N$4:$N$47,'_Supporto Listone'!B95)&gt;0,INDEX(Asta!$O$4:$O$47,MATCH('_Supporto Listone'!B95,Asta!$N$4:$N$47,0)),IF(COUNTIF(Asta!$P$4:$P$47,'_Supporto Listone'!B95)&gt;0,INDEX(Asta!$Q$4:$Q$47,MATCH('_Supporto Listone'!B95,Asta!$P$4:$P$47,0)),IF(COUNTIF(Asta!$R$4:$R$47,'_Supporto Listone'!B95)&gt;0,INDEX(Asta!$S$4:$S$47,MATCH('_Supporto Listone'!B95,Asta!$R$4:$R$47,0)),IF(COUNTIF(Asta!$T$4:$T$47,'_Supporto Listone'!B95)&gt;0,INDEX(Asta!$U$4:$U$47,MATCH('_Supporto Listone'!B95,Asta!$T$4:$T$47,0)),""))))))))))</x:f>
      </x:c>
    </x:row>
    <x:row r="96">
      <x:c r="A96" s="432" t="str">
        <x:f>IF($J96&lt;&gt;"",REGEXREPLACE(TO_TEXT('_Supporto Listone'!A96),"(.)","$1"&amp;UNICHAR(822)),'_Supporto Listone'!A96)</x:f>
        <x:v>D</x:v>
      </x:c>
      <x:c r="B96" s="433" t="str">
        <x:f>IF($J96&lt;&gt;"",REGEXREPLACE(TO_TEXT('_Supporto Listone'!B96),"(.)","$1"&amp;UNICHAR(822)),'_Supporto Listone'!B96)</x:f>
        <x:v>Mina</x:v>
      </x:c>
      <x:c r="C96" s="433" t="str">
        <x:f>IF($J96&lt;&gt;"",REGEXREPLACE(TO_TEXT('_Supporto Listone'!C96),"(.)","$1"&amp;UNICHAR(822)),'_Supporto Listone'!C96)</x:f>
        <x:v>Cagliari</x:v>
      </x:c>
      <x:c r="D96" s="433" t="str">
        <x:f>IF($J96&lt;&gt;"",REGEXREPLACE(TO_TEXT('_Supporto Listone'!D96),"(.)","$1"&amp;UNICHAR(822)),'_Supporto Listone'!D96)</x:f>
        <x:v>Dc</x:v>
      </x:c>
      <x:c r="E96" s="433" t="str">
        <x:f>IF($J96&lt;&gt;"",REGEXREPLACE(TO_TEXT('_Supporto Listone'!E96),"(.)","$1"&amp;UNICHAR(822)),'_Supporto Listone'!E96)</x:f>
        <x:v>Titolare</x:v>
      </x:c>
      <x:c r="F96" s="462" t="n">
        <x:f>IF($J96&lt;&gt;"",REGEXREPLACE(TO_TEXT('_Supporto Listone'!F96),"(.)","$1"&amp;UNICHAR(822)),'_Supporto Listone'!F96)</x:f>
        <x:v>8</x:v>
      </x:c>
      <x:c r="G96" s="462" t="n">
        <x:f>IF($J96&lt;&gt;"",REGEXREPLACE(TO_TEXT('_Supporto Listone'!G96),"(.)","$1"&amp;UNICHAR(822)),'_Supporto Listone'!G96)</x:f>
        <x:v>20</x:v>
      </x:c>
      <x:c r="H96" s="462" t="n">
        <x:f>IF($J96&lt;&gt;"",REGEXREPLACE(TO_TEXT('_Supporto Listone'!H96),"(.)","$1"&amp;UNICHAR(822)),'_Supporto Listone'!H96)</x:f>
        <x:v>10</x:v>
      </x:c>
      <x:c r="I96" s="434" t="str">
        <x:f>IF($J96&lt;&gt;"",REGEXREPLACE(TO_TEXT('_Supporto Listone'!I96),"(.)","$1"&amp;UNICHAR(822)),'_Supporto Listone'!I96)</x:f>
        <x:v>Rigorista</x:v>
      </x:c>
      <x:c r="J96" s="433" t="str">
        <x:f>IF(COUNTIF(Asta!$B$4:$B$47,'_Supporto Listone'!B96)&gt;0,"Simone",IF(COUNTIF(Asta!$D$4:$D$47,'_Supporto Listone'!B96)&gt;0,"Giacomo",IF(COUNTIF(Asta!$F$4:$F$47,'_Supporto Listone'!B96)&gt;0,"Niko",IF(COUNTIF(Asta!$H$4:$H$47,'_Supporto Listone'!B96)&gt;0,"Quici",IF(COUNTIF(Asta!$J$4:$J$47,'_Supporto Listone'!B96)&gt;0,"Fratello Quici",IF(COUNTIF(Asta!$L$4:$L$47,'_Supporto Listone'!B96)&gt;0,"Nicolò",IF(COUNTIF(Asta!$N$4:$N$47,'_Supporto Listone'!B96)&gt;0,"Vi",IF(COUNTIF(Asta!$P$4:$P$47,'_Supporto Listone'!B96)&gt;0,"Lore",IF(COUNTIF(Asta!$R$4:$R$47,'_Supporto Listone'!B96)&gt;0,"Robbo",IF(COUNTIF(Asta!$T$4:$T$47,'_Supporto Listone'!B96)&gt;0,"Ale",""))))))))))</x:f>
      </x:c>
      <x:c r="K96" s="493" t="str">
        <x:f>IF(COUNTIF(Asta!$B$4:$B$47,'_Supporto Listone'!B96)&gt;0,INDEX(Asta!$C$4:$C$47,MATCH('_Supporto Listone'!B96,Asta!$B$4:$B$47,0)),IF(COUNTIF(Asta!$D$4:$D$47,'_Supporto Listone'!B96)&gt;0,INDEX(Asta!$E$4:$E$47,MATCH('_Supporto Listone'!B96,Asta!$D$4:$D$47,0)),IF(COUNTIF(Asta!$F$4:$F$47,'_Supporto Listone'!B96)&gt;0,INDEX(Asta!$G$4:$G$47,MATCH('_Supporto Listone'!B96,Asta!$F$4:$F$47,0)),IF(COUNTIF(Asta!$H$4:$H$47,'_Supporto Listone'!B96)&gt;0,INDEX(Asta!$I$4:$I$47,MATCH('_Supporto Listone'!B96,Asta!$H$4:$H$47,0)),IF(COUNTIF(Asta!$J$4:$J$47,'_Supporto Listone'!B96)&gt;0,INDEX(Asta!$K$4:$K$47,MATCH('_Supporto Listone'!B96,Asta!$J$4:$J$47,0)),IF(COUNTIF(Asta!$L$4:$L$47,'_Supporto Listone'!B96)&gt;0,INDEX(Asta!$M$4:$M$47,MATCH('_Supporto Listone'!B96,Asta!$L$4:$L$47,0)),IF(COUNTIF(Asta!$N$4:$N$47,'_Supporto Listone'!B96)&gt;0,INDEX(Asta!$O$4:$O$47,MATCH('_Supporto Listone'!B96,Asta!$N$4:$N$47,0)),IF(COUNTIF(Asta!$P$4:$P$47,'_Supporto Listone'!B96)&gt;0,INDEX(Asta!$Q$4:$Q$47,MATCH('_Supporto Listone'!B96,Asta!$P$4:$P$47,0)),IF(COUNTIF(Asta!$R$4:$R$47,'_Supporto Listone'!B96)&gt;0,INDEX(Asta!$S$4:$S$47,MATCH('_Supporto Listone'!B96,Asta!$R$4:$R$47,0)),IF(COUNTIF(Asta!$T$4:$T$47,'_Supporto Listone'!B96)&gt;0,INDEX(Asta!$U$4:$U$47,MATCH('_Supporto Listone'!B96,Asta!$T$4:$T$47,0)),""))))))))))</x:f>
      </x:c>
    </x:row>
    <x:row r="97">
      <x:c r="A97" s="432" t="str">
        <x:f>IF($J97&lt;&gt;"",REGEXREPLACE(TO_TEXT('_Supporto Listone'!A97),"(.)","$1"&amp;UNICHAR(822)),'_Supporto Listone'!A97)</x:f>
        <x:v>D</x:v>
      </x:c>
      <x:c r="B97" s="433" t="str">
        <x:f>IF($J97&lt;&gt;"",REGEXREPLACE(TO_TEXT('_Supporto Listone'!B97),"(.)","$1"&amp;UNICHAR(822)),'_Supporto Listone'!B97)</x:f>
        <x:v>Dragusin</x:v>
      </x:c>
      <x:c r="C97" s="433" t="str">
        <x:f>IF($J97&lt;&gt;"",REGEXREPLACE(TO_TEXT('_Supporto Listone'!C97),"(.)","$1"&amp;UNICHAR(822)),'_Supporto Listone'!C97)</x:f>
        <x:v>Fiorentina</x:v>
      </x:c>
      <x:c r="D97" s="433" t="str">
        <x:f>IF($J97&lt;&gt;"",REGEXREPLACE(TO_TEXT('_Supporto Listone'!D97),"(.)","$1"&amp;UNICHAR(822)),'_Supporto Listone'!D97)</x:f>
        <x:v>Dc</x:v>
      </x:c>
      <x:c r="E97" s="433" t="str">
        <x:f>IF($J97&lt;&gt;"",REGEXREPLACE(TO_TEXT('_Supporto Listone'!E97),"(.)","$1"&amp;UNICHAR(822)),'_Supporto Listone'!E97)</x:f>
        <x:v>Titolare</x:v>
      </x:c>
      <x:c r="F97" s="462" t="n">
        <x:f>IF($J97&lt;&gt;"",REGEXREPLACE(TO_TEXT('_Supporto Listone'!F97),"(.)","$1"&amp;UNICHAR(822)),'_Supporto Listone'!F97)</x:f>
        <x:v>8</x:v>
      </x:c>
      <x:c r="G97" s="462" t="n">
        <x:f>IF($J97&lt;&gt;"",REGEXREPLACE(TO_TEXT('_Supporto Listone'!G97),"(.)","$1"&amp;UNICHAR(822)),'_Supporto Listone'!G97)</x:f>
        <x:v>27</x:v>
      </x:c>
      <x:c r="H97" s="462" t="n">
        <x:f>IF($J97&lt;&gt;"",REGEXREPLACE(TO_TEXT('_Supporto Listone'!H97),"(.)","$1"&amp;UNICHAR(822)),'_Supporto Listone'!H97)</x:f>
        <x:v>14</x:v>
      </x:c>
      <x:c r="I97" s="434"/>
      <x:c r="J97" s="433" t="str">
        <x:f>IF(COUNTIF(Asta!$B$4:$B$47,'_Supporto Listone'!B97)&gt;0,"Simone",IF(COUNTIF(Asta!$D$4:$D$47,'_Supporto Listone'!B97)&gt;0,"Giacomo",IF(COUNTIF(Asta!$F$4:$F$47,'_Supporto Listone'!B97)&gt;0,"Niko",IF(COUNTIF(Asta!$H$4:$H$47,'_Supporto Listone'!B97)&gt;0,"Quici",IF(COUNTIF(Asta!$J$4:$J$47,'_Supporto Listone'!B97)&gt;0,"Fratello Quici",IF(COUNTIF(Asta!$L$4:$L$47,'_Supporto Listone'!B97)&gt;0,"Nicolò",IF(COUNTIF(Asta!$N$4:$N$47,'_Supporto Listone'!B97)&gt;0,"Vi",IF(COUNTIF(Asta!$P$4:$P$47,'_Supporto Listone'!B97)&gt;0,"Lore",IF(COUNTIF(Asta!$R$4:$R$47,'_Supporto Listone'!B97)&gt;0,"Robbo",IF(COUNTIF(Asta!$T$4:$T$47,'_Supporto Listone'!B97)&gt;0,"Ale",""))))))))))</x:f>
      </x:c>
      <x:c r="K97" s="493" t="str">
        <x:f>IF(COUNTIF(Asta!$B$4:$B$47,'_Supporto Listone'!B97)&gt;0,INDEX(Asta!$C$4:$C$47,MATCH('_Supporto Listone'!B97,Asta!$B$4:$B$47,0)),IF(COUNTIF(Asta!$D$4:$D$47,'_Supporto Listone'!B97)&gt;0,INDEX(Asta!$E$4:$E$47,MATCH('_Supporto Listone'!B97,Asta!$D$4:$D$47,0)),IF(COUNTIF(Asta!$F$4:$F$47,'_Supporto Listone'!B97)&gt;0,INDEX(Asta!$G$4:$G$47,MATCH('_Supporto Listone'!B97,Asta!$F$4:$F$47,0)),IF(COUNTIF(Asta!$H$4:$H$47,'_Supporto Listone'!B97)&gt;0,INDEX(Asta!$I$4:$I$47,MATCH('_Supporto Listone'!B97,Asta!$H$4:$H$47,0)),IF(COUNTIF(Asta!$J$4:$J$47,'_Supporto Listone'!B97)&gt;0,INDEX(Asta!$K$4:$K$47,MATCH('_Supporto Listone'!B97,Asta!$J$4:$J$47,0)),IF(COUNTIF(Asta!$L$4:$L$47,'_Supporto Listone'!B97)&gt;0,INDEX(Asta!$M$4:$M$47,MATCH('_Supporto Listone'!B97,Asta!$L$4:$L$47,0)),IF(COUNTIF(Asta!$N$4:$N$47,'_Supporto Listone'!B97)&gt;0,INDEX(Asta!$O$4:$O$47,MATCH('_Supporto Listone'!B97,Asta!$N$4:$N$47,0)),IF(COUNTIF(Asta!$P$4:$P$47,'_Supporto Listone'!B97)&gt;0,INDEX(Asta!$Q$4:$Q$47,MATCH('_Supporto Listone'!B97,Asta!$P$4:$P$47,0)),IF(COUNTIF(Asta!$R$4:$R$47,'_Supporto Listone'!B97)&gt;0,INDEX(Asta!$S$4:$S$47,MATCH('_Supporto Listone'!B97,Asta!$R$4:$R$47,0)),IF(COUNTIF(Asta!$T$4:$T$47,'_Supporto Listone'!B97)&gt;0,INDEX(Asta!$U$4:$U$47,MATCH('_Supporto Listone'!B97,Asta!$T$4:$T$47,0)),""))))))))))</x:f>
      </x:c>
    </x:row>
    <x:row r="98">
      <x:c r="A98" s="432" t="str">
        <x:f>IF($J98&lt;&gt;"",REGEXREPLACE(TO_TEXT('_Supporto Listone'!A98),"(.)","$1"&amp;UNICHAR(822)),'_Supporto Listone'!A98)</x:f>
        <x:v>D</x:v>
      </x:c>
      <x:c r="B98" s="433" t="str">
        <x:f>IF($J98&lt;&gt;"",REGEXREPLACE(TO_TEXT('_Supporto Listone'!B98),"(.)","$1"&amp;UNICHAR(822)),'_Supporto Listone'!B98)</x:f>
        <x:v>Jimenez A.</x:v>
      </x:c>
      <x:c r="C98" s="433" t="str">
        <x:f>IF($J98&lt;&gt;"",REGEXREPLACE(TO_TEXT('_Supporto Listone'!C98),"(.)","$1"&amp;UNICHAR(822)),'_Supporto Listone'!C98)</x:f>
        <x:v>Fiorentina</x:v>
      </x:c>
      <x:c r="D98" s="433" t="str">
        <x:f>IF($J98&lt;&gt;"",REGEXREPLACE(TO_TEXT('_Supporto Listone'!D98),"(.)","$1"&amp;UNICHAR(822)),'_Supporto Listone'!D98)</x:f>
        <x:v>Dd;Ds;E</x:v>
      </x:c>
      <x:c r="E98" s="433" t="str">
        <x:f>IF($J98&lt;&gt;"",REGEXREPLACE(TO_TEXT('_Supporto Listone'!E98),"(.)","$1"&amp;UNICHAR(822)),'_Supporto Listone'!E98)</x:f>
        <x:v>Titolare / ballottaggio</x:v>
      </x:c>
      <x:c r="F98" s="462" t="n">
        <x:f>IF($J98&lt;&gt;"",REGEXREPLACE(TO_TEXT('_Supporto Listone'!F98),"(.)","$1"&amp;UNICHAR(822)),'_Supporto Listone'!F98)</x:f>
        <x:v>8</x:v>
      </x:c>
      <x:c r="G98" s="462" t="n">
        <x:f>IF($J98&lt;&gt;"",REGEXREPLACE(TO_TEXT('_Supporto Listone'!G98),"(.)","$1"&amp;UNICHAR(822)),'_Supporto Listone'!G98)</x:f>
        <x:v>23</x:v>
      </x:c>
      <x:c r="H98" s="462" t="n">
        <x:f>IF($J98&lt;&gt;"",REGEXREPLACE(TO_TEXT('_Supporto Listone'!H98),"(.)","$1"&amp;UNICHAR(822)),'_Supporto Listone'!H98)</x:f>
        <x:v>12</x:v>
      </x:c>
      <x:c r="I98" s="434"/>
      <x:c r="J98" s="433" t="str">
        <x:f>IF(COUNTIF(Asta!$B$4:$B$47,'_Supporto Listone'!B98)&gt;0,"Simone",IF(COUNTIF(Asta!$D$4:$D$47,'_Supporto Listone'!B98)&gt;0,"Giacomo",IF(COUNTIF(Asta!$F$4:$F$47,'_Supporto Listone'!B98)&gt;0,"Niko",IF(COUNTIF(Asta!$H$4:$H$47,'_Supporto Listone'!B98)&gt;0,"Quici",IF(COUNTIF(Asta!$J$4:$J$47,'_Supporto Listone'!B98)&gt;0,"Fratello Quici",IF(COUNTIF(Asta!$L$4:$L$47,'_Supporto Listone'!B98)&gt;0,"Nicolò",IF(COUNTIF(Asta!$N$4:$N$47,'_Supporto Listone'!B98)&gt;0,"Vi",IF(COUNTIF(Asta!$P$4:$P$47,'_Supporto Listone'!B98)&gt;0,"Lore",IF(COUNTIF(Asta!$R$4:$R$47,'_Supporto Listone'!B98)&gt;0,"Robbo",IF(COUNTIF(Asta!$T$4:$T$47,'_Supporto Listone'!B98)&gt;0,"Ale",""))))))))))</x:f>
      </x:c>
      <x:c r="K98" s="493" t="str">
        <x:f>IF(COUNTIF(Asta!$B$4:$B$47,'_Supporto Listone'!B98)&gt;0,INDEX(Asta!$C$4:$C$47,MATCH('_Supporto Listone'!B98,Asta!$B$4:$B$47,0)),IF(COUNTIF(Asta!$D$4:$D$47,'_Supporto Listone'!B98)&gt;0,INDEX(Asta!$E$4:$E$47,MATCH('_Supporto Listone'!B98,Asta!$D$4:$D$47,0)),IF(COUNTIF(Asta!$F$4:$F$47,'_Supporto Listone'!B98)&gt;0,INDEX(Asta!$G$4:$G$47,MATCH('_Supporto Listone'!B98,Asta!$F$4:$F$47,0)),IF(COUNTIF(Asta!$H$4:$H$47,'_Supporto Listone'!B98)&gt;0,INDEX(Asta!$I$4:$I$47,MATCH('_Supporto Listone'!B98,Asta!$H$4:$H$47,0)),IF(COUNTIF(Asta!$J$4:$J$47,'_Supporto Listone'!B98)&gt;0,INDEX(Asta!$K$4:$K$47,MATCH('_Supporto Listone'!B98,Asta!$J$4:$J$47,0)),IF(COUNTIF(Asta!$L$4:$L$47,'_Supporto Listone'!B98)&gt;0,INDEX(Asta!$M$4:$M$47,MATCH('_Supporto Listone'!B98,Asta!$L$4:$L$47,0)),IF(COUNTIF(Asta!$N$4:$N$47,'_Supporto Listone'!B98)&gt;0,INDEX(Asta!$O$4:$O$47,MATCH('_Supporto Listone'!B98,Asta!$N$4:$N$47,0)),IF(COUNTIF(Asta!$P$4:$P$47,'_Supporto Listone'!B98)&gt;0,INDEX(Asta!$Q$4:$Q$47,MATCH('_Supporto Listone'!B98,Asta!$P$4:$P$47,0)),IF(COUNTIF(Asta!$R$4:$R$47,'_Supporto Listone'!B98)&gt;0,INDEX(Asta!$S$4:$S$47,MATCH('_Supporto Listone'!B98,Asta!$R$4:$R$47,0)),IF(COUNTIF(Asta!$T$4:$T$47,'_Supporto Listone'!B98)&gt;0,INDEX(Asta!$U$4:$U$47,MATCH('_Supporto Listone'!B98,Asta!$T$4:$T$47,0)),""))))))))))</x:f>
      </x:c>
    </x:row>
    <x:row r="99">
      <x:c r="A99" s="432" t="str">
        <x:f>IF($J99&lt;&gt;"",REGEXREPLACE(TO_TEXT('_Supporto Listone'!A99),"(.)","$1"&amp;UNICHAR(822)),'_Supporto Listone'!A99)</x:f>
        <x:v>D</x:v>
      </x:c>
      <x:c r="B99" s="433" t="str">
        <x:f>IF($J99&lt;&gt;"",REGEXREPLACE(TO_TEXT('_Supporto Listone'!B99),"(.)","$1"&amp;UNICHAR(822)),'_Supporto Listone'!B99)</x:f>
        <x:v>Norton-Cuffy</x:v>
      </x:c>
      <x:c r="C99" s="433" t="str">
        <x:f>IF($J99&lt;&gt;"",REGEXREPLACE(TO_TEXT('_Supporto Listone'!C99),"(.)","$1"&amp;UNICHAR(822)),'_Supporto Listone'!C99)</x:f>
        <x:v>Genoa</x:v>
      </x:c>
      <x:c r="D99" s="433" t="str">
        <x:f>IF($J99&lt;&gt;"",REGEXREPLACE(TO_TEXT('_Supporto Listone'!D99),"(.)","$1"&amp;UNICHAR(822)),'_Supporto Listone'!D99)</x:f>
        <x:v>Dd;E</x:v>
      </x:c>
      <x:c r="E99" s="433" t="str">
        <x:f>IF($J99&lt;&gt;"",REGEXREPLACE(TO_TEXT('_Supporto Listone'!E99),"(.)","$1"&amp;UNICHAR(822)),'_Supporto Listone'!E99)</x:f>
        <x:v>Riserva / rotazione</x:v>
      </x:c>
      <x:c r="F99" s="462" t="n">
        <x:f>IF($J99&lt;&gt;"",REGEXREPLACE(TO_TEXT('_Supporto Listone'!F99),"(.)","$1"&amp;UNICHAR(822)),'_Supporto Listone'!F99)</x:f>
        <x:v>8</x:v>
      </x:c>
      <x:c r="G99" s="462" t="n">
        <x:f>IF($J99&lt;&gt;"",REGEXREPLACE(TO_TEXT('_Supporto Listone'!G99),"(.)","$1"&amp;UNICHAR(822)),'_Supporto Listone'!G99)</x:f>
        <x:v>22</x:v>
      </x:c>
      <x:c r="H99" s="462" t="n">
        <x:f>IF($J99&lt;&gt;"",REGEXREPLACE(TO_TEXT('_Supporto Listone'!H99),"(.)","$1"&amp;UNICHAR(822)),'_Supporto Listone'!H99)</x:f>
        <x:v>11</x:v>
      </x:c>
      <x:c r="I99" s="434"/>
      <x:c r="J99" s="433" t="str">
        <x:f>IF(COUNTIF(Asta!$B$4:$B$47,'_Supporto Listone'!B99)&gt;0,"Simone",IF(COUNTIF(Asta!$D$4:$D$47,'_Supporto Listone'!B99)&gt;0,"Giacomo",IF(COUNTIF(Asta!$F$4:$F$47,'_Supporto Listone'!B99)&gt;0,"Niko",IF(COUNTIF(Asta!$H$4:$H$47,'_Supporto Listone'!B99)&gt;0,"Quici",IF(COUNTIF(Asta!$J$4:$J$47,'_Supporto Listone'!B99)&gt;0,"Fratello Quici",IF(COUNTIF(Asta!$L$4:$L$47,'_Supporto Listone'!B99)&gt;0,"Nicolò",IF(COUNTIF(Asta!$N$4:$N$47,'_Supporto Listone'!B99)&gt;0,"Vi",IF(COUNTIF(Asta!$P$4:$P$47,'_Supporto Listone'!B99)&gt;0,"Lore",IF(COUNTIF(Asta!$R$4:$R$47,'_Supporto Listone'!B99)&gt;0,"Robbo",IF(COUNTIF(Asta!$T$4:$T$47,'_Supporto Listone'!B99)&gt;0,"Ale",""))))))))))</x:f>
      </x:c>
      <x:c r="K99" s="493" t="str">
        <x:f>IF(COUNTIF(Asta!$B$4:$B$47,'_Supporto Listone'!B99)&gt;0,INDEX(Asta!$C$4:$C$47,MATCH('_Supporto Listone'!B99,Asta!$B$4:$B$47,0)),IF(COUNTIF(Asta!$D$4:$D$47,'_Supporto Listone'!B99)&gt;0,INDEX(Asta!$E$4:$E$47,MATCH('_Supporto Listone'!B99,Asta!$D$4:$D$47,0)),IF(COUNTIF(Asta!$F$4:$F$47,'_Supporto Listone'!B99)&gt;0,INDEX(Asta!$G$4:$G$47,MATCH('_Supporto Listone'!B99,Asta!$F$4:$F$47,0)),IF(COUNTIF(Asta!$H$4:$H$47,'_Supporto Listone'!B99)&gt;0,INDEX(Asta!$I$4:$I$47,MATCH('_Supporto Listone'!B99,Asta!$H$4:$H$47,0)),IF(COUNTIF(Asta!$J$4:$J$47,'_Supporto Listone'!B99)&gt;0,INDEX(Asta!$K$4:$K$47,MATCH('_Supporto Listone'!B99,Asta!$J$4:$J$47,0)),IF(COUNTIF(Asta!$L$4:$L$47,'_Supporto Listone'!B99)&gt;0,INDEX(Asta!$M$4:$M$47,MATCH('_Supporto Listone'!B99,Asta!$L$4:$L$47,0)),IF(COUNTIF(Asta!$N$4:$N$47,'_Supporto Listone'!B99)&gt;0,INDEX(Asta!$O$4:$O$47,MATCH('_Supporto Listone'!B99,Asta!$N$4:$N$47,0)),IF(COUNTIF(Asta!$P$4:$P$47,'_Supporto Listone'!B99)&gt;0,INDEX(Asta!$Q$4:$Q$47,MATCH('_Supporto Listone'!B99,Asta!$P$4:$P$47,0)),IF(COUNTIF(Asta!$R$4:$R$47,'_Supporto Listone'!B99)&gt;0,INDEX(Asta!$S$4:$S$47,MATCH('_Supporto Listone'!B99,Asta!$R$4:$R$47,0)),IF(COUNTIF(Asta!$T$4:$T$47,'_Supporto Listone'!B99)&gt;0,INDEX(Asta!$U$4:$U$47,MATCH('_Supporto Listone'!B99,Asta!$T$4:$T$47,0)),""))))))))))</x:f>
      </x:c>
    </x:row>
    <x:row r="100">
      <x:c r="A100" s="432" t="str">
        <x:f>IF($J100&lt;&gt;"",REGEXREPLACE(TO_TEXT('_Supporto Listone'!A100),"(.)","$1"&amp;UNICHAR(822)),'_Supporto Listone'!A100)</x:f>
        <x:v>D</x:v>
      </x:c>
      <x:c r="B100" s="433" t="str">
        <x:f>IF($J100&lt;&gt;"",REGEXREPLACE(TO_TEXT('_Supporto Listone'!B100),"(.)","$1"&amp;UNICHAR(822)),'_Supporto Listone'!B100)</x:f>
        <x:v>Celik</x:v>
      </x:c>
      <x:c r="C100" s="433" t="str">
        <x:f>IF($J100&lt;&gt;"",REGEXREPLACE(TO_TEXT('_Supporto Listone'!C100),"(.)","$1"&amp;UNICHAR(822)),'_Supporto Listone'!C100)</x:f>
        <x:v>Juventus</x:v>
      </x:c>
      <x:c r="D100" s="433" t="str">
        <x:f>IF($J100&lt;&gt;"",REGEXREPLACE(TO_TEXT('_Supporto Listone'!D100),"(.)","$1"&amp;UNICHAR(822)),'_Supporto Listone'!D100)</x:f>
        <x:v>B;Dd;E</x:v>
      </x:c>
      <x:c r="E100" s="433" t="str">
        <x:f>IF($J100&lt;&gt;"",REGEXREPLACE(TO_TEXT('_Supporto Listone'!E100),"(.)","$1"&amp;UNICHAR(822)),'_Supporto Listone'!E100)</x:f>
        <x:v>Titolare / ballottaggio</x:v>
      </x:c>
      <x:c r="F100" s="462" t="n">
        <x:f>IF($J100&lt;&gt;"",REGEXREPLACE(TO_TEXT('_Supporto Listone'!F100),"(.)","$1"&amp;UNICHAR(822)),'_Supporto Listone'!F100)</x:f>
        <x:v>8</x:v>
      </x:c>
      <x:c r="G100" s="462" t="n">
        <x:f>IF($J100&lt;&gt;"",REGEXREPLACE(TO_TEXT('_Supporto Listone'!G100),"(.)","$1"&amp;UNICHAR(822)),'_Supporto Listone'!G100)</x:f>
        <x:v>21</x:v>
      </x:c>
      <x:c r="H100" s="462" t="n">
        <x:f>IF($J100&lt;&gt;"",REGEXREPLACE(TO_TEXT('_Supporto Listone'!H100),"(.)","$1"&amp;UNICHAR(822)),'_Supporto Listone'!H100)</x:f>
        <x:v>11</x:v>
      </x:c>
      <x:c r="I100" s="434"/>
      <x:c r="J100" s="433" t="str">
        <x:f>IF(COUNTIF(Asta!$B$4:$B$47,'_Supporto Listone'!B100)&gt;0,"Simone",IF(COUNTIF(Asta!$D$4:$D$47,'_Supporto Listone'!B100)&gt;0,"Giacomo",IF(COUNTIF(Asta!$F$4:$F$47,'_Supporto Listone'!B100)&gt;0,"Niko",IF(COUNTIF(Asta!$H$4:$H$47,'_Supporto Listone'!B100)&gt;0,"Quici",IF(COUNTIF(Asta!$J$4:$J$47,'_Supporto Listone'!B100)&gt;0,"Fratello Quici",IF(COUNTIF(Asta!$L$4:$L$47,'_Supporto Listone'!B100)&gt;0,"Nicolò",IF(COUNTIF(Asta!$N$4:$N$47,'_Supporto Listone'!B100)&gt;0,"Vi",IF(COUNTIF(Asta!$P$4:$P$47,'_Supporto Listone'!B100)&gt;0,"Lore",IF(COUNTIF(Asta!$R$4:$R$47,'_Supporto Listone'!B100)&gt;0,"Robbo",IF(COUNTIF(Asta!$T$4:$T$47,'_Supporto Listone'!B100)&gt;0,"Ale",""))))))))))</x:f>
      </x:c>
      <x:c r="K100" s="493" t="str">
        <x:f>IF(COUNTIF(Asta!$B$4:$B$47,'_Supporto Listone'!B100)&gt;0,INDEX(Asta!$C$4:$C$47,MATCH('_Supporto Listone'!B100,Asta!$B$4:$B$47,0)),IF(COUNTIF(Asta!$D$4:$D$47,'_Supporto Listone'!B100)&gt;0,INDEX(Asta!$E$4:$E$47,MATCH('_Supporto Listone'!B100,Asta!$D$4:$D$47,0)),IF(COUNTIF(Asta!$F$4:$F$47,'_Supporto Listone'!B100)&gt;0,INDEX(Asta!$G$4:$G$47,MATCH('_Supporto Listone'!B100,Asta!$F$4:$F$47,0)),IF(COUNTIF(Asta!$H$4:$H$47,'_Supporto Listone'!B100)&gt;0,INDEX(Asta!$I$4:$I$47,MATCH('_Supporto Listone'!B100,Asta!$H$4:$H$47,0)),IF(COUNTIF(Asta!$J$4:$J$47,'_Supporto Listone'!B100)&gt;0,INDEX(Asta!$K$4:$K$47,MATCH('_Supporto Listone'!B100,Asta!$J$4:$J$47,0)),IF(COUNTIF(Asta!$L$4:$L$47,'_Supporto Listone'!B100)&gt;0,INDEX(Asta!$M$4:$M$47,MATCH('_Supporto Listone'!B100,Asta!$L$4:$L$47,0)),IF(COUNTIF(Asta!$N$4:$N$47,'_Supporto Listone'!B100)&gt;0,INDEX(Asta!$O$4:$O$47,MATCH('_Supporto Listone'!B100,Asta!$N$4:$N$47,0)),IF(COUNTIF(Asta!$P$4:$P$47,'_Supporto Listone'!B100)&gt;0,INDEX(Asta!$Q$4:$Q$47,MATCH('_Supporto Listone'!B100,Asta!$P$4:$P$47,0)),IF(COUNTIF(Asta!$R$4:$R$47,'_Supporto Listone'!B100)&gt;0,INDEX(Asta!$S$4:$S$47,MATCH('_Supporto Listone'!B100,Asta!$R$4:$R$47,0)),IF(COUNTIF(Asta!$T$4:$T$47,'_Supporto Listone'!B100)&gt;0,INDEX(Asta!$U$4:$U$47,MATCH('_Supporto Listone'!B100,Asta!$T$4:$T$47,0)),""))))))))))</x:f>
      </x:c>
    </x:row>
    <x:row r="101">
      <x:c r="A101" s="432" t="str">
        <x:f>IF($J101&lt;&gt;"",REGEXREPLACE(TO_TEXT('_Supporto Listone'!A101),"(.)","$1"&amp;UNICHAR(822)),'_Supporto Listone'!A101)</x:f>
        <x:v>D</x:v>
      </x:c>
      <x:c r="B101" s="433" t="str">
        <x:f>IF($J101&lt;&gt;"",REGEXREPLACE(TO_TEXT('_Supporto Listone'!B101),"(.)","$1"&amp;UNICHAR(822)),'_Supporto Listone'!B101)</x:f>
        <x:v>Bartesaghi</x:v>
      </x:c>
      <x:c r="C101" s="433" t="str">
        <x:f>IF($J101&lt;&gt;"",REGEXREPLACE(TO_TEXT('_Supporto Listone'!C101),"(.)","$1"&amp;UNICHAR(822)),'_Supporto Listone'!C101)</x:f>
        <x:v>Milan</x:v>
      </x:c>
      <x:c r="D101" s="433" t="str">
        <x:f>IF($J101&lt;&gt;"",REGEXREPLACE(TO_TEXT('_Supporto Listone'!D101),"(.)","$1"&amp;UNICHAR(822)),'_Supporto Listone'!D101)</x:f>
        <x:v>Ds;E</x:v>
      </x:c>
      <x:c r="E101" s="433" t="str">
        <x:f>IF($J101&lt;&gt;"",REGEXREPLACE(TO_TEXT('_Supporto Listone'!E101),"(.)","$1"&amp;UNICHAR(822)),'_Supporto Listone'!E101)</x:f>
        <x:v>Titolare / ballottaggio</x:v>
      </x:c>
      <x:c r="F101" s="462" t="n">
        <x:f>IF($J101&lt;&gt;"",REGEXREPLACE(TO_TEXT('_Supporto Listone'!F101),"(.)","$1"&amp;UNICHAR(822)),'_Supporto Listone'!F101)</x:f>
        <x:v>8</x:v>
      </x:c>
      <x:c r="G101" s="462" t="n">
        <x:f>IF($J101&lt;&gt;"",REGEXREPLACE(TO_TEXT('_Supporto Listone'!G101),"(.)","$1"&amp;UNICHAR(822)),'_Supporto Listone'!G101)</x:f>
        <x:v>25</x:v>
      </x:c>
      <x:c r="H101" s="462" t="n">
        <x:f>IF($J101&lt;&gt;"",REGEXREPLACE(TO_TEXT('_Supporto Listone'!H101),"(.)","$1"&amp;UNICHAR(822)),'_Supporto Listone'!H101)</x:f>
        <x:v>13</x:v>
      </x:c>
      <x:c r="I101" s="434"/>
      <x:c r="J101" s="433" t="str">
        <x:f>IF(COUNTIF(Asta!$B$4:$B$47,'_Supporto Listone'!B101)&gt;0,"Simone",IF(COUNTIF(Asta!$D$4:$D$47,'_Supporto Listone'!B101)&gt;0,"Giacomo",IF(COUNTIF(Asta!$F$4:$F$47,'_Supporto Listone'!B101)&gt;0,"Niko",IF(COUNTIF(Asta!$H$4:$H$47,'_Supporto Listone'!B101)&gt;0,"Quici",IF(COUNTIF(Asta!$J$4:$J$47,'_Supporto Listone'!B101)&gt;0,"Fratello Quici",IF(COUNTIF(Asta!$L$4:$L$47,'_Supporto Listone'!B101)&gt;0,"Nicolò",IF(COUNTIF(Asta!$N$4:$N$47,'_Supporto Listone'!B101)&gt;0,"Vi",IF(COUNTIF(Asta!$P$4:$P$47,'_Supporto Listone'!B101)&gt;0,"Lore",IF(COUNTIF(Asta!$R$4:$R$47,'_Supporto Listone'!B101)&gt;0,"Robbo",IF(COUNTIF(Asta!$T$4:$T$47,'_Supporto Listone'!B101)&gt;0,"Ale",""))))))))))</x:f>
      </x:c>
      <x:c r="K101" s="493" t="str">
        <x:f>IF(COUNTIF(Asta!$B$4:$B$47,'_Supporto Listone'!B101)&gt;0,INDEX(Asta!$C$4:$C$47,MATCH('_Supporto Listone'!B101,Asta!$B$4:$B$47,0)),IF(COUNTIF(Asta!$D$4:$D$47,'_Supporto Listone'!B101)&gt;0,INDEX(Asta!$E$4:$E$47,MATCH('_Supporto Listone'!B101,Asta!$D$4:$D$47,0)),IF(COUNTIF(Asta!$F$4:$F$47,'_Supporto Listone'!B101)&gt;0,INDEX(Asta!$G$4:$G$47,MATCH('_Supporto Listone'!B101,Asta!$F$4:$F$47,0)),IF(COUNTIF(Asta!$H$4:$H$47,'_Supporto Listone'!B101)&gt;0,INDEX(Asta!$I$4:$I$47,MATCH('_Supporto Listone'!B101,Asta!$H$4:$H$47,0)),IF(COUNTIF(Asta!$J$4:$J$47,'_Supporto Listone'!B101)&gt;0,INDEX(Asta!$K$4:$K$47,MATCH('_Supporto Listone'!B101,Asta!$J$4:$J$47,0)),IF(COUNTIF(Asta!$L$4:$L$47,'_Supporto Listone'!B101)&gt;0,INDEX(Asta!$M$4:$M$47,MATCH('_Supporto Listone'!B101,Asta!$L$4:$L$47,0)),IF(COUNTIF(Asta!$N$4:$N$47,'_Supporto Listone'!B101)&gt;0,INDEX(Asta!$O$4:$O$47,MATCH('_Supporto Listone'!B101,Asta!$N$4:$N$47,0)),IF(COUNTIF(Asta!$P$4:$P$47,'_Supporto Listone'!B101)&gt;0,INDEX(Asta!$Q$4:$Q$47,MATCH('_Supporto Listone'!B101,Asta!$P$4:$P$47,0)),IF(COUNTIF(Asta!$R$4:$R$47,'_Supporto Listone'!B101)&gt;0,INDEX(Asta!$S$4:$S$47,MATCH('_Supporto Listone'!B101,Asta!$R$4:$R$47,0)),IF(COUNTIF(Asta!$T$4:$T$47,'_Supporto Listone'!B101)&gt;0,INDEX(Asta!$U$4:$U$47,MATCH('_Supporto Listone'!B101,Asta!$T$4:$T$47,0)),""))))))))))</x:f>
      </x:c>
    </x:row>
    <x:row r="102">
      <x:c r="A102" s="432" t="str">
        <x:f>IF($J102&lt;&gt;"",REGEXREPLACE(TO_TEXT('_Supporto Listone'!A102),"(.)","$1"&amp;UNICHAR(822)),'_Supporto Listone'!A102)</x:f>
        <x:v>D</x:v>
      </x:c>
      <x:c r="B102" s="433" t="str">
        <x:f>IF($J102&lt;&gt;"",REGEXREPLACE(TO_TEXT('_Supporto Listone'!B102),"(.)","$1"&amp;UNICHAR(822)),'_Supporto Listone'!B102)</x:f>
        <x:v>Gutierrez</x:v>
      </x:c>
      <x:c r="C102" s="433" t="str">
        <x:f>IF($J102&lt;&gt;"",REGEXREPLACE(TO_TEXT('_Supporto Listone'!C102),"(.)","$1"&amp;UNICHAR(822)),'_Supporto Listone'!C102)</x:f>
        <x:v>Napoli</x:v>
      </x:c>
      <x:c r="D102" s="433" t="str">
        <x:f>IF($J102&lt;&gt;"",REGEXREPLACE(TO_TEXT('_Supporto Listone'!D102),"(.)","$1"&amp;UNICHAR(822)),'_Supporto Listone'!D102)</x:f>
        <x:v>Ds;E</x:v>
      </x:c>
      <x:c r="E102" s="433" t="str">
        <x:f>IF($J102&lt;&gt;"",REGEXREPLACE(TO_TEXT('_Supporto Listone'!E102),"(.)","$1"&amp;UNICHAR(822)),'_Supporto Listone'!E102)</x:f>
        <x:v>Riserva / rotazione</x:v>
      </x:c>
      <x:c r="F102" s="462" t="n">
        <x:f>IF($J102&lt;&gt;"",REGEXREPLACE(TO_TEXT('_Supporto Listone'!F102),"(.)","$1"&amp;UNICHAR(822)),'_Supporto Listone'!F102)</x:f>
        <x:v>8</x:v>
      </x:c>
      <x:c r="G102" s="462" t="n">
        <x:f>IF($J102&lt;&gt;"",REGEXREPLACE(TO_TEXT('_Supporto Listone'!G102),"(.)","$1"&amp;UNICHAR(822)),'_Supporto Listone'!G102)</x:f>
        <x:v>26</x:v>
      </x:c>
      <x:c r="H102" s="462" t="n">
        <x:f>IF($J102&lt;&gt;"",REGEXREPLACE(TO_TEXT('_Supporto Listone'!H102),"(.)","$1"&amp;UNICHAR(822)),'_Supporto Listone'!H102)</x:f>
        <x:v>13</x:v>
      </x:c>
      <x:c r="I102" s="434"/>
      <x:c r="J102" s="433" t="str">
        <x:f>IF(COUNTIF(Asta!$B$4:$B$47,'_Supporto Listone'!B102)&gt;0,"Simone",IF(COUNTIF(Asta!$D$4:$D$47,'_Supporto Listone'!B102)&gt;0,"Giacomo",IF(COUNTIF(Asta!$F$4:$F$47,'_Supporto Listone'!B102)&gt;0,"Niko",IF(COUNTIF(Asta!$H$4:$H$47,'_Supporto Listone'!B102)&gt;0,"Quici",IF(COUNTIF(Asta!$J$4:$J$47,'_Supporto Listone'!B102)&gt;0,"Fratello Quici",IF(COUNTIF(Asta!$L$4:$L$47,'_Supporto Listone'!B102)&gt;0,"Nicolò",IF(COUNTIF(Asta!$N$4:$N$47,'_Supporto Listone'!B102)&gt;0,"Vi",IF(COUNTIF(Asta!$P$4:$P$47,'_Supporto Listone'!B102)&gt;0,"Lore",IF(COUNTIF(Asta!$R$4:$R$47,'_Supporto Listone'!B102)&gt;0,"Robbo",IF(COUNTIF(Asta!$T$4:$T$47,'_Supporto Listone'!B102)&gt;0,"Ale",""))))))))))</x:f>
      </x:c>
      <x:c r="K102" s="493" t="str">
        <x:f>IF(COUNTIF(Asta!$B$4:$B$47,'_Supporto Listone'!B102)&gt;0,INDEX(Asta!$C$4:$C$47,MATCH('_Supporto Listone'!B102,Asta!$B$4:$B$47,0)),IF(COUNTIF(Asta!$D$4:$D$47,'_Supporto Listone'!B102)&gt;0,INDEX(Asta!$E$4:$E$47,MATCH('_Supporto Listone'!B102,Asta!$D$4:$D$47,0)),IF(COUNTIF(Asta!$F$4:$F$47,'_Supporto Listone'!B102)&gt;0,INDEX(Asta!$G$4:$G$47,MATCH('_Supporto Listone'!B102,Asta!$F$4:$F$47,0)),IF(COUNTIF(Asta!$H$4:$H$47,'_Supporto Listone'!B102)&gt;0,INDEX(Asta!$I$4:$I$47,MATCH('_Supporto Listone'!B102,Asta!$H$4:$H$47,0)),IF(COUNTIF(Asta!$J$4:$J$47,'_Supporto Listone'!B102)&gt;0,INDEX(Asta!$K$4:$K$47,MATCH('_Supporto Listone'!B102,Asta!$J$4:$J$47,0)),IF(COUNTIF(Asta!$L$4:$L$47,'_Supporto Listone'!B102)&gt;0,INDEX(Asta!$M$4:$M$47,MATCH('_Supporto Listone'!B102,Asta!$L$4:$L$47,0)),IF(COUNTIF(Asta!$N$4:$N$47,'_Supporto Listone'!B102)&gt;0,INDEX(Asta!$O$4:$O$47,MATCH('_Supporto Listone'!B102,Asta!$N$4:$N$47,0)),IF(COUNTIF(Asta!$P$4:$P$47,'_Supporto Listone'!B102)&gt;0,INDEX(Asta!$Q$4:$Q$47,MATCH('_Supporto Listone'!B102,Asta!$P$4:$P$47,0)),IF(COUNTIF(Asta!$R$4:$R$47,'_Supporto Listone'!B102)&gt;0,INDEX(Asta!$S$4:$S$47,MATCH('_Supporto Listone'!B102,Asta!$R$4:$R$47,0)),IF(COUNTIF(Asta!$T$4:$T$47,'_Supporto Listone'!B102)&gt;0,INDEX(Asta!$U$4:$U$47,MATCH('_Supporto Listone'!B102,Asta!$T$4:$T$47,0)),""))))))))))</x:f>
      </x:c>
    </x:row>
    <x:row r="103">
      <x:c r="A103" s="432" t="str">
        <x:f>IF($J103&lt;&gt;"",REGEXREPLACE(TO_TEXT('_Supporto Listone'!A103),"(.)","$1"&amp;UNICHAR(822)),'_Supporto Listone'!A103)</x:f>
        <x:v>D</x:v>
      </x:c>
      <x:c r="B103" s="433" t="str">
        <x:f>IF($J103&lt;&gt;"",REGEXREPLACE(TO_TEXT('_Supporto Listone'!B103),"(.)","$1"&amp;UNICHAR(822)),'_Supporto Listone'!B103)</x:f>
        <x:v>Spinazzola</x:v>
      </x:c>
      <x:c r="C103" s="433" t="str">
        <x:f>IF($J103&lt;&gt;"",REGEXREPLACE(TO_TEXT('_Supporto Listone'!C103),"(.)","$1"&amp;UNICHAR(822)),'_Supporto Listone'!C103)</x:f>
        <x:v>Napoli</x:v>
      </x:c>
      <x:c r="D103" s="433" t="str">
        <x:f>IF($J103&lt;&gt;"",REGEXREPLACE(TO_TEXT('_Supporto Listone'!D103),"(.)","$1"&amp;UNICHAR(822)),'_Supporto Listone'!D103)</x:f>
        <x:v>Ds;E</x:v>
      </x:c>
      <x:c r="E103" s="433" t="str">
        <x:f>IF($J103&lt;&gt;"",REGEXREPLACE(TO_TEXT('_Supporto Listone'!E103),"(.)","$1"&amp;UNICHAR(822)),'_Supporto Listone'!E103)</x:f>
        <x:v>Titolare / ballottaggio</x:v>
      </x:c>
      <x:c r="F103" s="462" t="n">
        <x:f>IF($J103&lt;&gt;"",REGEXREPLACE(TO_TEXT('_Supporto Listone'!F103),"(.)","$1"&amp;UNICHAR(822)),'_Supporto Listone'!F103)</x:f>
        <x:v>8</x:v>
      </x:c>
      <x:c r="G103" s="462" t="n">
        <x:f>IF($J103&lt;&gt;"",REGEXREPLACE(TO_TEXT('_Supporto Listone'!G103),"(.)","$1"&amp;UNICHAR(822)),'_Supporto Listone'!G103)</x:f>
        <x:v>24</x:v>
      </x:c>
      <x:c r="H103" s="462" t="n">
        <x:f>IF($J103&lt;&gt;"",REGEXREPLACE(TO_TEXT('_Supporto Listone'!H103),"(.)","$1"&amp;UNICHAR(822)),'_Supporto Listone'!H103)</x:f>
        <x:v>12</x:v>
      </x:c>
      <x:c r="I103" s="434"/>
      <x:c r="J103" s="433" t="str">
        <x:f>IF(COUNTIF(Asta!$B$4:$B$47,'_Supporto Listone'!B103)&gt;0,"Simone",IF(COUNTIF(Asta!$D$4:$D$47,'_Supporto Listone'!B103)&gt;0,"Giacomo",IF(COUNTIF(Asta!$F$4:$F$47,'_Supporto Listone'!B103)&gt;0,"Niko",IF(COUNTIF(Asta!$H$4:$H$47,'_Supporto Listone'!B103)&gt;0,"Quici",IF(COUNTIF(Asta!$J$4:$J$47,'_Supporto Listone'!B103)&gt;0,"Fratello Quici",IF(COUNTIF(Asta!$L$4:$L$47,'_Supporto Listone'!B103)&gt;0,"Nicolò",IF(COUNTIF(Asta!$N$4:$N$47,'_Supporto Listone'!B103)&gt;0,"Vi",IF(COUNTIF(Asta!$P$4:$P$47,'_Supporto Listone'!B103)&gt;0,"Lore",IF(COUNTIF(Asta!$R$4:$R$47,'_Supporto Listone'!B103)&gt;0,"Robbo",IF(COUNTIF(Asta!$T$4:$T$47,'_Supporto Listone'!B103)&gt;0,"Ale",""))))))))))</x:f>
      </x:c>
      <x:c r="K103" s="493" t="str">
        <x:f>IF(COUNTIF(Asta!$B$4:$B$47,'_Supporto Listone'!B103)&gt;0,INDEX(Asta!$C$4:$C$47,MATCH('_Supporto Listone'!B103,Asta!$B$4:$B$47,0)),IF(COUNTIF(Asta!$D$4:$D$47,'_Supporto Listone'!B103)&gt;0,INDEX(Asta!$E$4:$E$47,MATCH('_Supporto Listone'!B103,Asta!$D$4:$D$47,0)),IF(COUNTIF(Asta!$F$4:$F$47,'_Supporto Listone'!B103)&gt;0,INDEX(Asta!$G$4:$G$47,MATCH('_Supporto Listone'!B103,Asta!$F$4:$F$47,0)),IF(COUNTIF(Asta!$H$4:$H$47,'_Supporto Listone'!B103)&gt;0,INDEX(Asta!$I$4:$I$47,MATCH('_Supporto Listone'!B103,Asta!$H$4:$H$47,0)),IF(COUNTIF(Asta!$J$4:$J$47,'_Supporto Listone'!B103)&gt;0,INDEX(Asta!$K$4:$K$47,MATCH('_Supporto Listone'!B103,Asta!$J$4:$J$47,0)),IF(COUNTIF(Asta!$L$4:$L$47,'_Supporto Listone'!B103)&gt;0,INDEX(Asta!$M$4:$M$47,MATCH('_Supporto Listone'!B103,Asta!$L$4:$L$47,0)),IF(COUNTIF(Asta!$N$4:$N$47,'_Supporto Listone'!B103)&gt;0,INDEX(Asta!$O$4:$O$47,MATCH('_Supporto Listone'!B103,Asta!$N$4:$N$47,0)),IF(COUNTIF(Asta!$P$4:$P$47,'_Supporto Listone'!B103)&gt;0,INDEX(Asta!$Q$4:$Q$47,MATCH('_Supporto Listone'!B103,Asta!$P$4:$P$47,0)),IF(COUNTIF(Asta!$R$4:$R$47,'_Supporto Listone'!B103)&gt;0,INDEX(Asta!$S$4:$S$47,MATCH('_Supporto Listone'!B103,Asta!$R$4:$R$47,0)),IF(COUNTIF(Asta!$T$4:$T$47,'_Supporto Listone'!B103)&gt;0,INDEX(Asta!$U$4:$U$47,MATCH('_Supporto Listone'!B103,Asta!$T$4:$T$47,0)),""))))))))))</x:f>
      </x:c>
    </x:row>
    <x:row r="104">
      <x:c r="A104" s="432" t="str">
        <x:f>IF($J104&lt;&gt;"",REGEXREPLACE(TO_TEXT('_Supporto Listone'!A104),"(.)","$1"&amp;UNICHAR(822)),'_Supporto Listone'!A104)</x:f>
        <x:v>D</x:v>
      </x:c>
      <x:c r="B104" s="433" t="str">
        <x:f>IF($J104&lt;&gt;"",REGEXREPLACE(TO_TEXT('_Supporto Listone'!B104),"(.)","$1"&amp;UNICHAR(822)),'_Supporto Listone'!B104)</x:f>
        <x:v>Delprato</x:v>
      </x:c>
      <x:c r="C104" s="433" t="str">
        <x:f>IF($J104&lt;&gt;"",REGEXREPLACE(TO_TEXT('_Supporto Listone'!C104),"(.)","$1"&amp;UNICHAR(822)),'_Supporto Listone'!C104)</x:f>
        <x:v>Parma</x:v>
      </x:c>
      <x:c r="D104" s="433" t="str">
        <x:f>IF($J104&lt;&gt;"",REGEXREPLACE(TO_TEXT('_Supporto Listone'!D104),"(.)","$1"&amp;UNICHAR(822)),'_Supporto Listone'!D104)</x:f>
        <x:v>B;Dd;E</x:v>
      </x:c>
      <x:c r="E104" s="433" t="str">
        <x:f>IF($J104&lt;&gt;"",REGEXREPLACE(TO_TEXT('_Supporto Listone'!E104),"(.)","$1"&amp;UNICHAR(822)),'_Supporto Listone'!E104)</x:f>
        <x:v>Titolare</x:v>
      </x:c>
      <x:c r="F104" s="462" t="n">
        <x:f>IF($J104&lt;&gt;"",REGEXREPLACE(TO_TEXT('_Supporto Listone'!F104),"(.)","$1"&amp;UNICHAR(822)),'_Supporto Listone'!F104)</x:f>
        <x:v>8</x:v>
      </x:c>
      <x:c r="G104" s="462" t="n">
        <x:f>IF($J104&lt;&gt;"",REGEXREPLACE(TO_TEXT('_Supporto Listone'!G104),"(.)","$1"&amp;UNICHAR(822)),'_Supporto Listone'!G104)</x:f>
        <x:v>21</x:v>
      </x:c>
      <x:c r="H104" s="462" t="n">
        <x:f>IF($J104&lt;&gt;"",REGEXREPLACE(TO_TEXT('_Supporto Listone'!H104),"(.)","$1"&amp;UNICHAR(822)),'_Supporto Listone'!H104)</x:f>
        <x:v>11</x:v>
      </x:c>
      <x:c r="I104" s="434"/>
      <x:c r="J104" s="433" t="str">
        <x:f>IF(COUNTIF(Asta!$B$4:$B$47,'_Supporto Listone'!B104)&gt;0,"Simone",IF(COUNTIF(Asta!$D$4:$D$47,'_Supporto Listone'!B104)&gt;0,"Giacomo",IF(COUNTIF(Asta!$F$4:$F$47,'_Supporto Listone'!B104)&gt;0,"Niko",IF(COUNTIF(Asta!$H$4:$H$47,'_Supporto Listone'!B104)&gt;0,"Quici",IF(COUNTIF(Asta!$J$4:$J$47,'_Supporto Listone'!B104)&gt;0,"Fratello Quici",IF(COUNTIF(Asta!$L$4:$L$47,'_Supporto Listone'!B104)&gt;0,"Nicolò",IF(COUNTIF(Asta!$N$4:$N$47,'_Supporto Listone'!B104)&gt;0,"Vi",IF(COUNTIF(Asta!$P$4:$P$47,'_Supporto Listone'!B104)&gt;0,"Lore",IF(COUNTIF(Asta!$R$4:$R$47,'_Supporto Listone'!B104)&gt;0,"Robbo",IF(COUNTIF(Asta!$T$4:$T$47,'_Supporto Listone'!B104)&gt;0,"Ale",""))))))))))</x:f>
      </x:c>
      <x:c r="K104" s="493" t="str">
        <x:f>IF(COUNTIF(Asta!$B$4:$B$47,'_Supporto Listone'!B104)&gt;0,INDEX(Asta!$C$4:$C$47,MATCH('_Supporto Listone'!B104,Asta!$B$4:$B$47,0)),IF(COUNTIF(Asta!$D$4:$D$47,'_Supporto Listone'!B104)&gt;0,INDEX(Asta!$E$4:$E$47,MATCH('_Supporto Listone'!B104,Asta!$D$4:$D$47,0)),IF(COUNTIF(Asta!$F$4:$F$47,'_Supporto Listone'!B104)&gt;0,INDEX(Asta!$G$4:$G$47,MATCH('_Supporto Listone'!B104,Asta!$F$4:$F$47,0)),IF(COUNTIF(Asta!$H$4:$H$47,'_Supporto Listone'!B104)&gt;0,INDEX(Asta!$I$4:$I$47,MATCH('_Supporto Listone'!B104,Asta!$H$4:$H$47,0)),IF(COUNTIF(Asta!$J$4:$J$47,'_Supporto Listone'!B104)&gt;0,INDEX(Asta!$K$4:$K$47,MATCH('_Supporto Listone'!B104,Asta!$J$4:$J$47,0)),IF(COUNTIF(Asta!$L$4:$L$47,'_Supporto Listone'!B104)&gt;0,INDEX(Asta!$M$4:$M$47,MATCH('_Supporto Listone'!B104,Asta!$L$4:$L$47,0)),IF(COUNTIF(Asta!$N$4:$N$47,'_Supporto Listone'!B104)&gt;0,INDEX(Asta!$O$4:$O$47,MATCH('_Supporto Listone'!B104,Asta!$N$4:$N$47,0)),IF(COUNTIF(Asta!$P$4:$P$47,'_Supporto Listone'!B104)&gt;0,INDEX(Asta!$Q$4:$Q$47,MATCH('_Supporto Listone'!B104,Asta!$P$4:$P$47,0)),IF(COUNTIF(Asta!$R$4:$R$47,'_Supporto Listone'!B104)&gt;0,INDEX(Asta!$S$4:$S$47,MATCH('_Supporto Listone'!B104,Asta!$R$4:$R$47,0)),IF(COUNTIF(Asta!$T$4:$T$47,'_Supporto Listone'!B104)&gt;0,INDEX(Asta!$U$4:$U$47,MATCH('_Supporto Listone'!B104,Asta!$T$4:$T$47,0)),""))))))))))</x:f>
      </x:c>
    </x:row>
    <x:row r="105">
      <x:c r="A105" s="432" t="str">
        <x:f>IF($J105&lt;&gt;"",REGEXREPLACE(TO_TEXT('_Supporto Listone'!A105),"(.)","$1"&amp;UNICHAR(822)),'_Supporto Listone'!A105)</x:f>
        <x:v>D</x:v>
      </x:c>
      <x:c r="B105" s="433" t="str">
        <x:f>IF($J105&lt;&gt;"",REGEXREPLACE(TO_TEXT('_Supporto Listone'!B105),"(.)","$1"&amp;UNICHAR(822)),'_Supporto Listone'!B105)</x:f>
        <x:v>Valeri</x:v>
      </x:c>
      <x:c r="C105" s="433" t="str">
        <x:f>IF($J105&lt;&gt;"",REGEXREPLACE(TO_TEXT('_Supporto Listone'!C105),"(.)","$1"&amp;UNICHAR(822)),'_Supporto Listone'!C105)</x:f>
        <x:v>Parma</x:v>
      </x:c>
      <x:c r="D105" s="433" t="str">
        <x:f>IF($J105&lt;&gt;"",REGEXREPLACE(TO_TEXT('_Supporto Listone'!D105),"(.)","$1"&amp;UNICHAR(822)),'_Supporto Listone'!D105)</x:f>
        <x:v>Ds;E</x:v>
      </x:c>
      <x:c r="E105" s="433" t="str">
        <x:f>IF($J105&lt;&gt;"",REGEXREPLACE(TO_TEXT('_Supporto Listone'!E105),"(.)","$1"&amp;UNICHAR(822)),'_Supporto Listone'!E105)</x:f>
        <x:v>Titolare</x:v>
      </x:c>
      <x:c r="F105" s="462" t="n">
        <x:f>IF($J105&lt;&gt;"",REGEXREPLACE(TO_TEXT('_Supporto Listone'!F105),"(.)","$1"&amp;UNICHAR(822)),'_Supporto Listone'!F105)</x:f>
        <x:v>8</x:v>
      </x:c>
      <x:c r="G105" s="462" t="n">
        <x:f>IF($J105&lt;&gt;"",REGEXREPLACE(TO_TEXT('_Supporto Listone'!G105),"(.)","$1"&amp;UNICHAR(822)),'_Supporto Listone'!G105)</x:f>
        <x:v>24</x:v>
      </x:c>
      <x:c r="H105" s="462" t="n">
        <x:f>IF($J105&lt;&gt;"",REGEXREPLACE(TO_TEXT('_Supporto Listone'!H105),"(.)","$1"&amp;UNICHAR(822)),'_Supporto Listone'!H105)</x:f>
        <x:v>12</x:v>
      </x:c>
      <x:c r="I105" s="434" t="str">
        <x:f>IF($J105&lt;&gt;"",REGEXREPLACE(TO_TEXT('_Supporto Listone'!I105),"(.)","$1"&amp;UNICHAR(822)),'_Supporto Listone'!I105)</x:f>
        <x:v>Rigorista · Piazzati</x:v>
      </x:c>
      <x:c r="J105" s="433" t="str">
        <x:f>IF(COUNTIF(Asta!$B$4:$B$47,'_Supporto Listone'!B105)&gt;0,"Simone",IF(COUNTIF(Asta!$D$4:$D$47,'_Supporto Listone'!B105)&gt;0,"Giacomo",IF(COUNTIF(Asta!$F$4:$F$47,'_Supporto Listone'!B105)&gt;0,"Niko",IF(COUNTIF(Asta!$H$4:$H$47,'_Supporto Listone'!B105)&gt;0,"Quici",IF(COUNTIF(Asta!$J$4:$J$47,'_Supporto Listone'!B105)&gt;0,"Fratello Quici",IF(COUNTIF(Asta!$L$4:$L$47,'_Supporto Listone'!B105)&gt;0,"Nicolò",IF(COUNTIF(Asta!$N$4:$N$47,'_Supporto Listone'!B105)&gt;0,"Vi",IF(COUNTIF(Asta!$P$4:$P$47,'_Supporto Listone'!B105)&gt;0,"Lore",IF(COUNTIF(Asta!$R$4:$R$47,'_Supporto Listone'!B105)&gt;0,"Robbo",IF(COUNTIF(Asta!$T$4:$T$47,'_Supporto Listone'!B105)&gt;0,"Ale",""))))))))))</x:f>
      </x:c>
      <x:c r="K105" s="493" t="str">
        <x:f>IF(COUNTIF(Asta!$B$4:$B$47,'_Supporto Listone'!B105)&gt;0,INDEX(Asta!$C$4:$C$47,MATCH('_Supporto Listone'!B105,Asta!$B$4:$B$47,0)),IF(COUNTIF(Asta!$D$4:$D$47,'_Supporto Listone'!B105)&gt;0,INDEX(Asta!$E$4:$E$47,MATCH('_Supporto Listone'!B105,Asta!$D$4:$D$47,0)),IF(COUNTIF(Asta!$F$4:$F$47,'_Supporto Listone'!B105)&gt;0,INDEX(Asta!$G$4:$G$47,MATCH('_Supporto Listone'!B105,Asta!$F$4:$F$47,0)),IF(COUNTIF(Asta!$H$4:$H$47,'_Supporto Listone'!B105)&gt;0,INDEX(Asta!$I$4:$I$47,MATCH('_Supporto Listone'!B105,Asta!$H$4:$H$47,0)),IF(COUNTIF(Asta!$J$4:$J$47,'_Supporto Listone'!B105)&gt;0,INDEX(Asta!$K$4:$K$47,MATCH('_Supporto Listone'!B105,Asta!$J$4:$J$47,0)),IF(COUNTIF(Asta!$L$4:$L$47,'_Supporto Listone'!B105)&gt;0,INDEX(Asta!$M$4:$M$47,MATCH('_Supporto Listone'!B105,Asta!$L$4:$L$47,0)),IF(COUNTIF(Asta!$N$4:$N$47,'_Supporto Listone'!B105)&gt;0,INDEX(Asta!$O$4:$O$47,MATCH('_Supporto Listone'!B105,Asta!$N$4:$N$47,0)),IF(COUNTIF(Asta!$P$4:$P$47,'_Supporto Listone'!B105)&gt;0,INDEX(Asta!$Q$4:$Q$47,MATCH('_Supporto Listone'!B105,Asta!$P$4:$P$47,0)),IF(COUNTIF(Asta!$R$4:$R$47,'_Supporto Listone'!B105)&gt;0,INDEX(Asta!$S$4:$S$47,MATCH('_Supporto Listone'!B105,Asta!$R$4:$R$47,0)),IF(COUNTIF(Asta!$T$4:$T$47,'_Supporto Listone'!B105)&gt;0,INDEX(Asta!$U$4:$U$47,MATCH('_Supporto Listone'!B105,Asta!$T$4:$T$47,0)),""))))))))))</x:f>
      </x:c>
    </x:row>
    <x:row r="106">
      <x:c r="A106" s="432" t="str">
        <x:f>IF($J106&lt;&gt;"",REGEXREPLACE(TO_TEXT('_Supporto Listone'!A106),"(.)","$1"&amp;UNICHAR(822)),'_Supporto Listone'!A106)</x:f>
        <x:v>D</x:v>
      </x:c>
      <x:c r="B106" s="433" t="str">
        <x:f>IF($J106&lt;&gt;"",REGEXREPLACE(TO_TEXT('_Supporto Listone'!B106),"(.)","$1"&amp;UNICHAR(822)),'_Supporto Listone'!B106)</x:f>
        <x:v>Koulierakis</x:v>
      </x:c>
      <x:c r="C106" s="433" t="str">
        <x:f>IF($J106&lt;&gt;"",REGEXREPLACE(TO_TEXT('_Supporto Listone'!C106),"(.)","$1"&amp;UNICHAR(822)),'_Supporto Listone'!C106)</x:f>
        <x:v>Roma</x:v>
      </x:c>
      <x:c r="D106" s="433" t="str">
        <x:f>IF($J106&lt;&gt;"",REGEXREPLACE(TO_TEXT('_Supporto Listone'!D106),"(.)","$1"&amp;UNICHAR(822)),'_Supporto Listone'!D106)</x:f>
        <x:v>Dc</x:v>
      </x:c>
      <x:c r="E106" s="433" t="str">
        <x:f>IF($J106&lt;&gt;"",REGEXREPLACE(TO_TEXT('_Supporto Listone'!E106),"(.)","$1"&amp;UNICHAR(822)),'_Supporto Listone'!E106)</x:f>
        <x:v>Ballottaggio</x:v>
      </x:c>
      <x:c r="F106" s="462" t="n">
        <x:f>IF($J106&lt;&gt;"",REGEXREPLACE(TO_TEXT('_Supporto Listone'!F106),"(.)","$1"&amp;UNICHAR(822)),'_Supporto Listone'!F106)</x:f>
        <x:v>8</x:v>
      </x:c>
      <x:c r="G106" s="462" t="n">
        <x:f>IF($J106&lt;&gt;"",REGEXREPLACE(TO_TEXT('_Supporto Listone'!G106),"(.)","$1"&amp;UNICHAR(822)),'_Supporto Listone'!G106)</x:f>
        <x:v>20</x:v>
      </x:c>
      <x:c r="H106" s="462" t="n">
        <x:f>IF($J106&lt;&gt;"",REGEXREPLACE(TO_TEXT('_Supporto Listone'!H106),"(.)","$1"&amp;UNICHAR(822)),'_Supporto Listone'!H106)</x:f>
        <x:v>10</x:v>
      </x:c>
      <x:c r="I106" s="434"/>
      <x:c r="J106" s="433" t="str">
        <x:f>IF(COUNTIF(Asta!$B$4:$B$47,'_Supporto Listone'!B106)&gt;0,"Simone",IF(COUNTIF(Asta!$D$4:$D$47,'_Supporto Listone'!B106)&gt;0,"Giacomo",IF(COUNTIF(Asta!$F$4:$F$47,'_Supporto Listone'!B106)&gt;0,"Niko",IF(COUNTIF(Asta!$H$4:$H$47,'_Supporto Listone'!B106)&gt;0,"Quici",IF(COUNTIF(Asta!$J$4:$J$47,'_Supporto Listone'!B106)&gt;0,"Fratello Quici",IF(COUNTIF(Asta!$L$4:$L$47,'_Supporto Listone'!B106)&gt;0,"Nicolò",IF(COUNTIF(Asta!$N$4:$N$47,'_Supporto Listone'!B106)&gt;0,"Vi",IF(COUNTIF(Asta!$P$4:$P$47,'_Supporto Listone'!B106)&gt;0,"Lore",IF(COUNTIF(Asta!$R$4:$R$47,'_Supporto Listone'!B106)&gt;0,"Robbo",IF(COUNTIF(Asta!$T$4:$T$47,'_Supporto Listone'!B106)&gt;0,"Ale",""))))))))))</x:f>
      </x:c>
      <x:c r="K106" s="493" t="str">
        <x:f>IF(COUNTIF(Asta!$B$4:$B$47,'_Supporto Listone'!B106)&gt;0,INDEX(Asta!$C$4:$C$47,MATCH('_Supporto Listone'!B106,Asta!$B$4:$B$47,0)),IF(COUNTIF(Asta!$D$4:$D$47,'_Supporto Listone'!B106)&gt;0,INDEX(Asta!$E$4:$E$47,MATCH('_Supporto Listone'!B106,Asta!$D$4:$D$47,0)),IF(COUNTIF(Asta!$F$4:$F$47,'_Supporto Listone'!B106)&gt;0,INDEX(Asta!$G$4:$G$47,MATCH('_Supporto Listone'!B106,Asta!$F$4:$F$47,0)),IF(COUNTIF(Asta!$H$4:$H$47,'_Supporto Listone'!B106)&gt;0,INDEX(Asta!$I$4:$I$47,MATCH('_Supporto Listone'!B106,Asta!$H$4:$H$47,0)),IF(COUNTIF(Asta!$J$4:$J$47,'_Supporto Listone'!B106)&gt;0,INDEX(Asta!$K$4:$K$47,MATCH('_Supporto Listone'!B106,Asta!$J$4:$J$47,0)),IF(COUNTIF(Asta!$L$4:$L$47,'_Supporto Listone'!B106)&gt;0,INDEX(Asta!$M$4:$M$47,MATCH('_Supporto Listone'!B106,Asta!$L$4:$L$47,0)),IF(COUNTIF(Asta!$N$4:$N$47,'_Supporto Listone'!B106)&gt;0,INDEX(Asta!$O$4:$O$47,MATCH('_Supporto Listone'!B106,Asta!$N$4:$N$47,0)),IF(COUNTIF(Asta!$P$4:$P$47,'_Supporto Listone'!B106)&gt;0,INDEX(Asta!$Q$4:$Q$47,MATCH('_Supporto Listone'!B106,Asta!$P$4:$P$47,0)),IF(COUNTIF(Asta!$R$4:$R$47,'_Supporto Listone'!B106)&gt;0,INDEX(Asta!$S$4:$S$47,MATCH('_Supporto Listone'!B106,Asta!$R$4:$R$47,0)),IF(COUNTIF(Asta!$T$4:$T$47,'_Supporto Listone'!B106)&gt;0,INDEX(Asta!$U$4:$U$47,MATCH('_Supporto Listone'!B106,Asta!$T$4:$T$47,0)),""))))))))))</x:f>
      </x:c>
    </x:row>
    <x:row r="107">
      <x:c r="A107" s="432" t="str">
        <x:f>IF($J107&lt;&gt;"",REGEXREPLACE(TO_TEXT('_Supporto Listone'!A107),"(.)","$1"&amp;UNICHAR(822)),'_Supporto Listone'!A107)</x:f>
        <x:v>D</x:v>
      </x:c>
      <x:c r="B107" s="433" t="str">
        <x:f>IF($J107&lt;&gt;"",REGEXREPLACE(TO_TEXT('_Supporto Listone'!B107),"(.)","$1"&amp;UNICHAR(822)),'_Supporto Listone'!B107)</x:f>
        <x:v>Vojvoda</x:v>
      </x:c>
      <x:c r="C107" s="433" t="str">
        <x:f>IF($J107&lt;&gt;"",REGEXREPLACE(TO_TEXT('_Supporto Listone'!C107),"(.)","$1"&amp;UNICHAR(822)),'_Supporto Listone'!C107)</x:f>
        <x:v>Udinese</x:v>
      </x:c>
      <x:c r="D107" s="433" t="str">
        <x:f>IF($J107&lt;&gt;"",REGEXREPLACE(TO_TEXT('_Supporto Listone'!D107),"(.)","$1"&amp;UNICHAR(822)),'_Supporto Listone'!D107)</x:f>
        <x:v>Dd;E</x:v>
      </x:c>
      <x:c r="E107" s="433" t="str">
        <x:f>IF($J107&lt;&gt;"",REGEXREPLACE(TO_TEXT('_Supporto Listone'!E107),"(.)","$1"&amp;UNICHAR(822)),'_Supporto Listone'!E107)</x:f>
        <x:v>Titolare</x:v>
      </x:c>
      <x:c r="F107" s="462" t="n">
        <x:f>IF($J107&lt;&gt;"",REGEXREPLACE(TO_TEXT('_Supporto Listone'!F107),"(.)","$1"&amp;UNICHAR(822)),'_Supporto Listone'!F107)</x:f>
        <x:v>8</x:v>
      </x:c>
      <x:c r="G107" s="462" t="n">
        <x:f>IF($J107&lt;&gt;"",REGEXREPLACE(TO_TEXT('_Supporto Listone'!G107),"(.)","$1"&amp;UNICHAR(822)),'_Supporto Listone'!G107)</x:f>
        <x:v>19</x:v>
      </x:c>
      <x:c r="H107" s="462" t="n">
        <x:f>IF($J107&lt;&gt;"",REGEXREPLACE(TO_TEXT('_Supporto Listone'!H107),"(.)","$1"&amp;UNICHAR(822)),'_Supporto Listone'!H107)</x:f>
        <x:v>10</x:v>
      </x:c>
      <x:c r="I107" s="434"/>
      <x:c r="J107" s="433" t="str">
        <x:f>IF(COUNTIF(Asta!$B$4:$B$47,'_Supporto Listone'!B107)&gt;0,"Simone",IF(COUNTIF(Asta!$D$4:$D$47,'_Supporto Listone'!B107)&gt;0,"Giacomo",IF(COUNTIF(Asta!$F$4:$F$47,'_Supporto Listone'!B107)&gt;0,"Niko",IF(COUNTIF(Asta!$H$4:$H$47,'_Supporto Listone'!B107)&gt;0,"Quici",IF(COUNTIF(Asta!$J$4:$J$47,'_Supporto Listone'!B107)&gt;0,"Fratello Quici",IF(COUNTIF(Asta!$L$4:$L$47,'_Supporto Listone'!B107)&gt;0,"Nicolò",IF(COUNTIF(Asta!$N$4:$N$47,'_Supporto Listone'!B107)&gt;0,"Vi",IF(COUNTIF(Asta!$P$4:$P$47,'_Supporto Listone'!B107)&gt;0,"Lore",IF(COUNTIF(Asta!$R$4:$R$47,'_Supporto Listone'!B107)&gt;0,"Robbo",IF(COUNTIF(Asta!$T$4:$T$47,'_Supporto Listone'!B107)&gt;0,"Ale",""))))))))))</x:f>
      </x:c>
      <x:c r="K107" s="493" t="str">
        <x:f>IF(COUNTIF(Asta!$B$4:$B$47,'_Supporto Listone'!B107)&gt;0,INDEX(Asta!$C$4:$C$47,MATCH('_Supporto Listone'!B107,Asta!$B$4:$B$47,0)),IF(COUNTIF(Asta!$D$4:$D$47,'_Supporto Listone'!B107)&gt;0,INDEX(Asta!$E$4:$E$47,MATCH('_Supporto Listone'!B107,Asta!$D$4:$D$47,0)),IF(COUNTIF(Asta!$F$4:$F$47,'_Supporto Listone'!B107)&gt;0,INDEX(Asta!$G$4:$G$47,MATCH('_Supporto Listone'!B107,Asta!$F$4:$F$47,0)),IF(COUNTIF(Asta!$H$4:$H$47,'_Supporto Listone'!B107)&gt;0,INDEX(Asta!$I$4:$I$47,MATCH('_Supporto Listone'!B107,Asta!$H$4:$H$47,0)),IF(COUNTIF(Asta!$J$4:$J$47,'_Supporto Listone'!B107)&gt;0,INDEX(Asta!$K$4:$K$47,MATCH('_Supporto Listone'!B107,Asta!$J$4:$J$47,0)),IF(COUNTIF(Asta!$L$4:$L$47,'_Supporto Listone'!B107)&gt;0,INDEX(Asta!$M$4:$M$47,MATCH('_Supporto Listone'!B107,Asta!$L$4:$L$47,0)),IF(COUNTIF(Asta!$N$4:$N$47,'_Supporto Listone'!B107)&gt;0,INDEX(Asta!$O$4:$O$47,MATCH('_Supporto Listone'!B107,Asta!$N$4:$N$47,0)),IF(COUNTIF(Asta!$P$4:$P$47,'_Supporto Listone'!B107)&gt;0,INDEX(Asta!$Q$4:$Q$47,MATCH('_Supporto Listone'!B107,Asta!$P$4:$P$47,0)),IF(COUNTIF(Asta!$R$4:$R$47,'_Supporto Listone'!B107)&gt;0,INDEX(Asta!$S$4:$S$47,MATCH('_Supporto Listone'!B107,Asta!$R$4:$R$47,0)),IF(COUNTIF(Asta!$T$4:$T$47,'_Supporto Listone'!B107)&gt;0,INDEX(Asta!$U$4:$U$47,MATCH('_Supporto Listone'!B107,Asta!$T$4:$T$47,0)),""))))))))))</x:f>
      </x:c>
    </x:row>
    <x:row r="108">
      <x:c r="A108" s="432" t="str">
        <x:f>IF($J108&lt;&gt;"",REGEXREPLACE(TO_TEXT('_Supporto Listone'!A108),"(.)","$1"&amp;UNICHAR(822)),'_Supporto Listone'!A108)</x:f>
        <x:v>D</x:v>
      </x:c>
      <x:c r="B108" s="433" t="str">
        <x:f>IF($J108&lt;&gt;"",REGEXREPLACE(TO_TEXT('_Supporto Listone'!B108),"(.)","$1"&amp;UNICHAR(822)),'_Supporto Listone'!B108)</x:f>
        <x:v>Djimsiti</x:v>
      </x:c>
      <x:c r="C108" s="433" t="str">
        <x:f>IF($J108&lt;&gt;"",REGEXREPLACE(TO_TEXT('_Supporto Listone'!C108),"(.)","$1"&amp;UNICHAR(822)),'_Supporto Listone'!C108)</x:f>
        <x:v>Atalanta</x:v>
      </x:c>
      <x:c r="D108" s="433" t="str">
        <x:f>IF($J108&lt;&gt;"",REGEXREPLACE(TO_TEXT('_Supporto Listone'!D108),"(.)","$1"&amp;UNICHAR(822)),'_Supporto Listone'!D108)</x:f>
        <x:v>Dc</x:v>
      </x:c>
      <x:c r="E108" s="433" t="str">
        <x:f>IF($J108&lt;&gt;"",REGEXREPLACE(TO_TEXT('_Supporto Listone'!E108),"(.)","$1"&amp;UNICHAR(822)),'_Supporto Listone'!E108)</x:f>
        <x:v>Riserva / rotazione</x:v>
      </x:c>
      <x:c r="F108" s="462" t="n">
        <x:f>IF($J108&lt;&gt;"",REGEXREPLACE(TO_TEXT('_Supporto Listone'!F108),"(.)","$1"&amp;UNICHAR(822)),'_Supporto Listone'!F108)</x:f>
        <x:v>7</x:v>
      </x:c>
      <x:c r="G108" s="462" t="n">
        <x:f>IF($J108&lt;&gt;"",REGEXREPLACE(TO_TEXT('_Supporto Listone'!G108),"(.)","$1"&amp;UNICHAR(822)),'_Supporto Listone'!G108)</x:f>
        <x:v>16</x:v>
      </x:c>
      <x:c r="H108" s="462" t="n">
        <x:f>IF($J108&lt;&gt;"",REGEXREPLACE(TO_TEXT('_Supporto Listone'!H108),"(.)","$1"&amp;UNICHAR(822)),'_Supporto Listone'!H108)</x:f>
        <x:v>8</x:v>
      </x:c>
      <x:c r="I108" s="434"/>
      <x:c r="J108" s="433" t="str">
        <x:f>IF(COUNTIF(Asta!$B$4:$B$47,'_Supporto Listone'!B108)&gt;0,"Simone",IF(COUNTIF(Asta!$D$4:$D$47,'_Supporto Listone'!B108)&gt;0,"Giacomo",IF(COUNTIF(Asta!$F$4:$F$47,'_Supporto Listone'!B108)&gt;0,"Niko",IF(COUNTIF(Asta!$H$4:$H$47,'_Supporto Listone'!B108)&gt;0,"Quici",IF(COUNTIF(Asta!$J$4:$J$47,'_Supporto Listone'!B108)&gt;0,"Fratello Quici",IF(COUNTIF(Asta!$L$4:$L$47,'_Supporto Listone'!B108)&gt;0,"Nicolò",IF(COUNTIF(Asta!$N$4:$N$47,'_Supporto Listone'!B108)&gt;0,"Vi",IF(COUNTIF(Asta!$P$4:$P$47,'_Supporto Listone'!B108)&gt;0,"Lore",IF(COUNTIF(Asta!$R$4:$R$47,'_Supporto Listone'!B108)&gt;0,"Robbo",IF(COUNTIF(Asta!$T$4:$T$47,'_Supporto Listone'!B108)&gt;0,"Ale",""))))))))))</x:f>
      </x:c>
      <x:c r="K108" s="493" t="str">
        <x:f>IF(COUNTIF(Asta!$B$4:$B$47,'_Supporto Listone'!B108)&gt;0,INDEX(Asta!$C$4:$C$47,MATCH('_Supporto Listone'!B108,Asta!$B$4:$B$47,0)),IF(COUNTIF(Asta!$D$4:$D$47,'_Supporto Listone'!B108)&gt;0,INDEX(Asta!$E$4:$E$47,MATCH('_Supporto Listone'!B108,Asta!$D$4:$D$47,0)),IF(COUNTIF(Asta!$F$4:$F$47,'_Supporto Listone'!B108)&gt;0,INDEX(Asta!$G$4:$G$47,MATCH('_Supporto Listone'!B108,Asta!$F$4:$F$47,0)),IF(COUNTIF(Asta!$H$4:$H$47,'_Supporto Listone'!B108)&gt;0,INDEX(Asta!$I$4:$I$47,MATCH('_Supporto Listone'!B108,Asta!$H$4:$H$47,0)),IF(COUNTIF(Asta!$J$4:$J$47,'_Supporto Listone'!B108)&gt;0,INDEX(Asta!$K$4:$K$47,MATCH('_Supporto Listone'!B108,Asta!$J$4:$J$47,0)),IF(COUNTIF(Asta!$L$4:$L$47,'_Supporto Listone'!B108)&gt;0,INDEX(Asta!$M$4:$M$47,MATCH('_Supporto Listone'!B108,Asta!$L$4:$L$47,0)),IF(COUNTIF(Asta!$N$4:$N$47,'_Supporto Listone'!B108)&gt;0,INDEX(Asta!$O$4:$O$47,MATCH('_Supporto Listone'!B108,Asta!$N$4:$N$47,0)),IF(COUNTIF(Asta!$P$4:$P$47,'_Supporto Listone'!B108)&gt;0,INDEX(Asta!$Q$4:$Q$47,MATCH('_Supporto Listone'!B108,Asta!$P$4:$P$47,0)),IF(COUNTIF(Asta!$R$4:$R$47,'_Supporto Listone'!B108)&gt;0,INDEX(Asta!$S$4:$S$47,MATCH('_Supporto Listone'!B108,Asta!$R$4:$R$47,0)),IF(COUNTIF(Asta!$T$4:$T$47,'_Supporto Listone'!B108)&gt;0,INDEX(Asta!$U$4:$U$47,MATCH('_Supporto Listone'!B108,Asta!$T$4:$T$47,0)),""))))))))))</x:f>
      </x:c>
    </x:row>
    <x:row r="109">
      <x:c r="A109" s="432" t="str">
        <x:f>IF($J109&lt;&gt;"",REGEXREPLACE(TO_TEXT('_Supporto Listone'!A109),"(.)","$1"&amp;UNICHAR(822)),'_Supporto Listone'!A109)</x:f>
        <x:v>D</x:v>
      </x:c>
      <x:c r="B109" s="433" t="str">
        <x:f>IF($J109&lt;&gt;"",REGEXREPLACE(TO_TEXT('_Supporto Listone'!B109),"(.)","$1"&amp;UNICHAR(822)),'_Supporto Listone'!B109)</x:f>
        <x:v>Obert</x:v>
      </x:c>
      <x:c r="C109" s="433" t="str">
        <x:f>IF($J109&lt;&gt;"",REGEXREPLACE(TO_TEXT('_Supporto Listone'!C109),"(.)","$1"&amp;UNICHAR(822)),'_Supporto Listone'!C109)</x:f>
        <x:v>Cagliari</x:v>
      </x:c>
      <x:c r="D109" s="433" t="str">
        <x:f>IF($J109&lt;&gt;"",REGEXREPLACE(TO_TEXT('_Supporto Listone'!D109),"(.)","$1"&amp;UNICHAR(822)),'_Supporto Listone'!D109)</x:f>
        <x:v>B;Ds;E</x:v>
      </x:c>
      <x:c r="E109" s="433" t="str">
        <x:f>IF($J109&lt;&gt;"",REGEXREPLACE(TO_TEXT('_Supporto Listone'!E109),"(.)","$1"&amp;UNICHAR(822)),'_Supporto Listone'!E109)</x:f>
        <x:v>Titolare</x:v>
      </x:c>
      <x:c r="F109" s="462" t="n">
        <x:f>IF($J109&lt;&gt;"",REGEXREPLACE(TO_TEXT('_Supporto Listone'!F109),"(.)","$1"&amp;UNICHAR(822)),'_Supporto Listone'!F109)</x:f>
        <x:v>7</x:v>
      </x:c>
      <x:c r="G109" s="462" t="n">
        <x:f>IF($J109&lt;&gt;"",REGEXREPLACE(TO_TEXT('_Supporto Listone'!G109),"(.)","$1"&amp;UNICHAR(822)),'_Supporto Listone'!G109)</x:f>
        <x:v>14</x:v>
      </x:c>
      <x:c r="H109" s="462" t="n">
        <x:f>IF($J109&lt;&gt;"",REGEXREPLACE(TO_TEXT('_Supporto Listone'!H109),"(.)","$1"&amp;UNICHAR(822)),'_Supporto Listone'!H109)</x:f>
        <x:v>7</x:v>
      </x:c>
      <x:c r="I109" s="434"/>
      <x:c r="J109" s="433" t="str">
        <x:f>IF(COUNTIF(Asta!$B$4:$B$47,'_Supporto Listone'!B109)&gt;0,"Simone",IF(COUNTIF(Asta!$D$4:$D$47,'_Supporto Listone'!B109)&gt;0,"Giacomo",IF(COUNTIF(Asta!$F$4:$F$47,'_Supporto Listone'!B109)&gt;0,"Niko",IF(COUNTIF(Asta!$H$4:$H$47,'_Supporto Listone'!B109)&gt;0,"Quici",IF(COUNTIF(Asta!$J$4:$J$47,'_Supporto Listone'!B109)&gt;0,"Fratello Quici",IF(COUNTIF(Asta!$L$4:$L$47,'_Supporto Listone'!B109)&gt;0,"Nicolò",IF(COUNTIF(Asta!$N$4:$N$47,'_Supporto Listone'!B109)&gt;0,"Vi",IF(COUNTIF(Asta!$P$4:$P$47,'_Supporto Listone'!B109)&gt;0,"Lore",IF(COUNTIF(Asta!$R$4:$R$47,'_Supporto Listone'!B109)&gt;0,"Robbo",IF(COUNTIF(Asta!$T$4:$T$47,'_Supporto Listone'!B109)&gt;0,"Ale",""))))))))))</x:f>
      </x:c>
      <x:c r="K109" s="493" t="str">
        <x:f>IF(COUNTIF(Asta!$B$4:$B$47,'_Supporto Listone'!B109)&gt;0,INDEX(Asta!$C$4:$C$47,MATCH('_Supporto Listone'!B109,Asta!$B$4:$B$47,0)),IF(COUNTIF(Asta!$D$4:$D$47,'_Supporto Listone'!B109)&gt;0,INDEX(Asta!$E$4:$E$47,MATCH('_Supporto Listone'!B109,Asta!$D$4:$D$47,0)),IF(COUNTIF(Asta!$F$4:$F$47,'_Supporto Listone'!B109)&gt;0,INDEX(Asta!$G$4:$G$47,MATCH('_Supporto Listone'!B109,Asta!$F$4:$F$47,0)),IF(COUNTIF(Asta!$H$4:$H$47,'_Supporto Listone'!B109)&gt;0,INDEX(Asta!$I$4:$I$47,MATCH('_Supporto Listone'!B109,Asta!$H$4:$H$47,0)),IF(COUNTIF(Asta!$J$4:$J$47,'_Supporto Listone'!B109)&gt;0,INDEX(Asta!$K$4:$K$47,MATCH('_Supporto Listone'!B109,Asta!$J$4:$J$47,0)),IF(COUNTIF(Asta!$L$4:$L$47,'_Supporto Listone'!B109)&gt;0,INDEX(Asta!$M$4:$M$47,MATCH('_Supporto Listone'!B109,Asta!$L$4:$L$47,0)),IF(COUNTIF(Asta!$N$4:$N$47,'_Supporto Listone'!B109)&gt;0,INDEX(Asta!$O$4:$O$47,MATCH('_Supporto Listone'!B109,Asta!$N$4:$N$47,0)),IF(COUNTIF(Asta!$P$4:$P$47,'_Supporto Listone'!B109)&gt;0,INDEX(Asta!$Q$4:$Q$47,MATCH('_Supporto Listone'!B109,Asta!$P$4:$P$47,0)),IF(COUNTIF(Asta!$R$4:$R$47,'_Supporto Listone'!B109)&gt;0,INDEX(Asta!$S$4:$S$47,MATCH('_Supporto Listone'!B109,Asta!$R$4:$R$47,0)),IF(COUNTIF(Asta!$T$4:$T$47,'_Supporto Listone'!B109)&gt;0,INDEX(Asta!$U$4:$U$47,MATCH('_Supporto Listone'!B109,Asta!$T$4:$T$47,0)),""))))))))))</x:f>
      </x:c>
    </x:row>
    <x:row r="110">
      <x:c r="A110" s="432" t="str">
        <x:f>IF($J110&lt;&gt;"",REGEXREPLACE(TO_TEXT('_Supporto Listone'!A110),"(.)","$1"&amp;UNICHAR(822)),'_Supporto Listone'!A110)</x:f>
        <x:v>D</x:v>
      </x:c>
      <x:c r="B110" s="433" t="str">
        <x:f>IF($J110&lt;&gt;"",REGEXREPLACE(TO_TEXT('_Supporto Listone'!B110),"(.)","$1"&amp;UNICHAR(822)),'_Supporto Listone'!B110)</x:f>
        <x:v>Kaiki</x:v>
      </x:c>
      <x:c r="C110" s="433" t="str">
        <x:f>IF($J110&lt;&gt;"",REGEXREPLACE(TO_TEXT('_Supporto Listone'!C110),"(.)","$1"&amp;UNICHAR(822)),'_Supporto Listone'!C110)</x:f>
        <x:v>Como</x:v>
      </x:c>
      <x:c r="D110" s="433" t="str">
        <x:f>IF($J110&lt;&gt;"",REGEXREPLACE(TO_TEXT('_Supporto Listone'!D110),"(.)","$1"&amp;UNICHAR(822)),'_Supporto Listone'!D110)</x:f>
        <x:v>Ds;E</x:v>
      </x:c>
      <x:c r="E110" s="433" t="str">
        <x:f>IF($J110&lt;&gt;"",REGEXREPLACE(TO_TEXT('_Supporto Listone'!E110),"(.)","$1"&amp;UNICHAR(822)),'_Supporto Listone'!E110)</x:f>
        <x:v>Ballottaggio</x:v>
      </x:c>
      <x:c r="F110" s="462" t="n">
        <x:f>IF($J110&lt;&gt;"",REGEXREPLACE(TO_TEXT('_Supporto Listone'!F110),"(.)","$1"&amp;UNICHAR(822)),'_Supporto Listone'!F110)</x:f>
        <x:v>7</x:v>
      </x:c>
      <x:c r="G110" s="462" t="n">
        <x:f>IF($J110&lt;&gt;"",REGEXREPLACE(TO_TEXT('_Supporto Listone'!G110),"(.)","$1"&amp;UNICHAR(822)),'_Supporto Listone'!G110)</x:f>
        <x:v>23</x:v>
      </x:c>
      <x:c r="H110" s="462" t="n">
        <x:f>IF($J110&lt;&gt;"",REGEXREPLACE(TO_TEXT('_Supporto Listone'!H110),"(.)","$1"&amp;UNICHAR(822)),'_Supporto Listone'!H110)</x:f>
        <x:v>12</x:v>
      </x:c>
      <x:c r="I110" s="434"/>
      <x:c r="J110" s="433" t="str">
        <x:f>IF(COUNTIF(Asta!$B$4:$B$47,'_Supporto Listone'!B110)&gt;0,"Simone",IF(COUNTIF(Asta!$D$4:$D$47,'_Supporto Listone'!B110)&gt;0,"Giacomo",IF(COUNTIF(Asta!$F$4:$F$47,'_Supporto Listone'!B110)&gt;0,"Niko",IF(COUNTIF(Asta!$H$4:$H$47,'_Supporto Listone'!B110)&gt;0,"Quici",IF(COUNTIF(Asta!$J$4:$J$47,'_Supporto Listone'!B110)&gt;0,"Fratello Quici",IF(COUNTIF(Asta!$L$4:$L$47,'_Supporto Listone'!B110)&gt;0,"Nicolò",IF(COUNTIF(Asta!$N$4:$N$47,'_Supporto Listone'!B110)&gt;0,"Vi",IF(COUNTIF(Asta!$P$4:$P$47,'_Supporto Listone'!B110)&gt;0,"Lore",IF(COUNTIF(Asta!$R$4:$R$47,'_Supporto Listone'!B110)&gt;0,"Robbo",IF(COUNTIF(Asta!$T$4:$T$47,'_Supporto Listone'!B110)&gt;0,"Ale",""))))))))))</x:f>
      </x:c>
      <x:c r="K110" s="493" t="str">
        <x:f>IF(COUNTIF(Asta!$B$4:$B$47,'_Supporto Listone'!B110)&gt;0,INDEX(Asta!$C$4:$C$47,MATCH('_Supporto Listone'!B110,Asta!$B$4:$B$47,0)),IF(COUNTIF(Asta!$D$4:$D$47,'_Supporto Listone'!B110)&gt;0,INDEX(Asta!$E$4:$E$47,MATCH('_Supporto Listone'!B110,Asta!$D$4:$D$47,0)),IF(COUNTIF(Asta!$F$4:$F$47,'_Supporto Listone'!B110)&gt;0,INDEX(Asta!$G$4:$G$47,MATCH('_Supporto Listone'!B110,Asta!$F$4:$F$47,0)),IF(COUNTIF(Asta!$H$4:$H$47,'_Supporto Listone'!B110)&gt;0,INDEX(Asta!$I$4:$I$47,MATCH('_Supporto Listone'!B110,Asta!$H$4:$H$47,0)),IF(COUNTIF(Asta!$J$4:$J$47,'_Supporto Listone'!B110)&gt;0,INDEX(Asta!$K$4:$K$47,MATCH('_Supporto Listone'!B110,Asta!$J$4:$J$47,0)),IF(COUNTIF(Asta!$L$4:$L$47,'_Supporto Listone'!B110)&gt;0,INDEX(Asta!$M$4:$M$47,MATCH('_Supporto Listone'!B110,Asta!$L$4:$L$47,0)),IF(COUNTIF(Asta!$N$4:$N$47,'_Supporto Listone'!B110)&gt;0,INDEX(Asta!$O$4:$O$47,MATCH('_Supporto Listone'!B110,Asta!$N$4:$N$47,0)),IF(COUNTIF(Asta!$P$4:$P$47,'_Supporto Listone'!B110)&gt;0,INDEX(Asta!$Q$4:$Q$47,MATCH('_Supporto Listone'!B110,Asta!$P$4:$P$47,0)),IF(COUNTIF(Asta!$R$4:$R$47,'_Supporto Listone'!B110)&gt;0,INDEX(Asta!$S$4:$S$47,MATCH('_Supporto Listone'!B110,Asta!$R$4:$R$47,0)),IF(COUNTIF(Asta!$T$4:$T$47,'_Supporto Listone'!B110)&gt;0,INDEX(Asta!$U$4:$U$47,MATCH('_Supporto Listone'!B110,Asta!$T$4:$T$47,0)),""))))))))))</x:f>
      </x:c>
    </x:row>
    <x:row r="111">
      <x:c r="A111" s="432" t="str">
        <x:f>IF($J111&lt;&gt;"",REGEXREPLACE(TO_TEXT('_Supporto Listone'!A111),"(.)","$1"&amp;UNICHAR(822)),'_Supporto Listone'!A111)</x:f>
        <x:v>D</x:v>
      </x:c>
      <x:c r="B111" s="433" t="str">
        <x:f>IF($J111&lt;&gt;"",REGEXREPLACE(TO_TEXT('_Supporto Listone'!B111),"(.)","$1"&amp;UNICHAR(822)),'_Supporto Listone'!B111)</x:f>
        <x:v>Carlos Augusto</x:v>
      </x:c>
      <x:c r="C111" s="433" t="str">
        <x:f>IF($J111&lt;&gt;"",REGEXREPLACE(TO_TEXT('_Supporto Listone'!C111),"(.)","$1"&amp;UNICHAR(822)),'_Supporto Listone'!C111)</x:f>
        <x:v>Inter</x:v>
      </x:c>
      <x:c r="D111" s="433" t="str">
        <x:f>IF($J111&lt;&gt;"",REGEXREPLACE(TO_TEXT('_Supporto Listone'!D111),"(.)","$1"&amp;UNICHAR(822)),'_Supporto Listone'!D111)</x:f>
        <x:v>B;Ds;E</x:v>
      </x:c>
      <x:c r="E111" s="433" t="str">
        <x:f>IF($J111&lt;&gt;"",REGEXREPLACE(TO_TEXT('_Supporto Listone'!E111),"(.)","$1"&amp;UNICHAR(822)),'_Supporto Listone'!E111)</x:f>
        <x:v>Riserva / rotazione</x:v>
      </x:c>
      <x:c r="F111" s="462" t="n">
        <x:f>IF($J111&lt;&gt;"",REGEXREPLACE(TO_TEXT('_Supporto Listone'!F111),"(.)","$1"&amp;UNICHAR(822)),'_Supporto Listone'!F111)</x:f>
        <x:v>7</x:v>
      </x:c>
      <x:c r="G111" s="462" t="n">
        <x:f>IF($J111&lt;&gt;"",REGEXREPLACE(TO_TEXT('_Supporto Listone'!G111),"(.)","$1"&amp;UNICHAR(822)),'_Supporto Listone'!G111)</x:f>
        <x:v>27</x:v>
      </x:c>
      <x:c r="H111" s="462" t="n">
        <x:f>IF($J111&lt;&gt;"",REGEXREPLACE(TO_TEXT('_Supporto Listone'!H111),"(.)","$1"&amp;UNICHAR(822)),'_Supporto Listone'!H111)</x:f>
        <x:v>14</x:v>
      </x:c>
      <x:c r="I111" s="434"/>
      <x:c r="J111" s="433" t="str">
        <x:f>IF(COUNTIF(Asta!$B$4:$B$47,'_Supporto Listone'!B111)&gt;0,"Simone",IF(COUNTIF(Asta!$D$4:$D$47,'_Supporto Listone'!B111)&gt;0,"Giacomo",IF(COUNTIF(Asta!$F$4:$F$47,'_Supporto Listone'!B111)&gt;0,"Niko",IF(COUNTIF(Asta!$H$4:$H$47,'_Supporto Listone'!B111)&gt;0,"Quici",IF(COUNTIF(Asta!$J$4:$J$47,'_Supporto Listone'!B111)&gt;0,"Fratello Quici",IF(COUNTIF(Asta!$L$4:$L$47,'_Supporto Listone'!B111)&gt;0,"Nicolò",IF(COUNTIF(Asta!$N$4:$N$47,'_Supporto Listone'!B111)&gt;0,"Vi",IF(COUNTIF(Asta!$P$4:$P$47,'_Supporto Listone'!B111)&gt;0,"Lore",IF(COUNTIF(Asta!$R$4:$R$47,'_Supporto Listone'!B111)&gt;0,"Robbo",IF(COUNTIF(Asta!$T$4:$T$47,'_Supporto Listone'!B111)&gt;0,"Ale",""))))))))))</x:f>
      </x:c>
      <x:c r="K111" s="493" t="str">
        <x:f>IF(COUNTIF(Asta!$B$4:$B$47,'_Supporto Listone'!B111)&gt;0,INDEX(Asta!$C$4:$C$47,MATCH('_Supporto Listone'!B111,Asta!$B$4:$B$47,0)),IF(COUNTIF(Asta!$D$4:$D$47,'_Supporto Listone'!B111)&gt;0,INDEX(Asta!$E$4:$E$47,MATCH('_Supporto Listone'!B111,Asta!$D$4:$D$47,0)),IF(COUNTIF(Asta!$F$4:$F$47,'_Supporto Listone'!B111)&gt;0,INDEX(Asta!$G$4:$G$47,MATCH('_Supporto Listone'!B111,Asta!$F$4:$F$47,0)),IF(COUNTIF(Asta!$H$4:$H$47,'_Supporto Listone'!B111)&gt;0,INDEX(Asta!$I$4:$I$47,MATCH('_Supporto Listone'!B111,Asta!$H$4:$H$47,0)),IF(COUNTIF(Asta!$J$4:$J$47,'_Supporto Listone'!B111)&gt;0,INDEX(Asta!$K$4:$K$47,MATCH('_Supporto Listone'!B111,Asta!$J$4:$J$47,0)),IF(COUNTIF(Asta!$L$4:$L$47,'_Supporto Listone'!B111)&gt;0,INDEX(Asta!$M$4:$M$47,MATCH('_Supporto Listone'!B111,Asta!$L$4:$L$47,0)),IF(COUNTIF(Asta!$N$4:$N$47,'_Supporto Listone'!B111)&gt;0,INDEX(Asta!$O$4:$O$47,MATCH('_Supporto Listone'!B111,Asta!$N$4:$N$47,0)),IF(COUNTIF(Asta!$P$4:$P$47,'_Supporto Listone'!B111)&gt;0,INDEX(Asta!$Q$4:$Q$47,MATCH('_Supporto Listone'!B111,Asta!$P$4:$P$47,0)),IF(COUNTIF(Asta!$R$4:$R$47,'_Supporto Listone'!B111)&gt;0,INDEX(Asta!$S$4:$S$47,MATCH('_Supporto Listone'!B111,Asta!$R$4:$R$47,0)),IF(COUNTIF(Asta!$T$4:$T$47,'_Supporto Listone'!B111)&gt;0,INDEX(Asta!$U$4:$U$47,MATCH('_Supporto Listone'!B111,Asta!$T$4:$T$47,0)),""))))))))))</x:f>
      </x:c>
    </x:row>
    <x:row r="112">
      <x:c r="A112" s="432" t="str">
        <x:f>IF($J112&lt;&gt;"",REGEXREPLACE(TO_TEXT('_Supporto Listone'!A112),"(.)","$1"&amp;UNICHAR(822)),'_Supporto Listone'!A112)</x:f>
        <x:v>D</x:v>
      </x:c>
      <x:c r="B112" s="433" t="str">
        <x:f>IF($J112&lt;&gt;"",REGEXREPLACE(TO_TEXT('_Supporto Listone'!B112),"(.)","$1"&amp;UNICHAR(822)),'_Supporto Listone'!B112)</x:f>
        <x:v>Doekhi</x:v>
      </x:c>
      <x:c r="C112" s="433" t="str">
        <x:f>IF($J112&lt;&gt;"",REGEXREPLACE(TO_TEXT('_Supporto Listone'!C112),"(.)","$1"&amp;UNICHAR(822)),'_Supporto Listone'!C112)</x:f>
        <x:v>Lazio</x:v>
      </x:c>
      <x:c r="D112" s="433" t="str">
        <x:f>IF($J112&lt;&gt;"",REGEXREPLACE(TO_TEXT('_Supporto Listone'!D112),"(.)","$1"&amp;UNICHAR(822)),'_Supporto Listone'!D112)</x:f>
        <x:v>Dc</x:v>
      </x:c>
      <x:c r="E112" s="433" t="str">
        <x:f>IF($J112&lt;&gt;"",REGEXREPLACE(TO_TEXT('_Supporto Listone'!E112),"(.)","$1"&amp;UNICHAR(822)),'_Supporto Listone'!E112)</x:f>
        <x:v>Ballottaggio</x:v>
      </x:c>
      <x:c r="F112" s="462" t="n">
        <x:f>IF($J112&lt;&gt;"",REGEXREPLACE(TO_TEXT('_Supporto Listone'!F112),"(.)","$1"&amp;UNICHAR(822)),'_Supporto Listone'!F112)</x:f>
        <x:v>7</x:v>
      </x:c>
      <x:c r="G112" s="462" t="n">
        <x:f>IF($J112&lt;&gt;"",REGEXREPLACE(TO_TEXT('_Supporto Listone'!G112),"(.)","$1"&amp;UNICHAR(822)),'_Supporto Listone'!G112)</x:f>
        <x:v>22</x:v>
      </x:c>
      <x:c r="H112" s="462" t="n">
        <x:f>IF($J112&lt;&gt;"",REGEXREPLACE(TO_TEXT('_Supporto Listone'!H112),"(.)","$1"&amp;UNICHAR(822)),'_Supporto Listone'!H112)</x:f>
        <x:v>11</x:v>
      </x:c>
      <x:c r="I112" s="434"/>
      <x:c r="J112" s="433" t="str">
        <x:f>IF(COUNTIF(Asta!$B$4:$B$47,'_Supporto Listone'!B112)&gt;0,"Simone",IF(COUNTIF(Asta!$D$4:$D$47,'_Supporto Listone'!B112)&gt;0,"Giacomo",IF(COUNTIF(Asta!$F$4:$F$47,'_Supporto Listone'!B112)&gt;0,"Niko",IF(COUNTIF(Asta!$H$4:$H$47,'_Supporto Listone'!B112)&gt;0,"Quici",IF(COUNTIF(Asta!$J$4:$J$47,'_Supporto Listone'!B112)&gt;0,"Fratello Quici",IF(COUNTIF(Asta!$L$4:$L$47,'_Supporto Listone'!B112)&gt;0,"Nicolò",IF(COUNTIF(Asta!$N$4:$N$47,'_Supporto Listone'!B112)&gt;0,"Vi",IF(COUNTIF(Asta!$P$4:$P$47,'_Supporto Listone'!B112)&gt;0,"Lore",IF(COUNTIF(Asta!$R$4:$R$47,'_Supporto Listone'!B112)&gt;0,"Robbo",IF(COUNTIF(Asta!$T$4:$T$47,'_Supporto Listone'!B112)&gt;0,"Ale",""))))))))))</x:f>
      </x:c>
      <x:c r="K112" s="493" t="str">
        <x:f>IF(COUNTIF(Asta!$B$4:$B$47,'_Supporto Listone'!B112)&gt;0,INDEX(Asta!$C$4:$C$47,MATCH('_Supporto Listone'!B112,Asta!$B$4:$B$47,0)),IF(COUNTIF(Asta!$D$4:$D$47,'_Supporto Listone'!B112)&gt;0,INDEX(Asta!$E$4:$E$47,MATCH('_Supporto Listone'!B112,Asta!$D$4:$D$47,0)),IF(COUNTIF(Asta!$F$4:$F$47,'_Supporto Listone'!B112)&gt;0,INDEX(Asta!$G$4:$G$47,MATCH('_Supporto Listone'!B112,Asta!$F$4:$F$47,0)),IF(COUNTIF(Asta!$H$4:$H$47,'_Supporto Listone'!B112)&gt;0,INDEX(Asta!$I$4:$I$47,MATCH('_Supporto Listone'!B112,Asta!$H$4:$H$47,0)),IF(COUNTIF(Asta!$J$4:$J$47,'_Supporto Listone'!B112)&gt;0,INDEX(Asta!$K$4:$K$47,MATCH('_Supporto Listone'!B112,Asta!$J$4:$J$47,0)),IF(COUNTIF(Asta!$L$4:$L$47,'_Supporto Listone'!B112)&gt;0,INDEX(Asta!$M$4:$M$47,MATCH('_Supporto Listone'!B112,Asta!$L$4:$L$47,0)),IF(COUNTIF(Asta!$N$4:$N$47,'_Supporto Listone'!B112)&gt;0,INDEX(Asta!$O$4:$O$47,MATCH('_Supporto Listone'!B112,Asta!$N$4:$N$47,0)),IF(COUNTIF(Asta!$P$4:$P$47,'_Supporto Listone'!B112)&gt;0,INDEX(Asta!$Q$4:$Q$47,MATCH('_Supporto Listone'!B112,Asta!$P$4:$P$47,0)),IF(COUNTIF(Asta!$R$4:$R$47,'_Supporto Listone'!B112)&gt;0,INDEX(Asta!$S$4:$S$47,MATCH('_Supporto Listone'!B112,Asta!$R$4:$R$47,0)),IF(COUNTIF(Asta!$T$4:$T$47,'_Supporto Listone'!B112)&gt;0,INDEX(Asta!$U$4:$U$47,MATCH('_Supporto Listone'!B112,Asta!$T$4:$T$47,0)),""))))))))))</x:f>
      </x:c>
    </x:row>
    <x:row r="113">
      <x:c r="A113" s="432" t="str">
        <x:f>IF($J113&lt;&gt;"",REGEXREPLACE(TO_TEXT('_Supporto Listone'!A113),"(.)","$1"&amp;UNICHAR(822)),'_Supporto Listone'!A113)</x:f>
        <x:v>D</x:v>
      </x:c>
      <x:c r="B113" s="433" t="str">
        <x:f>IF($J113&lt;&gt;"",REGEXREPLACE(TO_TEXT('_Supporto Listone'!B113),"(.)","$1"&amp;UNICHAR(822)),'_Supporto Listone'!B113)</x:f>
        <x:v>Romagnoli</x:v>
      </x:c>
      <x:c r="C113" s="433" t="str">
        <x:f>IF($J113&lt;&gt;"",REGEXREPLACE(TO_TEXT('_Supporto Listone'!C113),"(.)","$1"&amp;UNICHAR(822)),'_Supporto Listone'!C113)</x:f>
        <x:v>Lazio</x:v>
      </x:c>
      <x:c r="D113" s="433" t="str">
        <x:f>IF($J113&lt;&gt;"",REGEXREPLACE(TO_TEXT('_Supporto Listone'!D113),"(.)","$1"&amp;UNICHAR(822)),'_Supporto Listone'!D113)</x:f>
        <x:v>Dc</x:v>
      </x:c>
      <x:c r="E113" s="433" t="str">
        <x:f>IF($J113&lt;&gt;"",REGEXREPLACE(TO_TEXT('_Supporto Listone'!E113),"(.)","$1"&amp;UNICHAR(822)),'_Supporto Listone'!E113)</x:f>
        <x:v>Riserva / rotazione</x:v>
      </x:c>
      <x:c r="F113" s="462" t="n">
        <x:f>IF($J113&lt;&gt;"",REGEXREPLACE(TO_TEXT('_Supporto Listone'!F113),"(.)","$1"&amp;UNICHAR(822)),'_Supporto Listone'!F113)</x:f>
        <x:v>7</x:v>
      </x:c>
      <x:c r="G113" s="462" t="n">
        <x:f>IF($J113&lt;&gt;"",REGEXREPLACE(TO_TEXT('_Supporto Listone'!G113),"(.)","$1"&amp;UNICHAR(822)),'_Supporto Listone'!G113)</x:f>
        <x:v>24</x:v>
      </x:c>
      <x:c r="H113" s="462" t="n">
        <x:f>IF($J113&lt;&gt;"",REGEXREPLACE(TO_TEXT('_Supporto Listone'!H113),"(.)","$1"&amp;UNICHAR(822)),'_Supporto Listone'!H113)</x:f>
        <x:v>12</x:v>
      </x:c>
      <x:c r="I113" s="434"/>
      <x:c r="J113" s="433" t="str">
        <x:f>IF(COUNTIF(Asta!$B$4:$B$47,'_Supporto Listone'!B113)&gt;0,"Simone",IF(COUNTIF(Asta!$D$4:$D$47,'_Supporto Listone'!B113)&gt;0,"Giacomo",IF(COUNTIF(Asta!$F$4:$F$47,'_Supporto Listone'!B113)&gt;0,"Niko",IF(COUNTIF(Asta!$H$4:$H$47,'_Supporto Listone'!B113)&gt;0,"Quici",IF(COUNTIF(Asta!$J$4:$J$47,'_Supporto Listone'!B113)&gt;0,"Fratello Quici",IF(COUNTIF(Asta!$L$4:$L$47,'_Supporto Listone'!B113)&gt;0,"Nicolò",IF(COUNTIF(Asta!$N$4:$N$47,'_Supporto Listone'!B113)&gt;0,"Vi",IF(COUNTIF(Asta!$P$4:$P$47,'_Supporto Listone'!B113)&gt;0,"Lore",IF(COUNTIF(Asta!$R$4:$R$47,'_Supporto Listone'!B113)&gt;0,"Robbo",IF(COUNTIF(Asta!$T$4:$T$47,'_Supporto Listone'!B113)&gt;0,"Ale",""))))))))))</x:f>
      </x:c>
      <x:c r="K113" s="493" t="str">
        <x:f>IF(COUNTIF(Asta!$B$4:$B$47,'_Supporto Listone'!B113)&gt;0,INDEX(Asta!$C$4:$C$47,MATCH('_Supporto Listone'!B113,Asta!$B$4:$B$47,0)),IF(COUNTIF(Asta!$D$4:$D$47,'_Supporto Listone'!B113)&gt;0,INDEX(Asta!$E$4:$E$47,MATCH('_Supporto Listone'!B113,Asta!$D$4:$D$47,0)),IF(COUNTIF(Asta!$F$4:$F$47,'_Supporto Listone'!B113)&gt;0,INDEX(Asta!$G$4:$G$47,MATCH('_Supporto Listone'!B113,Asta!$F$4:$F$47,0)),IF(COUNTIF(Asta!$H$4:$H$47,'_Supporto Listone'!B113)&gt;0,INDEX(Asta!$I$4:$I$47,MATCH('_Supporto Listone'!B113,Asta!$H$4:$H$47,0)),IF(COUNTIF(Asta!$J$4:$J$47,'_Supporto Listone'!B113)&gt;0,INDEX(Asta!$K$4:$K$47,MATCH('_Supporto Listone'!B113,Asta!$J$4:$J$47,0)),IF(COUNTIF(Asta!$L$4:$L$47,'_Supporto Listone'!B113)&gt;0,INDEX(Asta!$M$4:$M$47,MATCH('_Supporto Listone'!B113,Asta!$L$4:$L$47,0)),IF(COUNTIF(Asta!$N$4:$N$47,'_Supporto Listone'!B113)&gt;0,INDEX(Asta!$O$4:$O$47,MATCH('_Supporto Listone'!B113,Asta!$N$4:$N$47,0)),IF(COUNTIF(Asta!$P$4:$P$47,'_Supporto Listone'!B113)&gt;0,INDEX(Asta!$Q$4:$Q$47,MATCH('_Supporto Listone'!B113,Asta!$P$4:$P$47,0)),IF(COUNTIF(Asta!$R$4:$R$47,'_Supporto Listone'!B113)&gt;0,INDEX(Asta!$S$4:$S$47,MATCH('_Supporto Listone'!B113,Asta!$R$4:$R$47,0)),IF(COUNTIF(Asta!$T$4:$T$47,'_Supporto Listone'!B113)&gt;0,INDEX(Asta!$U$4:$U$47,MATCH('_Supporto Listone'!B113,Asta!$T$4:$T$47,0)),""))))))))))</x:f>
      </x:c>
    </x:row>
    <x:row r="114">
      <x:c r="A114" s="432" t="str">
        <x:f>IF($J114&lt;&gt;"",REGEXREPLACE(TO_TEXT('_Supporto Listone'!A114),"(.)","$1"&amp;UNICHAR(822)),'_Supporto Listone'!A114)</x:f>
        <x:v>D</x:v>
      </x:c>
      <x:c r="B114" s="433" t="str">
        <x:f>IF($J114&lt;&gt;"",REGEXREPLACE(TO_TEXT('_Supporto Listone'!B114),"(.)","$1"&amp;UNICHAR(822)),'_Supporto Listone'!B114)</x:f>
        <x:v>Tiago Gabriel</x:v>
      </x:c>
      <x:c r="C114" s="433" t="str">
        <x:f>IF($J114&lt;&gt;"",REGEXREPLACE(TO_TEXT('_Supporto Listone'!C114),"(.)","$1"&amp;UNICHAR(822)),'_Supporto Listone'!C114)</x:f>
        <x:v>Lecce</x:v>
      </x:c>
      <x:c r="D114" s="433" t="str">
        <x:f>IF($J114&lt;&gt;"",REGEXREPLACE(TO_TEXT('_Supporto Listone'!D114),"(.)","$1"&amp;UNICHAR(822)),'_Supporto Listone'!D114)</x:f>
        <x:v>Dc</x:v>
      </x:c>
      <x:c r="E114" s="433" t="str">
        <x:f>IF($J114&lt;&gt;"",REGEXREPLACE(TO_TEXT('_Supporto Listone'!E114),"(.)","$1"&amp;UNICHAR(822)),'_Supporto Listone'!E114)</x:f>
        <x:v>Titolare</x:v>
      </x:c>
      <x:c r="F114" s="462" t="n">
        <x:f>IF($J114&lt;&gt;"",REGEXREPLACE(TO_TEXT('_Supporto Listone'!F114),"(.)","$1"&amp;UNICHAR(822)),'_Supporto Listone'!F114)</x:f>
        <x:v>7</x:v>
      </x:c>
      <x:c r="G114" s="462" t="n">
        <x:f>IF($J114&lt;&gt;"",REGEXREPLACE(TO_TEXT('_Supporto Listone'!G114),"(.)","$1"&amp;UNICHAR(822)),'_Supporto Listone'!G114)</x:f>
        <x:v>17</x:v>
      </x:c>
      <x:c r="H114" s="462" t="n">
        <x:f>IF($J114&lt;&gt;"",REGEXREPLACE(TO_TEXT('_Supporto Listone'!H114),"(.)","$1"&amp;UNICHAR(822)),'_Supporto Listone'!H114)</x:f>
        <x:v>9</x:v>
      </x:c>
      <x:c r="I114" s="434"/>
      <x:c r="J114" s="433" t="str">
        <x:f>IF(COUNTIF(Asta!$B$4:$B$47,'_Supporto Listone'!B114)&gt;0,"Simone",IF(COUNTIF(Asta!$D$4:$D$47,'_Supporto Listone'!B114)&gt;0,"Giacomo",IF(COUNTIF(Asta!$F$4:$F$47,'_Supporto Listone'!B114)&gt;0,"Niko",IF(COUNTIF(Asta!$H$4:$H$47,'_Supporto Listone'!B114)&gt;0,"Quici",IF(COUNTIF(Asta!$J$4:$J$47,'_Supporto Listone'!B114)&gt;0,"Fratello Quici",IF(COUNTIF(Asta!$L$4:$L$47,'_Supporto Listone'!B114)&gt;0,"Nicolò",IF(COUNTIF(Asta!$N$4:$N$47,'_Supporto Listone'!B114)&gt;0,"Vi",IF(COUNTIF(Asta!$P$4:$P$47,'_Supporto Listone'!B114)&gt;0,"Lore",IF(COUNTIF(Asta!$R$4:$R$47,'_Supporto Listone'!B114)&gt;0,"Robbo",IF(COUNTIF(Asta!$T$4:$T$47,'_Supporto Listone'!B114)&gt;0,"Ale",""))))))))))</x:f>
      </x:c>
      <x:c r="K114" s="493" t="str">
        <x:f>IF(COUNTIF(Asta!$B$4:$B$47,'_Supporto Listone'!B114)&gt;0,INDEX(Asta!$C$4:$C$47,MATCH('_Supporto Listone'!B114,Asta!$B$4:$B$47,0)),IF(COUNTIF(Asta!$D$4:$D$47,'_Supporto Listone'!B114)&gt;0,INDEX(Asta!$E$4:$E$47,MATCH('_Supporto Listone'!B114,Asta!$D$4:$D$47,0)),IF(COUNTIF(Asta!$F$4:$F$47,'_Supporto Listone'!B114)&gt;0,INDEX(Asta!$G$4:$G$47,MATCH('_Supporto Listone'!B114,Asta!$F$4:$F$47,0)),IF(COUNTIF(Asta!$H$4:$H$47,'_Supporto Listone'!B114)&gt;0,INDEX(Asta!$I$4:$I$47,MATCH('_Supporto Listone'!B114,Asta!$H$4:$H$47,0)),IF(COUNTIF(Asta!$J$4:$J$47,'_Supporto Listone'!B114)&gt;0,INDEX(Asta!$K$4:$K$47,MATCH('_Supporto Listone'!B114,Asta!$J$4:$J$47,0)),IF(COUNTIF(Asta!$L$4:$L$47,'_Supporto Listone'!B114)&gt;0,INDEX(Asta!$M$4:$M$47,MATCH('_Supporto Listone'!B114,Asta!$L$4:$L$47,0)),IF(COUNTIF(Asta!$N$4:$N$47,'_Supporto Listone'!B114)&gt;0,INDEX(Asta!$O$4:$O$47,MATCH('_Supporto Listone'!B114,Asta!$N$4:$N$47,0)),IF(COUNTIF(Asta!$P$4:$P$47,'_Supporto Listone'!B114)&gt;0,INDEX(Asta!$Q$4:$Q$47,MATCH('_Supporto Listone'!B114,Asta!$P$4:$P$47,0)),IF(COUNTIF(Asta!$R$4:$R$47,'_Supporto Listone'!B114)&gt;0,INDEX(Asta!$S$4:$S$47,MATCH('_Supporto Listone'!B114,Asta!$R$4:$R$47,0)),IF(COUNTIF(Asta!$T$4:$T$47,'_Supporto Listone'!B114)&gt;0,INDEX(Asta!$U$4:$U$47,MATCH('_Supporto Listone'!B114,Asta!$T$4:$T$47,0)),""))))))))))</x:f>
      </x:c>
    </x:row>
    <x:row r="115">
      <x:c r="A115" s="432" t="str">
        <x:f>IF($J115&lt;&gt;"",REGEXREPLACE(TO_TEXT('_Supporto Listone'!A115),"(.)","$1"&amp;UNICHAR(822)),'_Supporto Listone'!A115)</x:f>
        <x:v>D</x:v>
      </x:c>
      <x:c r="B115" s="433" t="str">
        <x:f>IF($J115&lt;&gt;"",REGEXREPLACE(TO_TEXT('_Supporto Listone'!B115),"(.)","$1"&amp;UNICHAR(822)),'_Supporto Listone'!B115)</x:f>
        <x:v>Gabbia</x:v>
      </x:c>
      <x:c r="C115" s="433" t="str">
        <x:f>IF($J115&lt;&gt;"",REGEXREPLACE(TO_TEXT('_Supporto Listone'!C115),"(.)","$1"&amp;UNICHAR(822)),'_Supporto Listone'!C115)</x:f>
        <x:v>Milan</x:v>
      </x:c>
      <x:c r="D115" s="433" t="str">
        <x:f>IF($J115&lt;&gt;"",REGEXREPLACE(TO_TEXT('_Supporto Listone'!D115),"(.)","$1"&amp;UNICHAR(822)),'_Supporto Listone'!D115)</x:f>
        <x:v>Dc</x:v>
      </x:c>
      <x:c r="E115" s="433" t="str">
        <x:f>IF($J115&lt;&gt;"",REGEXREPLACE(TO_TEXT('_Supporto Listone'!E115),"(.)","$1"&amp;UNICHAR(822)),'_Supporto Listone'!E115)</x:f>
        <x:v>Titolare / ballottaggio</x:v>
      </x:c>
      <x:c r="F115" s="462" t="n">
        <x:f>IF($J115&lt;&gt;"",REGEXREPLACE(TO_TEXT('_Supporto Listone'!F115),"(.)","$1"&amp;UNICHAR(822)),'_Supporto Listone'!F115)</x:f>
        <x:v>7</x:v>
      </x:c>
      <x:c r="G115" s="462" t="n">
        <x:f>IF($J115&lt;&gt;"",REGEXREPLACE(TO_TEXT('_Supporto Listone'!G115),"(.)","$1"&amp;UNICHAR(822)),'_Supporto Listone'!G115)</x:f>
        <x:v>23</x:v>
      </x:c>
      <x:c r="H115" s="462" t="n">
        <x:f>IF($J115&lt;&gt;"",REGEXREPLACE(TO_TEXT('_Supporto Listone'!H115),"(.)","$1"&amp;UNICHAR(822)),'_Supporto Listone'!H115)</x:f>
        <x:v>12</x:v>
      </x:c>
      <x:c r="I115" s="434"/>
      <x:c r="J115" s="433" t="str">
        <x:f>IF(COUNTIF(Asta!$B$4:$B$47,'_Supporto Listone'!B115)&gt;0,"Simone",IF(COUNTIF(Asta!$D$4:$D$47,'_Supporto Listone'!B115)&gt;0,"Giacomo",IF(COUNTIF(Asta!$F$4:$F$47,'_Supporto Listone'!B115)&gt;0,"Niko",IF(COUNTIF(Asta!$H$4:$H$47,'_Supporto Listone'!B115)&gt;0,"Quici",IF(COUNTIF(Asta!$J$4:$J$47,'_Supporto Listone'!B115)&gt;0,"Fratello Quici",IF(COUNTIF(Asta!$L$4:$L$47,'_Supporto Listone'!B115)&gt;0,"Nicolò",IF(COUNTIF(Asta!$N$4:$N$47,'_Supporto Listone'!B115)&gt;0,"Vi",IF(COUNTIF(Asta!$P$4:$P$47,'_Supporto Listone'!B115)&gt;0,"Lore",IF(COUNTIF(Asta!$R$4:$R$47,'_Supporto Listone'!B115)&gt;0,"Robbo",IF(COUNTIF(Asta!$T$4:$T$47,'_Supporto Listone'!B115)&gt;0,"Ale",""))))))))))</x:f>
      </x:c>
      <x:c r="K115" s="493" t="str">
        <x:f>IF(COUNTIF(Asta!$B$4:$B$47,'_Supporto Listone'!B115)&gt;0,INDEX(Asta!$C$4:$C$47,MATCH('_Supporto Listone'!B115,Asta!$B$4:$B$47,0)),IF(COUNTIF(Asta!$D$4:$D$47,'_Supporto Listone'!B115)&gt;0,INDEX(Asta!$E$4:$E$47,MATCH('_Supporto Listone'!B115,Asta!$D$4:$D$47,0)),IF(COUNTIF(Asta!$F$4:$F$47,'_Supporto Listone'!B115)&gt;0,INDEX(Asta!$G$4:$G$47,MATCH('_Supporto Listone'!B115,Asta!$F$4:$F$47,0)),IF(COUNTIF(Asta!$H$4:$H$47,'_Supporto Listone'!B115)&gt;0,INDEX(Asta!$I$4:$I$47,MATCH('_Supporto Listone'!B115,Asta!$H$4:$H$47,0)),IF(COUNTIF(Asta!$J$4:$J$47,'_Supporto Listone'!B115)&gt;0,INDEX(Asta!$K$4:$K$47,MATCH('_Supporto Listone'!B115,Asta!$J$4:$J$47,0)),IF(COUNTIF(Asta!$L$4:$L$47,'_Supporto Listone'!B115)&gt;0,INDEX(Asta!$M$4:$M$47,MATCH('_Supporto Listone'!B115,Asta!$L$4:$L$47,0)),IF(COUNTIF(Asta!$N$4:$N$47,'_Supporto Listone'!B115)&gt;0,INDEX(Asta!$O$4:$O$47,MATCH('_Supporto Listone'!B115,Asta!$N$4:$N$47,0)),IF(COUNTIF(Asta!$P$4:$P$47,'_Supporto Listone'!B115)&gt;0,INDEX(Asta!$Q$4:$Q$47,MATCH('_Supporto Listone'!B115,Asta!$P$4:$P$47,0)),IF(COUNTIF(Asta!$R$4:$R$47,'_Supporto Listone'!B115)&gt;0,INDEX(Asta!$S$4:$S$47,MATCH('_Supporto Listone'!B115,Asta!$R$4:$R$47,0)),IF(COUNTIF(Asta!$T$4:$T$47,'_Supporto Listone'!B115)&gt;0,INDEX(Asta!$U$4:$U$47,MATCH('_Supporto Listone'!B115,Asta!$T$4:$T$47,0)),""))))))))))</x:f>
      </x:c>
    </x:row>
    <x:row r="116">
      <x:c r="A116" s="432" t="str">
        <x:f>IF($J116&lt;&gt;"",REGEXREPLACE(TO_TEXT('_Supporto Listone'!A116),"(.)","$1"&amp;UNICHAR(822)),'_Supporto Listone'!A116)</x:f>
        <x:v>D</x:v>
      </x:c>
      <x:c r="B116" s="433" t="str">
        <x:f>IF($J116&lt;&gt;"",REGEXREPLACE(TO_TEXT('_Supporto Listone'!B116),"(.)","$1"&amp;UNICHAR(822)),'_Supporto Listone'!B116)</x:f>
        <x:v>Tomori</x:v>
      </x:c>
      <x:c r="C116" s="433" t="str">
        <x:f>IF($J116&lt;&gt;"",REGEXREPLACE(TO_TEXT('_Supporto Listone'!C116),"(.)","$1"&amp;UNICHAR(822)),'_Supporto Listone'!C116)</x:f>
        <x:v>Milan</x:v>
      </x:c>
      <x:c r="D116" s="433" t="str">
        <x:f>IF($J116&lt;&gt;"",REGEXREPLACE(TO_TEXT('_Supporto Listone'!D116),"(.)","$1"&amp;UNICHAR(822)),'_Supporto Listone'!D116)</x:f>
        <x:v>Dc</x:v>
      </x:c>
      <x:c r="E116" s="433" t="str">
        <x:f>IF($J116&lt;&gt;"",REGEXREPLACE(TO_TEXT('_Supporto Listone'!E116),"(.)","$1"&amp;UNICHAR(822)),'_Supporto Listone'!E116)</x:f>
        <x:v>Riserva / rotazione</x:v>
      </x:c>
      <x:c r="F116" s="462" t="n">
        <x:f>IF($J116&lt;&gt;"",REGEXREPLACE(TO_TEXT('_Supporto Listone'!F116),"(.)","$1"&amp;UNICHAR(822)),'_Supporto Listone'!F116)</x:f>
        <x:v>7</x:v>
      </x:c>
      <x:c r="G116" s="462" t="n">
        <x:f>IF($J116&lt;&gt;"",REGEXREPLACE(TO_TEXT('_Supporto Listone'!G116),"(.)","$1"&amp;UNICHAR(822)),'_Supporto Listone'!G116)</x:f>
        <x:v>20</x:v>
      </x:c>
      <x:c r="H116" s="462" t="n">
        <x:f>IF($J116&lt;&gt;"",REGEXREPLACE(TO_TEXT('_Supporto Listone'!H116),"(.)","$1"&amp;UNICHAR(822)),'_Supporto Listone'!H116)</x:f>
        <x:v>10</x:v>
      </x:c>
      <x:c r="I116" s="434"/>
      <x:c r="J116" s="433" t="str">
        <x:f>IF(COUNTIF(Asta!$B$4:$B$47,'_Supporto Listone'!B116)&gt;0,"Simone",IF(COUNTIF(Asta!$D$4:$D$47,'_Supporto Listone'!B116)&gt;0,"Giacomo",IF(COUNTIF(Asta!$F$4:$F$47,'_Supporto Listone'!B116)&gt;0,"Niko",IF(COUNTIF(Asta!$H$4:$H$47,'_Supporto Listone'!B116)&gt;0,"Quici",IF(COUNTIF(Asta!$J$4:$J$47,'_Supporto Listone'!B116)&gt;0,"Fratello Quici",IF(COUNTIF(Asta!$L$4:$L$47,'_Supporto Listone'!B116)&gt;0,"Nicolò",IF(COUNTIF(Asta!$N$4:$N$47,'_Supporto Listone'!B116)&gt;0,"Vi",IF(COUNTIF(Asta!$P$4:$P$47,'_Supporto Listone'!B116)&gt;0,"Lore",IF(COUNTIF(Asta!$R$4:$R$47,'_Supporto Listone'!B116)&gt;0,"Robbo",IF(COUNTIF(Asta!$T$4:$T$47,'_Supporto Listone'!B116)&gt;0,"Ale",""))))))))))</x:f>
      </x:c>
      <x:c r="K116" s="493" t="str">
        <x:f>IF(COUNTIF(Asta!$B$4:$B$47,'_Supporto Listone'!B116)&gt;0,INDEX(Asta!$C$4:$C$47,MATCH('_Supporto Listone'!B116,Asta!$B$4:$B$47,0)),IF(COUNTIF(Asta!$D$4:$D$47,'_Supporto Listone'!B116)&gt;0,INDEX(Asta!$E$4:$E$47,MATCH('_Supporto Listone'!B116,Asta!$D$4:$D$47,0)),IF(COUNTIF(Asta!$F$4:$F$47,'_Supporto Listone'!B116)&gt;0,INDEX(Asta!$G$4:$G$47,MATCH('_Supporto Listone'!B116,Asta!$F$4:$F$47,0)),IF(COUNTIF(Asta!$H$4:$H$47,'_Supporto Listone'!B116)&gt;0,INDEX(Asta!$I$4:$I$47,MATCH('_Supporto Listone'!B116,Asta!$H$4:$H$47,0)),IF(COUNTIF(Asta!$J$4:$J$47,'_Supporto Listone'!B116)&gt;0,INDEX(Asta!$K$4:$K$47,MATCH('_Supporto Listone'!B116,Asta!$J$4:$J$47,0)),IF(COUNTIF(Asta!$L$4:$L$47,'_Supporto Listone'!B116)&gt;0,INDEX(Asta!$M$4:$M$47,MATCH('_Supporto Listone'!B116,Asta!$L$4:$L$47,0)),IF(COUNTIF(Asta!$N$4:$N$47,'_Supporto Listone'!B116)&gt;0,INDEX(Asta!$O$4:$O$47,MATCH('_Supporto Listone'!B116,Asta!$N$4:$N$47,0)),IF(COUNTIF(Asta!$P$4:$P$47,'_Supporto Listone'!B116)&gt;0,INDEX(Asta!$Q$4:$Q$47,MATCH('_Supporto Listone'!B116,Asta!$P$4:$P$47,0)),IF(COUNTIF(Asta!$R$4:$R$47,'_Supporto Listone'!B116)&gt;0,INDEX(Asta!$S$4:$S$47,MATCH('_Supporto Listone'!B116,Asta!$R$4:$R$47,0)),IF(COUNTIF(Asta!$T$4:$T$47,'_Supporto Listone'!B116)&gt;0,INDEX(Asta!$U$4:$U$47,MATCH('_Supporto Listone'!B116,Asta!$T$4:$T$47,0)),""))))))))))</x:f>
      </x:c>
    </x:row>
    <x:row r="117">
      <x:c r="A117" s="432" t="str">
        <x:f>IF($J117&lt;&gt;"",REGEXREPLACE(TO_TEXT('_Supporto Listone'!A117),"(.)","$1"&amp;UNICHAR(822)),'_Supporto Listone'!A117)</x:f>
        <x:v>D</x:v>
      </x:c>
      <x:c r="B117" s="433" t="str">
        <x:f>IF($J117&lt;&gt;"",REGEXREPLACE(TO_TEXT('_Supporto Listone'!B117),"(.)","$1"&amp;UNICHAR(822)),'_Supporto Listone'!B117)</x:f>
        <x:v>Buongiorno</x:v>
      </x:c>
      <x:c r="C117" s="433" t="str">
        <x:f>IF($J117&lt;&gt;"",REGEXREPLACE(TO_TEXT('_Supporto Listone'!C117),"(.)","$1"&amp;UNICHAR(822)),'_Supporto Listone'!C117)</x:f>
        <x:v>Napoli</x:v>
      </x:c>
      <x:c r="D117" s="433" t="str">
        <x:f>IF($J117&lt;&gt;"",REGEXREPLACE(TO_TEXT('_Supporto Listone'!D117),"(.)","$1"&amp;UNICHAR(822)),'_Supporto Listone'!D117)</x:f>
        <x:v>Dc</x:v>
      </x:c>
      <x:c r="E117" s="433" t="str">
        <x:f>IF($J117&lt;&gt;"",REGEXREPLACE(TO_TEXT('_Supporto Listone'!E117),"(.)","$1"&amp;UNICHAR(822)),'_Supporto Listone'!E117)</x:f>
        <x:v>Ballottaggio</x:v>
      </x:c>
      <x:c r="F117" s="462" t="n">
        <x:f>IF($J117&lt;&gt;"",REGEXREPLACE(TO_TEXT('_Supporto Listone'!F117),"(.)","$1"&amp;UNICHAR(822)),'_Supporto Listone'!F117)</x:f>
        <x:v>7</x:v>
      </x:c>
      <x:c r="G117" s="462" t="n">
        <x:f>IF($J117&lt;&gt;"",REGEXREPLACE(TO_TEXT('_Supporto Listone'!G117),"(.)","$1"&amp;UNICHAR(822)),'_Supporto Listone'!G117)</x:f>
        <x:v>18</x:v>
      </x:c>
      <x:c r="H117" s="462" t="n">
        <x:f>IF($J117&lt;&gt;"",REGEXREPLACE(TO_TEXT('_Supporto Listone'!H117),"(.)","$1"&amp;UNICHAR(822)),'_Supporto Listone'!H117)</x:f>
        <x:v>9</x:v>
      </x:c>
      <x:c r="I117" s="434"/>
      <x:c r="J117" s="433" t="str">
        <x:f>IF(COUNTIF(Asta!$B$4:$B$47,'_Supporto Listone'!B117)&gt;0,"Simone",IF(COUNTIF(Asta!$D$4:$D$47,'_Supporto Listone'!B117)&gt;0,"Giacomo",IF(COUNTIF(Asta!$F$4:$F$47,'_Supporto Listone'!B117)&gt;0,"Niko",IF(COUNTIF(Asta!$H$4:$H$47,'_Supporto Listone'!B117)&gt;0,"Quici",IF(COUNTIF(Asta!$J$4:$J$47,'_Supporto Listone'!B117)&gt;0,"Fratello Quici",IF(COUNTIF(Asta!$L$4:$L$47,'_Supporto Listone'!B117)&gt;0,"Nicolò",IF(COUNTIF(Asta!$N$4:$N$47,'_Supporto Listone'!B117)&gt;0,"Vi",IF(COUNTIF(Asta!$P$4:$P$47,'_Supporto Listone'!B117)&gt;0,"Lore",IF(COUNTIF(Asta!$R$4:$R$47,'_Supporto Listone'!B117)&gt;0,"Robbo",IF(COUNTIF(Asta!$T$4:$T$47,'_Supporto Listone'!B117)&gt;0,"Ale",""))))))))))</x:f>
      </x:c>
      <x:c r="K117" s="493" t="str">
        <x:f>IF(COUNTIF(Asta!$B$4:$B$47,'_Supporto Listone'!B117)&gt;0,INDEX(Asta!$C$4:$C$47,MATCH('_Supporto Listone'!B117,Asta!$B$4:$B$47,0)),IF(COUNTIF(Asta!$D$4:$D$47,'_Supporto Listone'!B117)&gt;0,INDEX(Asta!$E$4:$E$47,MATCH('_Supporto Listone'!B117,Asta!$D$4:$D$47,0)),IF(COUNTIF(Asta!$F$4:$F$47,'_Supporto Listone'!B117)&gt;0,INDEX(Asta!$G$4:$G$47,MATCH('_Supporto Listone'!B117,Asta!$F$4:$F$47,0)),IF(COUNTIF(Asta!$H$4:$H$47,'_Supporto Listone'!B117)&gt;0,INDEX(Asta!$I$4:$I$47,MATCH('_Supporto Listone'!B117,Asta!$H$4:$H$47,0)),IF(COUNTIF(Asta!$J$4:$J$47,'_Supporto Listone'!B117)&gt;0,INDEX(Asta!$K$4:$K$47,MATCH('_Supporto Listone'!B117,Asta!$J$4:$J$47,0)),IF(COUNTIF(Asta!$L$4:$L$47,'_Supporto Listone'!B117)&gt;0,INDEX(Asta!$M$4:$M$47,MATCH('_Supporto Listone'!B117,Asta!$L$4:$L$47,0)),IF(COUNTIF(Asta!$N$4:$N$47,'_Supporto Listone'!B117)&gt;0,INDEX(Asta!$O$4:$O$47,MATCH('_Supporto Listone'!B117,Asta!$N$4:$N$47,0)),IF(COUNTIF(Asta!$P$4:$P$47,'_Supporto Listone'!B117)&gt;0,INDEX(Asta!$Q$4:$Q$47,MATCH('_Supporto Listone'!B117,Asta!$P$4:$P$47,0)),IF(COUNTIF(Asta!$R$4:$R$47,'_Supporto Listone'!B117)&gt;0,INDEX(Asta!$S$4:$S$47,MATCH('_Supporto Listone'!B117,Asta!$R$4:$R$47,0)),IF(COUNTIF(Asta!$T$4:$T$47,'_Supporto Listone'!B117)&gt;0,INDEX(Asta!$U$4:$U$47,MATCH('_Supporto Listone'!B117,Asta!$T$4:$T$47,0)),""))))))))))</x:f>
      </x:c>
    </x:row>
    <x:row r="118">
      <x:c r="A118" s="432" t="str">
        <x:f>IF($J118&lt;&gt;"",REGEXREPLACE(TO_TEXT('_Supporto Listone'!A118),"(.)","$1"&amp;UNICHAR(822)),'_Supporto Listone'!A118)</x:f>
        <x:v>D</x:v>
      </x:c>
      <x:c r="B118" s="433" t="str">
        <x:f>IF($J118&lt;&gt;"",REGEXREPLACE(TO_TEXT('_Supporto Listone'!B118),"(.)","$1"&amp;UNICHAR(822)),'_Supporto Listone'!B118)</x:f>
        <x:v>Idzes</x:v>
      </x:c>
      <x:c r="C118" s="433" t="str">
        <x:f>IF($J118&lt;&gt;"",REGEXREPLACE(TO_TEXT('_Supporto Listone'!C118),"(.)","$1"&amp;UNICHAR(822)),'_Supporto Listone'!C118)</x:f>
        <x:v>Sassuolo</x:v>
      </x:c>
      <x:c r="D118" s="433" t="str">
        <x:f>IF($J118&lt;&gt;"",REGEXREPLACE(TO_TEXT('_Supporto Listone'!D118),"(.)","$1"&amp;UNICHAR(822)),'_Supporto Listone'!D118)</x:f>
        <x:v>Dc</x:v>
      </x:c>
      <x:c r="E118" s="433" t="str">
        <x:f>IF($J118&lt;&gt;"",REGEXREPLACE(TO_TEXT('_Supporto Listone'!E118),"(.)","$1"&amp;UNICHAR(822)),'_Supporto Listone'!E118)</x:f>
        <x:v>Titolare</x:v>
      </x:c>
      <x:c r="F118" s="462" t="n">
        <x:f>IF($J118&lt;&gt;"",REGEXREPLACE(TO_TEXT('_Supporto Listone'!F118),"(.)","$1"&amp;UNICHAR(822)),'_Supporto Listone'!F118)</x:f>
        <x:v>7</x:v>
      </x:c>
      <x:c r="G118" s="462" t="n">
        <x:f>IF($J118&lt;&gt;"",REGEXREPLACE(TO_TEXT('_Supporto Listone'!G118),"(.)","$1"&amp;UNICHAR(822)),'_Supporto Listone'!G118)</x:f>
        <x:v>1</x:v>
      </x:c>
      <x:c r="H118" s="462" t="n">
        <x:f>IF($J118&lt;&gt;"",REGEXREPLACE(TO_TEXT('_Supporto Listone'!H118),"(.)","$1"&amp;UNICHAR(822)),'_Supporto Listone'!H118)</x:f>
        <x:v>1</x:v>
      </x:c>
      <x:c r="I118" s="434"/>
      <x:c r="J118" s="433" t="str">
        <x:f>IF(COUNTIF(Asta!$B$4:$B$47,'_Supporto Listone'!B118)&gt;0,"Simone",IF(COUNTIF(Asta!$D$4:$D$47,'_Supporto Listone'!B118)&gt;0,"Giacomo",IF(COUNTIF(Asta!$F$4:$F$47,'_Supporto Listone'!B118)&gt;0,"Niko",IF(COUNTIF(Asta!$H$4:$H$47,'_Supporto Listone'!B118)&gt;0,"Quici",IF(COUNTIF(Asta!$J$4:$J$47,'_Supporto Listone'!B118)&gt;0,"Fratello Quici",IF(COUNTIF(Asta!$L$4:$L$47,'_Supporto Listone'!B118)&gt;0,"Nicolò",IF(COUNTIF(Asta!$N$4:$N$47,'_Supporto Listone'!B118)&gt;0,"Vi",IF(COUNTIF(Asta!$P$4:$P$47,'_Supporto Listone'!B118)&gt;0,"Lore",IF(COUNTIF(Asta!$R$4:$R$47,'_Supporto Listone'!B118)&gt;0,"Robbo",IF(COUNTIF(Asta!$T$4:$T$47,'_Supporto Listone'!B118)&gt;0,"Ale",""))))))))))</x:f>
      </x:c>
      <x:c r="K118" s="493" t="str">
        <x:f>IF(COUNTIF(Asta!$B$4:$B$47,'_Supporto Listone'!B118)&gt;0,INDEX(Asta!$C$4:$C$47,MATCH('_Supporto Listone'!B118,Asta!$B$4:$B$47,0)),IF(COUNTIF(Asta!$D$4:$D$47,'_Supporto Listone'!B118)&gt;0,INDEX(Asta!$E$4:$E$47,MATCH('_Supporto Listone'!B118,Asta!$D$4:$D$47,0)),IF(COUNTIF(Asta!$F$4:$F$47,'_Supporto Listone'!B118)&gt;0,INDEX(Asta!$G$4:$G$47,MATCH('_Supporto Listone'!B118,Asta!$F$4:$F$47,0)),IF(COUNTIF(Asta!$H$4:$H$47,'_Supporto Listone'!B118)&gt;0,INDEX(Asta!$I$4:$I$47,MATCH('_Supporto Listone'!B118,Asta!$H$4:$H$47,0)),IF(COUNTIF(Asta!$J$4:$J$47,'_Supporto Listone'!B118)&gt;0,INDEX(Asta!$K$4:$K$47,MATCH('_Supporto Listone'!B118,Asta!$J$4:$J$47,0)),IF(COUNTIF(Asta!$L$4:$L$47,'_Supporto Listone'!B118)&gt;0,INDEX(Asta!$M$4:$M$47,MATCH('_Supporto Listone'!B118,Asta!$L$4:$L$47,0)),IF(COUNTIF(Asta!$N$4:$N$47,'_Supporto Listone'!B118)&gt;0,INDEX(Asta!$O$4:$O$47,MATCH('_Supporto Listone'!B118,Asta!$N$4:$N$47,0)),IF(COUNTIF(Asta!$P$4:$P$47,'_Supporto Listone'!B118)&gt;0,INDEX(Asta!$Q$4:$Q$47,MATCH('_Supporto Listone'!B118,Asta!$P$4:$P$47,0)),IF(COUNTIF(Asta!$R$4:$R$47,'_Supporto Listone'!B118)&gt;0,INDEX(Asta!$S$4:$S$47,MATCH('_Supporto Listone'!B118,Asta!$R$4:$R$47,0)),IF(COUNTIF(Asta!$T$4:$T$47,'_Supporto Listone'!B118)&gt;0,INDEX(Asta!$U$4:$U$47,MATCH('_Supporto Listone'!B118,Asta!$T$4:$T$47,0)),""))))))))))</x:f>
      </x:c>
    </x:row>
    <x:row r="119">
      <x:c r="A119" s="432" t="str">
        <x:f>IF($J119&lt;&gt;"",REGEXREPLACE(TO_TEXT('_Supporto Listone'!A119),"(.)","$1"&amp;UNICHAR(822)),'_Supporto Listone'!A119)</x:f>
        <x:v>D</x:v>
      </x:c>
      <x:c r="B119" s="433" t="str">
        <x:f>IF($J119&lt;&gt;"",REGEXREPLACE(TO_TEXT('_Supporto Listone'!B119),"(.)","$1"&amp;UNICHAR(822)),'_Supporto Listone'!B119)</x:f>
        <x:v>Coco</x:v>
      </x:c>
      <x:c r="C119" s="433" t="str">
        <x:f>IF($J119&lt;&gt;"",REGEXREPLACE(TO_TEXT('_Supporto Listone'!C119),"(.)","$1"&amp;UNICHAR(822)),'_Supporto Listone'!C119)</x:f>
        <x:v>Torino</x:v>
      </x:c>
      <x:c r="D119" s="433" t="str">
        <x:f>IF($J119&lt;&gt;"",REGEXREPLACE(TO_TEXT('_Supporto Listone'!D119),"(.)","$1"&amp;UNICHAR(822)),'_Supporto Listone'!D119)</x:f>
        <x:v>Dc</x:v>
      </x:c>
      <x:c r="E119" s="433" t="str">
        <x:f>IF($J119&lt;&gt;"",REGEXREPLACE(TO_TEXT('_Supporto Listone'!E119),"(.)","$1"&amp;UNICHAR(822)),'_Supporto Listone'!E119)</x:f>
        <x:v>Titolare / ballottaggio</x:v>
      </x:c>
      <x:c r="F119" s="462" t="n">
        <x:f>IF($J119&lt;&gt;"",REGEXREPLACE(TO_TEXT('_Supporto Listone'!F119),"(.)","$1"&amp;UNICHAR(822)),'_Supporto Listone'!F119)</x:f>
        <x:v>7</x:v>
      </x:c>
      <x:c r="G119" s="462" t="n">
        <x:f>IF($J119&lt;&gt;"",REGEXREPLACE(TO_TEXT('_Supporto Listone'!G119),"(.)","$1"&amp;UNICHAR(822)),'_Supporto Listone'!G119)</x:f>
        <x:v>18</x:v>
      </x:c>
      <x:c r="H119" s="462" t="n">
        <x:f>IF($J119&lt;&gt;"",REGEXREPLACE(TO_TEXT('_Supporto Listone'!H119),"(.)","$1"&amp;UNICHAR(822)),'_Supporto Listone'!H119)</x:f>
        <x:v>9</x:v>
      </x:c>
      <x:c r="I119" s="434"/>
      <x:c r="J119" s="433" t="str">
        <x:f>IF(COUNTIF(Asta!$B$4:$B$47,'_Supporto Listone'!B119)&gt;0,"Simone",IF(COUNTIF(Asta!$D$4:$D$47,'_Supporto Listone'!B119)&gt;0,"Giacomo",IF(COUNTIF(Asta!$F$4:$F$47,'_Supporto Listone'!B119)&gt;0,"Niko",IF(COUNTIF(Asta!$H$4:$H$47,'_Supporto Listone'!B119)&gt;0,"Quici",IF(COUNTIF(Asta!$J$4:$J$47,'_Supporto Listone'!B119)&gt;0,"Fratello Quici",IF(COUNTIF(Asta!$L$4:$L$47,'_Supporto Listone'!B119)&gt;0,"Nicolò",IF(COUNTIF(Asta!$N$4:$N$47,'_Supporto Listone'!B119)&gt;0,"Vi",IF(COUNTIF(Asta!$P$4:$P$47,'_Supporto Listone'!B119)&gt;0,"Lore",IF(COUNTIF(Asta!$R$4:$R$47,'_Supporto Listone'!B119)&gt;0,"Robbo",IF(COUNTIF(Asta!$T$4:$T$47,'_Supporto Listone'!B119)&gt;0,"Ale",""))))))))))</x:f>
      </x:c>
      <x:c r="K119" s="493" t="str">
        <x:f>IF(COUNTIF(Asta!$B$4:$B$47,'_Supporto Listone'!B119)&gt;0,INDEX(Asta!$C$4:$C$47,MATCH('_Supporto Listone'!B119,Asta!$B$4:$B$47,0)),IF(COUNTIF(Asta!$D$4:$D$47,'_Supporto Listone'!B119)&gt;0,INDEX(Asta!$E$4:$E$47,MATCH('_Supporto Listone'!B119,Asta!$D$4:$D$47,0)),IF(COUNTIF(Asta!$F$4:$F$47,'_Supporto Listone'!B119)&gt;0,INDEX(Asta!$G$4:$G$47,MATCH('_Supporto Listone'!B119,Asta!$F$4:$F$47,0)),IF(COUNTIF(Asta!$H$4:$H$47,'_Supporto Listone'!B119)&gt;0,INDEX(Asta!$I$4:$I$47,MATCH('_Supporto Listone'!B119,Asta!$H$4:$H$47,0)),IF(COUNTIF(Asta!$J$4:$J$47,'_Supporto Listone'!B119)&gt;0,INDEX(Asta!$K$4:$K$47,MATCH('_Supporto Listone'!B119,Asta!$J$4:$J$47,0)),IF(COUNTIF(Asta!$L$4:$L$47,'_Supporto Listone'!B119)&gt;0,INDEX(Asta!$M$4:$M$47,MATCH('_Supporto Listone'!B119,Asta!$L$4:$L$47,0)),IF(COUNTIF(Asta!$N$4:$N$47,'_Supporto Listone'!B119)&gt;0,INDEX(Asta!$O$4:$O$47,MATCH('_Supporto Listone'!B119,Asta!$N$4:$N$47,0)),IF(COUNTIF(Asta!$P$4:$P$47,'_Supporto Listone'!B119)&gt;0,INDEX(Asta!$Q$4:$Q$47,MATCH('_Supporto Listone'!B119,Asta!$P$4:$P$47,0)),IF(COUNTIF(Asta!$R$4:$R$47,'_Supporto Listone'!B119)&gt;0,INDEX(Asta!$S$4:$S$47,MATCH('_Supporto Listone'!B119,Asta!$R$4:$R$47,0)),IF(COUNTIF(Asta!$T$4:$T$47,'_Supporto Listone'!B119)&gt;0,INDEX(Asta!$U$4:$U$47,MATCH('_Supporto Listone'!B119,Asta!$T$4:$T$47,0)),""))))))))))</x:f>
      </x:c>
    </x:row>
    <x:row r="120">
      <x:c r="A120" s="432" t="str">
        <x:f>IF($J120&lt;&gt;"",REGEXREPLACE(TO_TEXT('_Supporto Listone'!A120),"(.)","$1"&amp;UNICHAR(822)),'_Supporto Listone'!A120)</x:f>
        <x:v>D</x:v>
      </x:c>
      <x:c r="B120" s="433" t="str">
        <x:f>IF($J120&lt;&gt;"",REGEXREPLACE(TO_TEXT('_Supporto Listone'!B120),"(.)","$1"&amp;UNICHAR(822)),'_Supporto Listone'!B120)</x:f>
        <x:v>Ismajli</x:v>
      </x:c>
      <x:c r="C120" s="433" t="str">
        <x:f>IF($J120&lt;&gt;"",REGEXREPLACE(TO_TEXT('_Supporto Listone'!C120),"(.)","$1"&amp;UNICHAR(822)),'_Supporto Listone'!C120)</x:f>
        <x:v>Torino</x:v>
      </x:c>
      <x:c r="D120" s="433" t="str">
        <x:f>IF($J120&lt;&gt;"",REGEXREPLACE(TO_TEXT('_Supporto Listone'!D120),"(.)","$1"&amp;UNICHAR(822)),'_Supporto Listone'!D120)</x:f>
        <x:v>Dc</x:v>
      </x:c>
      <x:c r="E120" s="433" t="str">
        <x:f>IF($J120&lt;&gt;"",REGEXREPLACE(TO_TEXT('_Supporto Listone'!E120),"(.)","$1"&amp;UNICHAR(822)),'_Supporto Listone'!E120)</x:f>
        <x:v>Ballottaggio</x:v>
      </x:c>
      <x:c r="F120" s="462" t="n">
        <x:f>IF($J120&lt;&gt;"",REGEXREPLACE(TO_TEXT('_Supporto Listone'!F120),"(.)","$1"&amp;UNICHAR(822)),'_Supporto Listone'!F120)</x:f>
        <x:v>7</x:v>
      </x:c>
      <x:c r="G120" s="462" t="n">
        <x:f>IF($J120&lt;&gt;"",REGEXREPLACE(TO_TEXT('_Supporto Listone'!G120),"(.)","$1"&amp;UNICHAR(822)),'_Supporto Listone'!G120)</x:f>
        <x:v>18</x:v>
      </x:c>
      <x:c r="H120" s="462" t="n">
        <x:f>IF($J120&lt;&gt;"",REGEXREPLACE(TO_TEXT('_Supporto Listone'!H120),"(.)","$1"&amp;UNICHAR(822)),'_Supporto Listone'!H120)</x:f>
        <x:v>9</x:v>
      </x:c>
      <x:c r="I120" s="434"/>
      <x:c r="J120" s="433" t="str">
        <x:f>IF(COUNTIF(Asta!$B$4:$B$47,'_Supporto Listone'!B120)&gt;0,"Simone",IF(COUNTIF(Asta!$D$4:$D$47,'_Supporto Listone'!B120)&gt;0,"Giacomo",IF(COUNTIF(Asta!$F$4:$F$47,'_Supporto Listone'!B120)&gt;0,"Niko",IF(COUNTIF(Asta!$H$4:$H$47,'_Supporto Listone'!B120)&gt;0,"Quici",IF(COUNTIF(Asta!$J$4:$J$47,'_Supporto Listone'!B120)&gt;0,"Fratello Quici",IF(COUNTIF(Asta!$L$4:$L$47,'_Supporto Listone'!B120)&gt;0,"Nicolò",IF(COUNTIF(Asta!$N$4:$N$47,'_Supporto Listone'!B120)&gt;0,"Vi",IF(COUNTIF(Asta!$P$4:$P$47,'_Supporto Listone'!B120)&gt;0,"Lore",IF(COUNTIF(Asta!$R$4:$R$47,'_Supporto Listone'!B120)&gt;0,"Robbo",IF(COUNTIF(Asta!$T$4:$T$47,'_Supporto Listone'!B120)&gt;0,"Ale",""))))))))))</x:f>
      </x:c>
      <x:c r="K120" s="493" t="str">
        <x:f>IF(COUNTIF(Asta!$B$4:$B$47,'_Supporto Listone'!B120)&gt;0,INDEX(Asta!$C$4:$C$47,MATCH('_Supporto Listone'!B120,Asta!$B$4:$B$47,0)),IF(COUNTIF(Asta!$D$4:$D$47,'_Supporto Listone'!B120)&gt;0,INDEX(Asta!$E$4:$E$47,MATCH('_Supporto Listone'!B120,Asta!$D$4:$D$47,0)),IF(COUNTIF(Asta!$F$4:$F$47,'_Supporto Listone'!B120)&gt;0,INDEX(Asta!$G$4:$G$47,MATCH('_Supporto Listone'!B120,Asta!$F$4:$F$47,0)),IF(COUNTIF(Asta!$H$4:$H$47,'_Supporto Listone'!B120)&gt;0,INDEX(Asta!$I$4:$I$47,MATCH('_Supporto Listone'!B120,Asta!$H$4:$H$47,0)),IF(COUNTIF(Asta!$J$4:$J$47,'_Supporto Listone'!B120)&gt;0,INDEX(Asta!$K$4:$K$47,MATCH('_Supporto Listone'!B120,Asta!$J$4:$J$47,0)),IF(COUNTIF(Asta!$L$4:$L$47,'_Supporto Listone'!B120)&gt;0,INDEX(Asta!$M$4:$M$47,MATCH('_Supporto Listone'!B120,Asta!$L$4:$L$47,0)),IF(COUNTIF(Asta!$N$4:$N$47,'_Supporto Listone'!B120)&gt;0,INDEX(Asta!$O$4:$O$47,MATCH('_Supporto Listone'!B120,Asta!$N$4:$N$47,0)),IF(COUNTIF(Asta!$P$4:$P$47,'_Supporto Listone'!B120)&gt;0,INDEX(Asta!$Q$4:$Q$47,MATCH('_Supporto Listone'!B120,Asta!$P$4:$P$47,0)),IF(COUNTIF(Asta!$R$4:$R$47,'_Supporto Listone'!B120)&gt;0,INDEX(Asta!$S$4:$S$47,MATCH('_Supporto Listone'!B120,Asta!$R$4:$R$47,0)),IF(COUNTIF(Asta!$T$4:$T$47,'_Supporto Listone'!B120)&gt;0,INDEX(Asta!$U$4:$U$47,MATCH('_Supporto Listone'!B120,Asta!$T$4:$T$47,0)),""))))))))))</x:f>
      </x:c>
    </x:row>
    <x:row r="121">
      <x:c r="A121" s="432" t="str">
        <x:f>IF($J121&lt;&gt;"",REGEXREPLACE(TO_TEXT('_Supporto Listone'!A121),"(.)","$1"&amp;UNICHAR(822)),'_Supporto Listone'!A121)</x:f>
        <x:v>D</x:v>
      </x:c>
      <x:c r="B121" s="433" t="str">
        <x:f>IF($J121&lt;&gt;"",REGEXREPLACE(TO_TEXT('_Supporto Listone'!B121),"(.)","$1"&amp;UNICHAR(822)),'_Supporto Listone'!B121)</x:f>
        <x:v>Kristensen T.</x:v>
      </x:c>
      <x:c r="C121" s="433" t="str">
        <x:f>IF($J121&lt;&gt;"",REGEXREPLACE(TO_TEXT('_Supporto Listone'!C121),"(.)","$1"&amp;UNICHAR(822)),'_Supporto Listone'!C121)</x:f>
        <x:v>Udinese</x:v>
      </x:c>
      <x:c r="D121" s="433" t="str">
        <x:f>IF($J121&lt;&gt;"",REGEXREPLACE(TO_TEXT('_Supporto Listone'!D121),"(.)","$1"&amp;UNICHAR(822)),'_Supporto Listone'!D121)</x:f>
        <x:v>Dd;Dc</x:v>
      </x:c>
      <x:c r="E121" s="433" t="str">
        <x:f>IF($J121&lt;&gt;"",REGEXREPLACE(TO_TEXT('_Supporto Listone'!E121),"(.)","$1"&amp;UNICHAR(822)),'_Supporto Listone'!E121)</x:f>
        <x:v>Riserva / rotazione</x:v>
      </x:c>
      <x:c r="F121" s="462" t="n">
        <x:f>IF($J121&lt;&gt;"",REGEXREPLACE(TO_TEXT('_Supporto Listone'!F121),"(.)","$1"&amp;UNICHAR(822)),'_Supporto Listone'!F121)</x:f>
        <x:v>7</x:v>
      </x:c>
      <x:c r="G121" s="462" t="n">
        <x:f>IF($J121&lt;&gt;"",REGEXREPLACE(TO_TEXT('_Supporto Listone'!G121),"(.)","$1"&amp;UNICHAR(822)),'_Supporto Listone'!G121)</x:f>
        <x:v>15</x:v>
      </x:c>
      <x:c r="H121" s="462" t="n">
        <x:f>IF($J121&lt;&gt;"",REGEXREPLACE(TO_TEXT('_Supporto Listone'!H121),"(.)","$1"&amp;UNICHAR(822)),'_Supporto Listone'!H121)</x:f>
        <x:v>8</x:v>
      </x:c>
      <x:c r="I121" s="434"/>
      <x:c r="J121" s="433" t="str">
        <x:f>IF(COUNTIF(Asta!$B$4:$B$47,'_Supporto Listone'!B121)&gt;0,"Simone",IF(COUNTIF(Asta!$D$4:$D$47,'_Supporto Listone'!B121)&gt;0,"Giacomo",IF(COUNTIF(Asta!$F$4:$F$47,'_Supporto Listone'!B121)&gt;0,"Niko",IF(COUNTIF(Asta!$H$4:$H$47,'_Supporto Listone'!B121)&gt;0,"Quici",IF(COUNTIF(Asta!$J$4:$J$47,'_Supporto Listone'!B121)&gt;0,"Fratello Quici",IF(COUNTIF(Asta!$L$4:$L$47,'_Supporto Listone'!B121)&gt;0,"Nicolò",IF(COUNTIF(Asta!$N$4:$N$47,'_Supporto Listone'!B121)&gt;0,"Vi",IF(COUNTIF(Asta!$P$4:$P$47,'_Supporto Listone'!B121)&gt;0,"Lore",IF(COUNTIF(Asta!$R$4:$R$47,'_Supporto Listone'!B121)&gt;0,"Robbo",IF(COUNTIF(Asta!$T$4:$T$47,'_Supporto Listone'!B121)&gt;0,"Ale",""))))))))))</x:f>
      </x:c>
      <x:c r="K121" s="493" t="str">
        <x:f>IF(COUNTIF(Asta!$B$4:$B$47,'_Supporto Listone'!B121)&gt;0,INDEX(Asta!$C$4:$C$47,MATCH('_Supporto Listone'!B121,Asta!$B$4:$B$47,0)),IF(COUNTIF(Asta!$D$4:$D$47,'_Supporto Listone'!B121)&gt;0,INDEX(Asta!$E$4:$E$47,MATCH('_Supporto Listone'!B121,Asta!$D$4:$D$47,0)),IF(COUNTIF(Asta!$F$4:$F$47,'_Supporto Listone'!B121)&gt;0,INDEX(Asta!$G$4:$G$47,MATCH('_Supporto Listone'!B121,Asta!$F$4:$F$47,0)),IF(COUNTIF(Asta!$H$4:$H$47,'_Supporto Listone'!B121)&gt;0,INDEX(Asta!$I$4:$I$47,MATCH('_Supporto Listone'!B121,Asta!$H$4:$H$47,0)),IF(COUNTIF(Asta!$J$4:$J$47,'_Supporto Listone'!B121)&gt;0,INDEX(Asta!$K$4:$K$47,MATCH('_Supporto Listone'!B121,Asta!$J$4:$J$47,0)),IF(COUNTIF(Asta!$L$4:$L$47,'_Supporto Listone'!B121)&gt;0,INDEX(Asta!$M$4:$M$47,MATCH('_Supporto Listone'!B121,Asta!$L$4:$L$47,0)),IF(COUNTIF(Asta!$N$4:$N$47,'_Supporto Listone'!B121)&gt;0,INDEX(Asta!$O$4:$O$47,MATCH('_Supporto Listone'!B121,Asta!$N$4:$N$47,0)),IF(COUNTIF(Asta!$P$4:$P$47,'_Supporto Listone'!B121)&gt;0,INDEX(Asta!$Q$4:$Q$47,MATCH('_Supporto Listone'!B121,Asta!$P$4:$P$47,0)),IF(COUNTIF(Asta!$R$4:$R$47,'_Supporto Listone'!B121)&gt;0,INDEX(Asta!$S$4:$S$47,MATCH('_Supporto Listone'!B121,Asta!$R$4:$R$47,0)),IF(COUNTIF(Asta!$T$4:$T$47,'_Supporto Listone'!B121)&gt;0,INDEX(Asta!$U$4:$U$47,MATCH('_Supporto Listone'!B121,Asta!$T$4:$T$47,0)),""))))))))))</x:f>
      </x:c>
    </x:row>
    <x:row r="122">
      <x:c r="A122" s="432" t="str">
        <x:f>IF($J122&lt;&gt;"",REGEXREPLACE(TO_TEXT('_Supporto Listone'!A122),"(.)","$1"&amp;UNICHAR(822)),'_Supporto Listone'!A122)</x:f>
        <x:v>D</x:v>
      </x:c>
      <x:c r="B122" s="433" t="str">
        <x:f>IF($J122&lt;&gt;"",REGEXREPLACE(TO_TEXT('_Supporto Listone'!B122),"(.)","$1"&amp;UNICHAR(822)),'_Supporto Listone'!B122)</x:f>
        <x:v>Ahanor</x:v>
      </x:c>
      <x:c r="C122" s="433" t="str">
        <x:f>IF($J122&lt;&gt;"",REGEXREPLACE(TO_TEXT('_Supporto Listone'!C122),"(.)","$1"&amp;UNICHAR(822)),'_Supporto Listone'!C122)</x:f>
        <x:v>Atalanta</x:v>
      </x:c>
      <x:c r="D122" s="433" t="str">
        <x:f>IF($J122&lt;&gt;"",REGEXREPLACE(TO_TEXT('_Supporto Listone'!D122),"(.)","$1"&amp;UNICHAR(822)),'_Supporto Listone'!D122)</x:f>
        <x:v>B;Ds;E</x:v>
      </x:c>
      <x:c r="E122" s="433" t="str">
        <x:f>IF($J122&lt;&gt;"",REGEXREPLACE(TO_TEXT('_Supporto Listone'!E122),"(.)","$1"&amp;UNICHAR(822)),'_Supporto Listone'!E122)</x:f>
        <x:v>Riserva / rotazione</x:v>
      </x:c>
      <x:c r="F122" s="462" t="n">
        <x:f>IF($J122&lt;&gt;"",REGEXREPLACE(TO_TEXT('_Supporto Listone'!F122),"(.)","$1"&amp;UNICHAR(822)),'_Supporto Listone'!F122)</x:f>
        <x:v>6</x:v>
      </x:c>
      <x:c r="G122" s="462" t="n">
        <x:f>IF($J122&lt;&gt;"",REGEXREPLACE(TO_TEXT('_Supporto Listone'!G122),"(.)","$1"&amp;UNICHAR(822)),'_Supporto Listone'!G122)</x:f>
        <x:v>16</x:v>
      </x:c>
      <x:c r="H122" s="462" t="n">
        <x:f>IF($J122&lt;&gt;"",REGEXREPLACE(TO_TEXT('_Supporto Listone'!H122),"(.)","$1"&amp;UNICHAR(822)),'_Supporto Listone'!H122)</x:f>
        <x:v>8</x:v>
      </x:c>
      <x:c r="I122" s="434"/>
      <x:c r="J122" s="433" t="str">
        <x:f>IF(COUNTIF(Asta!$B$4:$B$47,'_Supporto Listone'!B122)&gt;0,"Simone",IF(COUNTIF(Asta!$D$4:$D$47,'_Supporto Listone'!B122)&gt;0,"Giacomo",IF(COUNTIF(Asta!$F$4:$F$47,'_Supporto Listone'!B122)&gt;0,"Niko",IF(COUNTIF(Asta!$H$4:$H$47,'_Supporto Listone'!B122)&gt;0,"Quici",IF(COUNTIF(Asta!$J$4:$J$47,'_Supporto Listone'!B122)&gt;0,"Fratello Quici",IF(COUNTIF(Asta!$L$4:$L$47,'_Supporto Listone'!B122)&gt;0,"Nicolò",IF(COUNTIF(Asta!$N$4:$N$47,'_Supporto Listone'!B122)&gt;0,"Vi",IF(COUNTIF(Asta!$P$4:$P$47,'_Supporto Listone'!B122)&gt;0,"Lore",IF(COUNTIF(Asta!$R$4:$R$47,'_Supporto Listone'!B122)&gt;0,"Robbo",IF(COUNTIF(Asta!$T$4:$T$47,'_Supporto Listone'!B122)&gt;0,"Ale",""))))))))))</x:f>
      </x:c>
      <x:c r="K122" s="493" t="str">
        <x:f>IF(COUNTIF(Asta!$B$4:$B$47,'_Supporto Listone'!B122)&gt;0,INDEX(Asta!$C$4:$C$47,MATCH('_Supporto Listone'!B122,Asta!$B$4:$B$47,0)),IF(COUNTIF(Asta!$D$4:$D$47,'_Supporto Listone'!B122)&gt;0,INDEX(Asta!$E$4:$E$47,MATCH('_Supporto Listone'!B122,Asta!$D$4:$D$47,0)),IF(COUNTIF(Asta!$F$4:$F$47,'_Supporto Listone'!B122)&gt;0,INDEX(Asta!$G$4:$G$47,MATCH('_Supporto Listone'!B122,Asta!$F$4:$F$47,0)),IF(COUNTIF(Asta!$H$4:$H$47,'_Supporto Listone'!B122)&gt;0,INDEX(Asta!$I$4:$I$47,MATCH('_Supporto Listone'!B122,Asta!$H$4:$H$47,0)),IF(COUNTIF(Asta!$J$4:$J$47,'_Supporto Listone'!B122)&gt;0,INDEX(Asta!$K$4:$K$47,MATCH('_Supporto Listone'!B122,Asta!$J$4:$J$47,0)),IF(COUNTIF(Asta!$L$4:$L$47,'_Supporto Listone'!B122)&gt;0,INDEX(Asta!$M$4:$M$47,MATCH('_Supporto Listone'!B122,Asta!$L$4:$L$47,0)),IF(COUNTIF(Asta!$N$4:$N$47,'_Supporto Listone'!B122)&gt;0,INDEX(Asta!$O$4:$O$47,MATCH('_Supporto Listone'!B122,Asta!$N$4:$N$47,0)),IF(COUNTIF(Asta!$P$4:$P$47,'_Supporto Listone'!B122)&gt;0,INDEX(Asta!$Q$4:$Q$47,MATCH('_Supporto Listone'!B122,Asta!$P$4:$P$47,0)),IF(COUNTIF(Asta!$R$4:$R$47,'_Supporto Listone'!B122)&gt;0,INDEX(Asta!$S$4:$S$47,MATCH('_Supporto Listone'!B122,Asta!$R$4:$R$47,0)),IF(COUNTIF(Asta!$T$4:$T$47,'_Supporto Listone'!B122)&gt;0,INDEX(Asta!$U$4:$U$47,MATCH('_Supporto Listone'!B122,Asta!$T$4:$T$47,0)),""))))))))))</x:f>
      </x:c>
    </x:row>
    <x:row r="123">
      <x:c r="A123" s="432" t="str">
        <x:f>IF($J123&lt;&gt;"",REGEXREPLACE(TO_TEXT('_Supporto Listone'!A123),"(.)","$1"&amp;UNICHAR(822)),'_Supporto Listone'!A123)</x:f>
        <x:v>D</x:v>
      </x:c>
      <x:c r="B123" s="433" t="str">
        <x:f>IF($J123&lt;&gt;"",REGEXREPLACE(TO_TEXT('_Supporto Listone'!B123),"(.)","$1"&amp;UNICHAR(822)),'_Supporto Listone'!B123)</x:f>
        <x:v>Bellanova</x:v>
      </x:c>
      <x:c r="C123" s="433" t="str">
        <x:f>IF($J123&lt;&gt;"",REGEXREPLACE(TO_TEXT('_Supporto Listone'!C123),"(.)","$1"&amp;UNICHAR(822)),'_Supporto Listone'!C123)</x:f>
        <x:v>Atalanta</x:v>
      </x:c>
      <x:c r="D123" s="433" t="str">
        <x:f>IF($J123&lt;&gt;"",REGEXREPLACE(TO_TEXT('_Supporto Listone'!D123),"(.)","$1"&amp;UNICHAR(822)),'_Supporto Listone'!D123)</x:f>
        <x:v>Dd;E</x:v>
      </x:c>
      <x:c r="E123" s="433" t="str">
        <x:f>IF($J123&lt;&gt;"",REGEXREPLACE(TO_TEXT('_Supporto Listone'!E123),"(.)","$1"&amp;UNICHAR(822)),'_Supporto Listone'!E123)</x:f>
        <x:v>Titolare / ballottaggio</x:v>
      </x:c>
      <x:c r="F123" s="462" t="n">
        <x:f>IF($J123&lt;&gt;"",REGEXREPLACE(TO_TEXT('_Supporto Listone'!F123),"(.)","$1"&amp;UNICHAR(822)),'_Supporto Listone'!F123)</x:f>
        <x:v>6</x:v>
      </x:c>
      <x:c r="G123" s="462" t="n">
        <x:f>IF($J123&lt;&gt;"",REGEXREPLACE(TO_TEXT('_Supporto Listone'!G123),"(.)","$1"&amp;UNICHAR(822)),'_Supporto Listone'!G123)</x:f>
        <x:v>15</x:v>
      </x:c>
      <x:c r="H123" s="462" t="n">
        <x:f>IF($J123&lt;&gt;"",REGEXREPLACE(TO_TEXT('_Supporto Listone'!H123),"(.)","$1"&amp;UNICHAR(822)),'_Supporto Listone'!H123)</x:f>
        <x:v>8</x:v>
      </x:c>
      <x:c r="I123" s="434"/>
      <x:c r="J123" s="433" t="str">
        <x:f>IF(COUNTIF(Asta!$B$4:$B$47,'_Supporto Listone'!B123)&gt;0,"Simone",IF(COUNTIF(Asta!$D$4:$D$47,'_Supporto Listone'!B123)&gt;0,"Giacomo",IF(COUNTIF(Asta!$F$4:$F$47,'_Supporto Listone'!B123)&gt;0,"Niko",IF(COUNTIF(Asta!$H$4:$H$47,'_Supporto Listone'!B123)&gt;0,"Quici",IF(COUNTIF(Asta!$J$4:$J$47,'_Supporto Listone'!B123)&gt;0,"Fratello Quici",IF(COUNTIF(Asta!$L$4:$L$47,'_Supporto Listone'!B123)&gt;0,"Nicolò",IF(COUNTIF(Asta!$N$4:$N$47,'_Supporto Listone'!B123)&gt;0,"Vi",IF(COUNTIF(Asta!$P$4:$P$47,'_Supporto Listone'!B123)&gt;0,"Lore",IF(COUNTIF(Asta!$R$4:$R$47,'_Supporto Listone'!B123)&gt;0,"Robbo",IF(COUNTIF(Asta!$T$4:$T$47,'_Supporto Listone'!B123)&gt;0,"Ale",""))))))))))</x:f>
      </x:c>
      <x:c r="K123" s="493" t="str">
        <x:f>IF(COUNTIF(Asta!$B$4:$B$47,'_Supporto Listone'!B123)&gt;0,INDEX(Asta!$C$4:$C$47,MATCH('_Supporto Listone'!B123,Asta!$B$4:$B$47,0)),IF(COUNTIF(Asta!$D$4:$D$47,'_Supporto Listone'!B123)&gt;0,INDEX(Asta!$E$4:$E$47,MATCH('_Supporto Listone'!B123,Asta!$D$4:$D$47,0)),IF(COUNTIF(Asta!$F$4:$F$47,'_Supporto Listone'!B123)&gt;0,INDEX(Asta!$G$4:$G$47,MATCH('_Supporto Listone'!B123,Asta!$F$4:$F$47,0)),IF(COUNTIF(Asta!$H$4:$H$47,'_Supporto Listone'!B123)&gt;0,INDEX(Asta!$I$4:$I$47,MATCH('_Supporto Listone'!B123,Asta!$H$4:$H$47,0)),IF(COUNTIF(Asta!$J$4:$J$47,'_Supporto Listone'!B123)&gt;0,INDEX(Asta!$K$4:$K$47,MATCH('_Supporto Listone'!B123,Asta!$J$4:$J$47,0)),IF(COUNTIF(Asta!$L$4:$L$47,'_Supporto Listone'!B123)&gt;0,INDEX(Asta!$M$4:$M$47,MATCH('_Supporto Listone'!B123,Asta!$L$4:$L$47,0)),IF(COUNTIF(Asta!$N$4:$N$47,'_Supporto Listone'!B123)&gt;0,INDEX(Asta!$O$4:$O$47,MATCH('_Supporto Listone'!B123,Asta!$N$4:$N$47,0)),IF(COUNTIF(Asta!$P$4:$P$47,'_Supporto Listone'!B123)&gt;0,INDEX(Asta!$Q$4:$Q$47,MATCH('_Supporto Listone'!B123,Asta!$P$4:$P$47,0)),IF(COUNTIF(Asta!$R$4:$R$47,'_Supporto Listone'!B123)&gt;0,INDEX(Asta!$S$4:$S$47,MATCH('_Supporto Listone'!B123,Asta!$R$4:$R$47,0)),IF(COUNTIF(Asta!$T$4:$T$47,'_Supporto Listone'!B123)&gt;0,INDEX(Asta!$U$4:$U$47,MATCH('_Supporto Listone'!B123,Asta!$T$4:$T$47,0)),""))))))))))</x:f>
      </x:c>
    </x:row>
    <x:row r="124">
      <x:c r="A124" s="432" t="str">
        <x:f>IF($J124&lt;&gt;"",REGEXREPLACE(TO_TEXT('_Supporto Listone'!A124),"(.)","$1"&amp;UNICHAR(822)),'_Supporto Listone'!A124)</x:f>
        <x:v>D</x:v>
      </x:c>
      <x:c r="B124" s="433" t="str">
        <x:f>IF($J124&lt;&gt;"",REGEXREPLACE(TO_TEXT('_Supporto Listone'!B124),"(.)","$1"&amp;UNICHAR(822)),'_Supporto Listone'!B124)</x:f>
        <x:v>Bernasconi</x:v>
      </x:c>
      <x:c r="C124" s="433" t="str">
        <x:f>IF($J124&lt;&gt;"",REGEXREPLACE(TO_TEXT('_Supporto Listone'!C124),"(.)","$1"&amp;UNICHAR(822)),'_Supporto Listone'!C124)</x:f>
        <x:v>Atalanta</x:v>
      </x:c>
      <x:c r="D124" s="433" t="str">
        <x:f>IF($J124&lt;&gt;"",REGEXREPLACE(TO_TEXT('_Supporto Listone'!D124),"(.)","$1"&amp;UNICHAR(822)),'_Supporto Listone'!D124)</x:f>
        <x:v>Ds;E</x:v>
      </x:c>
      <x:c r="E124" s="433" t="str">
        <x:f>IF($J124&lt;&gt;"",REGEXREPLACE(TO_TEXT('_Supporto Listone'!E124),"(.)","$1"&amp;UNICHAR(822)),'_Supporto Listone'!E124)</x:f>
        <x:v>Titolare</x:v>
      </x:c>
      <x:c r="F124" s="462" t="n">
        <x:f>IF($J124&lt;&gt;"",REGEXREPLACE(TO_TEXT('_Supporto Listone'!F124),"(.)","$1"&amp;UNICHAR(822)),'_Supporto Listone'!F124)</x:f>
        <x:v>6</x:v>
      </x:c>
      <x:c r="G124" s="462" t="n">
        <x:f>IF($J124&lt;&gt;"",REGEXREPLACE(TO_TEXT('_Supporto Listone'!G124),"(.)","$1"&amp;UNICHAR(822)),'_Supporto Listone'!G124)</x:f>
        <x:v>17</x:v>
      </x:c>
      <x:c r="H124" s="462" t="n">
        <x:f>IF($J124&lt;&gt;"",REGEXREPLACE(TO_TEXT('_Supporto Listone'!H124),"(.)","$1"&amp;UNICHAR(822)),'_Supporto Listone'!H124)</x:f>
        <x:v>9</x:v>
      </x:c>
      <x:c r="I124" s="434"/>
      <x:c r="J124" s="433" t="str">
        <x:f>IF(COUNTIF(Asta!$B$4:$B$47,'_Supporto Listone'!B124)&gt;0,"Simone",IF(COUNTIF(Asta!$D$4:$D$47,'_Supporto Listone'!B124)&gt;0,"Giacomo",IF(COUNTIF(Asta!$F$4:$F$47,'_Supporto Listone'!B124)&gt;0,"Niko",IF(COUNTIF(Asta!$H$4:$H$47,'_Supporto Listone'!B124)&gt;0,"Quici",IF(COUNTIF(Asta!$J$4:$J$47,'_Supporto Listone'!B124)&gt;0,"Fratello Quici",IF(COUNTIF(Asta!$L$4:$L$47,'_Supporto Listone'!B124)&gt;0,"Nicolò",IF(COUNTIF(Asta!$N$4:$N$47,'_Supporto Listone'!B124)&gt;0,"Vi",IF(COUNTIF(Asta!$P$4:$P$47,'_Supporto Listone'!B124)&gt;0,"Lore",IF(COUNTIF(Asta!$R$4:$R$47,'_Supporto Listone'!B124)&gt;0,"Robbo",IF(COUNTIF(Asta!$T$4:$T$47,'_Supporto Listone'!B124)&gt;0,"Ale",""))))))))))</x:f>
      </x:c>
      <x:c r="K124" s="493" t="str">
        <x:f>IF(COUNTIF(Asta!$B$4:$B$47,'_Supporto Listone'!B124)&gt;0,INDEX(Asta!$C$4:$C$47,MATCH('_Supporto Listone'!B124,Asta!$B$4:$B$47,0)),IF(COUNTIF(Asta!$D$4:$D$47,'_Supporto Listone'!B124)&gt;0,INDEX(Asta!$E$4:$E$47,MATCH('_Supporto Listone'!B124,Asta!$D$4:$D$47,0)),IF(COUNTIF(Asta!$F$4:$F$47,'_Supporto Listone'!B124)&gt;0,INDEX(Asta!$G$4:$G$47,MATCH('_Supporto Listone'!B124,Asta!$F$4:$F$47,0)),IF(COUNTIF(Asta!$H$4:$H$47,'_Supporto Listone'!B124)&gt;0,INDEX(Asta!$I$4:$I$47,MATCH('_Supporto Listone'!B124,Asta!$H$4:$H$47,0)),IF(COUNTIF(Asta!$J$4:$J$47,'_Supporto Listone'!B124)&gt;0,INDEX(Asta!$K$4:$K$47,MATCH('_Supporto Listone'!B124,Asta!$J$4:$J$47,0)),IF(COUNTIF(Asta!$L$4:$L$47,'_Supporto Listone'!B124)&gt;0,INDEX(Asta!$M$4:$M$47,MATCH('_Supporto Listone'!B124,Asta!$L$4:$L$47,0)),IF(COUNTIF(Asta!$N$4:$N$47,'_Supporto Listone'!B124)&gt;0,INDEX(Asta!$O$4:$O$47,MATCH('_Supporto Listone'!B124,Asta!$N$4:$N$47,0)),IF(COUNTIF(Asta!$P$4:$P$47,'_Supporto Listone'!B124)&gt;0,INDEX(Asta!$Q$4:$Q$47,MATCH('_Supporto Listone'!B124,Asta!$P$4:$P$47,0)),IF(COUNTIF(Asta!$R$4:$R$47,'_Supporto Listone'!B124)&gt;0,INDEX(Asta!$S$4:$S$47,MATCH('_Supporto Listone'!B124,Asta!$R$4:$R$47,0)),IF(COUNTIF(Asta!$T$4:$T$47,'_Supporto Listone'!B124)&gt;0,INDEX(Asta!$U$4:$U$47,MATCH('_Supporto Listone'!B124,Asta!$T$4:$T$47,0)),""))))))))))</x:f>
      </x:c>
    </x:row>
    <x:row r="125">
      <x:c r="A125" s="432" t="str">
        <x:f>IF($J125&lt;&gt;"",REGEXREPLACE(TO_TEXT('_Supporto Listone'!A125),"(.)","$1"&amp;UNICHAR(822)),'_Supporto Listone'!A125)</x:f>
        <x:v>D</x:v>
      </x:c>
      <x:c r="B125" s="433" t="str">
        <x:f>IF($J125&lt;&gt;"",REGEXREPLACE(TO_TEXT('_Supporto Listone'!B125),"(.)","$1"&amp;UNICHAR(822)),'_Supporto Listone'!B125)</x:f>
        <x:v>Heggem</x:v>
      </x:c>
      <x:c r="C125" s="433" t="str">
        <x:f>IF($J125&lt;&gt;"",REGEXREPLACE(TO_TEXT('_Supporto Listone'!C125),"(.)","$1"&amp;UNICHAR(822)),'_Supporto Listone'!C125)</x:f>
        <x:v>Bologna</x:v>
      </x:c>
      <x:c r="D125" s="433" t="str">
        <x:f>IF($J125&lt;&gt;"",REGEXREPLACE(TO_TEXT('_Supporto Listone'!D125),"(.)","$1"&amp;UNICHAR(822)),'_Supporto Listone'!D125)</x:f>
        <x:v>Ds;Dc</x:v>
      </x:c>
      <x:c r="E125" s="433" t="str">
        <x:f>IF($J125&lt;&gt;"",REGEXREPLACE(TO_TEXT('_Supporto Listone'!E125),"(.)","$1"&amp;UNICHAR(822)),'_Supporto Listone'!E125)</x:f>
        <x:v>Titolare</x:v>
      </x:c>
      <x:c r="F125" s="462" t="n">
        <x:f>IF($J125&lt;&gt;"",REGEXREPLACE(TO_TEXT('_Supporto Listone'!F125),"(.)","$1"&amp;UNICHAR(822)),'_Supporto Listone'!F125)</x:f>
        <x:v>6</x:v>
      </x:c>
      <x:c r="G125" s="462" t="n">
        <x:f>IF($J125&lt;&gt;"",REGEXREPLACE(TO_TEXT('_Supporto Listone'!G125),"(.)","$1"&amp;UNICHAR(822)),'_Supporto Listone'!G125)</x:f>
        <x:v>15</x:v>
      </x:c>
      <x:c r="H125" s="462" t="n">
        <x:f>IF($J125&lt;&gt;"",REGEXREPLACE(TO_TEXT('_Supporto Listone'!H125),"(.)","$1"&amp;UNICHAR(822)),'_Supporto Listone'!H125)</x:f>
        <x:v>8</x:v>
      </x:c>
      <x:c r="I125" s="434"/>
      <x:c r="J125" s="433" t="str">
        <x:f>IF(COUNTIF(Asta!$B$4:$B$47,'_Supporto Listone'!B125)&gt;0,"Simone",IF(COUNTIF(Asta!$D$4:$D$47,'_Supporto Listone'!B125)&gt;0,"Giacomo",IF(COUNTIF(Asta!$F$4:$F$47,'_Supporto Listone'!B125)&gt;0,"Niko",IF(COUNTIF(Asta!$H$4:$H$47,'_Supporto Listone'!B125)&gt;0,"Quici",IF(COUNTIF(Asta!$J$4:$J$47,'_Supporto Listone'!B125)&gt;0,"Fratello Quici",IF(COUNTIF(Asta!$L$4:$L$47,'_Supporto Listone'!B125)&gt;0,"Nicolò",IF(COUNTIF(Asta!$N$4:$N$47,'_Supporto Listone'!B125)&gt;0,"Vi",IF(COUNTIF(Asta!$P$4:$P$47,'_Supporto Listone'!B125)&gt;0,"Lore",IF(COUNTIF(Asta!$R$4:$R$47,'_Supporto Listone'!B125)&gt;0,"Robbo",IF(COUNTIF(Asta!$T$4:$T$47,'_Supporto Listone'!B125)&gt;0,"Ale",""))))))))))</x:f>
      </x:c>
      <x:c r="K125" s="493" t="str">
        <x:f>IF(COUNTIF(Asta!$B$4:$B$47,'_Supporto Listone'!B125)&gt;0,INDEX(Asta!$C$4:$C$47,MATCH('_Supporto Listone'!B125,Asta!$B$4:$B$47,0)),IF(COUNTIF(Asta!$D$4:$D$47,'_Supporto Listone'!B125)&gt;0,INDEX(Asta!$E$4:$E$47,MATCH('_Supporto Listone'!B125,Asta!$D$4:$D$47,0)),IF(COUNTIF(Asta!$F$4:$F$47,'_Supporto Listone'!B125)&gt;0,INDEX(Asta!$G$4:$G$47,MATCH('_Supporto Listone'!B125,Asta!$F$4:$F$47,0)),IF(COUNTIF(Asta!$H$4:$H$47,'_Supporto Listone'!B125)&gt;0,INDEX(Asta!$I$4:$I$47,MATCH('_Supporto Listone'!B125,Asta!$H$4:$H$47,0)),IF(COUNTIF(Asta!$J$4:$J$47,'_Supporto Listone'!B125)&gt;0,INDEX(Asta!$K$4:$K$47,MATCH('_Supporto Listone'!B125,Asta!$J$4:$J$47,0)),IF(COUNTIF(Asta!$L$4:$L$47,'_Supporto Listone'!B125)&gt;0,INDEX(Asta!$M$4:$M$47,MATCH('_Supporto Listone'!B125,Asta!$L$4:$L$47,0)),IF(COUNTIF(Asta!$N$4:$N$47,'_Supporto Listone'!B125)&gt;0,INDEX(Asta!$O$4:$O$47,MATCH('_Supporto Listone'!B125,Asta!$N$4:$N$47,0)),IF(COUNTIF(Asta!$P$4:$P$47,'_Supporto Listone'!B125)&gt;0,INDEX(Asta!$Q$4:$Q$47,MATCH('_Supporto Listone'!B125,Asta!$P$4:$P$47,0)),IF(COUNTIF(Asta!$R$4:$R$47,'_Supporto Listone'!B125)&gt;0,INDEX(Asta!$S$4:$S$47,MATCH('_Supporto Listone'!B125,Asta!$R$4:$R$47,0)),IF(COUNTIF(Asta!$T$4:$T$47,'_Supporto Listone'!B125)&gt;0,INDEX(Asta!$U$4:$U$47,MATCH('_Supporto Listone'!B125,Asta!$T$4:$T$47,0)),""))))))))))</x:f>
      </x:c>
    </x:row>
    <x:row r="126">
      <x:c r="A126" s="432" t="str">
        <x:f>IF($J126&lt;&gt;"",REGEXREPLACE(TO_TEXT('_Supporto Listone'!A126),"(.)","$1"&amp;UNICHAR(822)),'_Supporto Listone'!A126)</x:f>
        <x:v>D</x:v>
      </x:c>
      <x:c r="B126" s="433" t="str">
        <x:f>IF($J126&lt;&gt;"",REGEXREPLACE(TO_TEXT('_Supporto Listone'!B126),"(.)","$1"&amp;UNICHAR(822)),'_Supporto Listone'!B126)</x:f>
        <x:v>Zortea</x:v>
      </x:c>
      <x:c r="C126" s="433" t="str">
        <x:f>IF($J126&lt;&gt;"",REGEXREPLACE(TO_TEXT('_Supporto Listone'!C126),"(.)","$1"&amp;UNICHAR(822)),'_Supporto Listone'!C126)</x:f>
        <x:v>Bologna</x:v>
      </x:c>
      <x:c r="D126" s="433" t="str">
        <x:f>IF($J126&lt;&gt;"",REGEXREPLACE(TO_TEXT('_Supporto Listone'!D126),"(.)","$1"&amp;UNICHAR(822)),'_Supporto Listone'!D126)</x:f>
        <x:v>Dd;E</x:v>
      </x:c>
      <x:c r="E126" s="433" t="str">
        <x:f>IF($J126&lt;&gt;"",REGEXREPLACE(TO_TEXT('_Supporto Listone'!E126),"(.)","$1"&amp;UNICHAR(822)),'_Supporto Listone'!E126)</x:f>
        <x:v>Titolare</x:v>
      </x:c>
      <x:c r="F126" s="462" t="n">
        <x:f>IF($J126&lt;&gt;"",REGEXREPLACE(TO_TEXT('_Supporto Listone'!F126),"(.)","$1"&amp;UNICHAR(822)),'_Supporto Listone'!F126)</x:f>
        <x:v>6</x:v>
      </x:c>
      <x:c r="G126" s="462" t="n">
        <x:f>IF($J126&lt;&gt;"",REGEXREPLACE(TO_TEXT('_Supporto Listone'!G126),"(.)","$1"&amp;UNICHAR(822)),'_Supporto Listone'!G126)</x:f>
        <x:v>19</x:v>
      </x:c>
      <x:c r="H126" s="462" t="n">
        <x:f>IF($J126&lt;&gt;"",REGEXREPLACE(TO_TEXT('_Supporto Listone'!H126),"(.)","$1"&amp;UNICHAR(822)),'_Supporto Listone'!H126)</x:f>
        <x:v>10</x:v>
      </x:c>
      <x:c r="I126" s="434"/>
      <x:c r="J126" s="433" t="str">
        <x:f>IF(COUNTIF(Asta!$B$4:$B$47,'_Supporto Listone'!B126)&gt;0,"Simone",IF(COUNTIF(Asta!$D$4:$D$47,'_Supporto Listone'!B126)&gt;0,"Giacomo",IF(COUNTIF(Asta!$F$4:$F$47,'_Supporto Listone'!B126)&gt;0,"Niko",IF(COUNTIF(Asta!$H$4:$H$47,'_Supporto Listone'!B126)&gt;0,"Quici",IF(COUNTIF(Asta!$J$4:$J$47,'_Supporto Listone'!B126)&gt;0,"Fratello Quici",IF(COUNTIF(Asta!$L$4:$L$47,'_Supporto Listone'!B126)&gt;0,"Nicolò",IF(COUNTIF(Asta!$N$4:$N$47,'_Supporto Listone'!B126)&gt;0,"Vi",IF(COUNTIF(Asta!$P$4:$P$47,'_Supporto Listone'!B126)&gt;0,"Lore",IF(COUNTIF(Asta!$R$4:$R$47,'_Supporto Listone'!B126)&gt;0,"Robbo",IF(COUNTIF(Asta!$T$4:$T$47,'_Supporto Listone'!B126)&gt;0,"Ale",""))))))))))</x:f>
      </x:c>
      <x:c r="K126" s="493" t="str">
        <x:f>IF(COUNTIF(Asta!$B$4:$B$47,'_Supporto Listone'!B126)&gt;0,INDEX(Asta!$C$4:$C$47,MATCH('_Supporto Listone'!B126,Asta!$B$4:$B$47,0)),IF(COUNTIF(Asta!$D$4:$D$47,'_Supporto Listone'!B126)&gt;0,INDEX(Asta!$E$4:$E$47,MATCH('_Supporto Listone'!B126,Asta!$D$4:$D$47,0)),IF(COUNTIF(Asta!$F$4:$F$47,'_Supporto Listone'!B126)&gt;0,INDEX(Asta!$G$4:$G$47,MATCH('_Supporto Listone'!B126,Asta!$F$4:$F$47,0)),IF(COUNTIF(Asta!$H$4:$H$47,'_Supporto Listone'!B126)&gt;0,INDEX(Asta!$I$4:$I$47,MATCH('_Supporto Listone'!B126,Asta!$H$4:$H$47,0)),IF(COUNTIF(Asta!$J$4:$J$47,'_Supporto Listone'!B126)&gt;0,INDEX(Asta!$K$4:$K$47,MATCH('_Supporto Listone'!B126,Asta!$J$4:$J$47,0)),IF(COUNTIF(Asta!$L$4:$L$47,'_Supporto Listone'!B126)&gt;0,INDEX(Asta!$M$4:$M$47,MATCH('_Supporto Listone'!B126,Asta!$L$4:$L$47,0)),IF(COUNTIF(Asta!$N$4:$N$47,'_Supporto Listone'!B126)&gt;0,INDEX(Asta!$O$4:$O$47,MATCH('_Supporto Listone'!B126,Asta!$N$4:$N$47,0)),IF(COUNTIF(Asta!$P$4:$P$47,'_Supporto Listone'!B126)&gt;0,INDEX(Asta!$Q$4:$Q$47,MATCH('_Supporto Listone'!B126,Asta!$P$4:$P$47,0)),IF(COUNTIF(Asta!$R$4:$R$47,'_Supporto Listone'!B126)&gt;0,INDEX(Asta!$S$4:$S$47,MATCH('_Supporto Listone'!B126,Asta!$R$4:$R$47,0)),IF(COUNTIF(Asta!$T$4:$T$47,'_Supporto Listone'!B126)&gt;0,INDEX(Asta!$U$4:$U$47,MATCH('_Supporto Listone'!B126,Asta!$T$4:$T$47,0)),""))))))))))</x:f>
      </x:c>
    </x:row>
    <x:row r="127">
      <x:c r="A127" s="432" t="str">
        <x:f>IF($J127&lt;&gt;"",REGEXREPLACE(TO_TEXT('_Supporto Listone'!A127),"(.)","$1"&amp;UNICHAR(822)),'_Supporto Listone'!A127)</x:f>
        <x:v>D</x:v>
      </x:c>
      <x:c r="B127" s="433" t="str">
        <x:f>IF($J127&lt;&gt;"",REGEXREPLACE(TO_TEXT('_Supporto Listone'!B127),"(.)","$1"&amp;UNICHAR(822)),'_Supporto Listone'!B127)</x:f>
        <x:v>Valle</x:v>
      </x:c>
      <x:c r="C127" s="433" t="str">
        <x:f>IF($J127&lt;&gt;"",REGEXREPLACE(TO_TEXT('_Supporto Listone'!C127),"(.)","$1"&amp;UNICHAR(822)),'_Supporto Listone'!C127)</x:f>
        <x:v>Como</x:v>
      </x:c>
      <x:c r="D127" s="433" t="str">
        <x:f>IF($J127&lt;&gt;"",REGEXREPLACE(TO_TEXT('_Supporto Listone'!D127),"(.)","$1"&amp;UNICHAR(822)),'_Supporto Listone'!D127)</x:f>
        <x:v>Ds;E</x:v>
      </x:c>
      <x:c r="E127" s="433" t="str">
        <x:f>IF($J127&lt;&gt;"",REGEXREPLACE(TO_TEXT('_Supporto Listone'!E127),"(.)","$1"&amp;UNICHAR(822)),'_Supporto Listone'!E127)</x:f>
        <x:v>Titolare / ballottaggio</x:v>
      </x:c>
      <x:c r="F127" s="462" t="n">
        <x:f>IF($J127&lt;&gt;"",REGEXREPLACE(TO_TEXT('_Supporto Listone'!F127),"(.)","$1"&amp;UNICHAR(822)),'_Supporto Listone'!F127)</x:f>
        <x:v>6</x:v>
      </x:c>
      <x:c r="G127" s="462" t="n">
        <x:f>IF($J127&lt;&gt;"",REGEXREPLACE(TO_TEXT('_Supporto Listone'!G127),"(.)","$1"&amp;UNICHAR(822)),'_Supporto Listone'!G127)</x:f>
        <x:v>18</x:v>
      </x:c>
      <x:c r="H127" s="462" t="n">
        <x:f>IF($J127&lt;&gt;"",REGEXREPLACE(TO_TEXT('_Supporto Listone'!H127),"(.)","$1"&amp;UNICHAR(822)),'_Supporto Listone'!H127)</x:f>
        <x:v>9</x:v>
      </x:c>
      <x:c r="I127" s="434"/>
      <x:c r="J127" s="433" t="str">
        <x:f>IF(COUNTIF(Asta!$B$4:$B$47,'_Supporto Listone'!B127)&gt;0,"Simone",IF(COUNTIF(Asta!$D$4:$D$47,'_Supporto Listone'!B127)&gt;0,"Giacomo",IF(COUNTIF(Asta!$F$4:$F$47,'_Supporto Listone'!B127)&gt;0,"Niko",IF(COUNTIF(Asta!$H$4:$H$47,'_Supporto Listone'!B127)&gt;0,"Quici",IF(COUNTIF(Asta!$J$4:$J$47,'_Supporto Listone'!B127)&gt;0,"Fratello Quici",IF(COUNTIF(Asta!$L$4:$L$47,'_Supporto Listone'!B127)&gt;0,"Nicolò",IF(COUNTIF(Asta!$N$4:$N$47,'_Supporto Listone'!B127)&gt;0,"Vi",IF(COUNTIF(Asta!$P$4:$P$47,'_Supporto Listone'!B127)&gt;0,"Lore",IF(COUNTIF(Asta!$R$4:$R$47,'_Supporto Listone'!B127)&gt;0,"Robbo",IF(COUNTIF(Asta!$T$4:$T$47,'_Supporto Listone'!B127)&gt;0,"Ale",""))))))))))</x:f>
      </x:c>
      <x:c r="K127" s="493" t="str">
        <x:f>IF(COUNTIF(Asta!$B$4:$B$47,'_Supporto Listone'!B127)&gt;0,INDEX(Asta!$C$4:$C$47,MATCH('_Supporto Listone'!B127,Asta!$B$4:$B$47,0)),IF(COUNTIF(Asta!$D$4:$D$47,'_Supporto Listone'!B127)&gt;0,INDEX(Asta!$E$4:$E$47,MATCH('_Supporto Listone'!B127,Asta!$D$4:$D$47,0)),IF(COUNTIF(Asta!$F$4:$F$47,'_Supporto Listone'!B127)&gt;0,INDEX(Asta!$G$4:$G$47,MATCH('_Supporto Listone'!B127,Asta!$F$4:$F$47,0)),IF(COUNTIF(Asta!$H$4:$H$47,'_Supporto Listone'!B127)&gt;0,INDEX(Asta!$I$4:$I$47,MATCH('_Supporto Listone'!B127,Asta!$H$4:$H$47,0)),IF(COUNTIF(Asta!$J$4:$J$47,'_Supporto Listone'!B127)&gt;0,INDEX(Asta!$K$4:$K$47,MATCH('_Supporto Listone'!B127,Asta!$J$4:$J$47,0)),IF(COUNTIF(Asta!$L$4:$L$47,'_Supporto Listone'!B127)&gt;0,INDEX(Asta!$M$4:$M$47,MATCH('_Supporto Listone'!B127,Asta!$L$4:$L$47,0)),IF(COUNTIF(Asta!$N$4:$N$47,'_Supporto Listone'!B127)&gt;0,INDEX(Asta!$O$4:$O$47,MATCH('_Supporto Listone'!B127,Asta!$N$4:$N$47,0)),IF(COUNTIF(Asta!$P$4:$P$47,'_Supporto Listone'!B127)&gt;0,INDEX(Asta!$Q$4:$Q$47,MATCH('_Supporto Listone'!B127,Asta!$P$4:$P$47,0)),IF(COUNTIF(Asta!$R$4:$R$47,'_Supporto Listone'!B127)&gt;0,INDEX(Asta!$S$4:$S$47,MATCH('_Supporto Listone'!B127,Asta!$R$4:$R$47,0)),IF(COUNTIF(Asta!$T$4:$T$47,'_Supporto Listone'!B127)&gt;0,INDEX(Asta!$U$4:$U$47,MATCH('_Supporto Listone'!B127,Asta!$T$4:$T$47,0)),""))))))))))</x:f>
      </x:c>
    </x:row>
    <x:row r="128">
      <x:c r="A128" s="432" t="str">
        <x:f>IF($J128&lt;&gt;"",REGEXREPLACE(TO_TEXT('_Supporto Listone'!A128),"(.)","$1"&amp;UNICHAR(822)),'_Supporto Listone'!A128)</x:f>
        <x:v>D</x:v>
      </x:c>
      <x:c r="B128" s="433" t="str">
        <x:f>IF($J128&lt;&gt;"",REGEXREPLACE(TO_TEXT('_Supporto Listone'!B128),"(.)","$1"&amp;UNICHAR(822)),'_Supporto Listone'!B128)</x:f>
        <x:v>Valdepenas</x:v>
      </x:c>
      <x:c r="C128" s="433" t="str">
        <x:f>IF($J128&lt;&gt;"",REGEXREPLACE(TO_TEXT('_Supporto Listone'!C128),"(.)","$1"&amp;UNICHAR(822)),'_Supporto Listone'!C128)</x:f>
        <x:v>Fiorentina</x:v>
      </x:c>
      <x:c r="D128" s="433" t="str">
        <x:f>IF($J128&lt;&gt;"",REGEXREPLACE(TO_TEXT('_Supporto Listone'!D128),"(.)","$1"&amp;UNICHAR(822)),'_Supporto Listone'!D128)</x:f>
        <x:v>Ds;Dc</x:v>
      </x:c>
      <x:c r="E128" s="433" t="str">
        <x:f>IF($J128&lt;&gt;"",REGEXREPLACE(TO_TEXT('_Supporto Listone'!E128),"(.)","$1"&amp;UNICHAR(822)),'_Supporto Listone'!E128)</x:f>
        <x:v>Titolare</x:v>
      </x:c>
      <x:c r="F128" s="462" t="n">
        <x:f>IF($J128&lt;&gt;"",REGEXREPLACE(TO_TEXT('_Supporto Listone'!F128),"(.)","$1"&amp;UNICHAR(822)),'_Supporto Listone'!F128)</x:f>
        <x:v>6</x:v>
      </x:c>
      <x:c r="G128" s="462" t="n">
        <x:f>IF($J128&lt;&gt;"",REGEXREPLACE(TO_TEXT('_Supporto Listone'!G128),"(.)","$1"&amp;UNICHAR(822)),'_Supporto Listone'!G128)</x:f>
        <x:v>18</x:v>
      </x:c>
      <x:c r="H128" s="462" t="n">
        <x:f>IF($J128&lt;&gt;"",REGEXREPLACE(TO_TEXT('_Supporto Listone'!H128),"(.)","$1"&amp;UNICHAR(822)),'_Supporto Listone'!H128)</x:f>
        <x:v>9</x:v>
      </x:c>
      <x:c r="I128" s="434"/>
      <x:c r="J128" s="433" t="str">
        <x:f>IF(COUNTIF(Asta!$B$4:$B$47,'_Supporto Listone'!B128)&gt;0,"Simone",IF(COUNTIF(Asta!$D$4:$D$47,'_Supporto Listone'!B128)&gt;0,"Giacomo",IF(COUNTIF(Asta!$F$4:$F$47,'_Supporto Listone'!B128)&gt;0,"Niko",IF(COUNTIF(Asta!$H$4:$H$47,'_Supporto Listone'!B128)&gt;0,"Quici",IF(COUNTIF(Asta!$J$4:$J$47,'_Supporto Listone'!B128)&gt;0,"Fratello Quici",IF(COUNTIF(Asta!$L$4:$L$47,'_Supporto Listone'!B128)&gt;0,"Nicolò",IF(COUNTIF(Asta!$N$4:$N$47,'_Supporto Listone'!B128)&gt;0,"Vi",IF(COUNTIF(Asta!$P$4:$P$47,'_Supporto Listone'!B128)&gt;0,"Lore",IF(COUNTIF(Asta!$R$4:$R$47,'_Supporto Listone'!B128)&gt;0,"Robbo",IF(COUNTIF(Asta!$T$4:$T$47,'_Supporto Listone'!B128)&gt;0,"Ale",""))))))))))</x:f>
      </x:c>
      <x:c r="K128" s="493" t="str">
        <x:f>IF(COUNTIF(Asta!$B$4:$B$47,'_Supporto Listone'!B128)&gt;0,INDEX(Asta!$C$4:$C$47,MATCH('_Supporto Listone'!B128,Asta!$B$4:$B$47,0)),IF(COUNTIF(Asta!$D$4:$D$47,'_Supporto Listone'!B128)&gt;0,INDEX(Asta!$E$4:$E$47,MATCH('_Supporto Listone'!B128,Asta!$D$4:$D$47,0)),IF(COUNTIF(Asta!$F$4:$F$47,'_Supporto Listone'!B128)&gt;0,INDEX(Asta!$G$4:$G$47,MATCH('_Supporto Listone'!B128,Asta!$F$4:$F$47,0)),IF(COUNTIF(Asta!$H$4:$H$47,'_Supporto Listone'!B128)&gt;0,INDEX(Asta!$I$4:$I$47,MATCH('_Supporto Listone'!B128,Asta!$H$4:$H$47,0)),IF(COUNTIF(Asta!$J$4:$J$47,'_Supporto Listone'!B128)&gt;0,INDEX(Asta!$K$4:$K$47,MATCH('_Supporto Listone'!B128,Asta!$J$4:$J$47,0)),IF(COUNTIF(Asta!$L$4:$L$47,'_Supporto Listone'!B128)&gt;0,INDEX(Asta!$M$4:$M$47,MATCH('_Supporto Listone'!B128,Asta!$L$4:$L$47,0)),IF(COUNTIF(Asta!$N$4:$N$47,'_Supporto Listone'!B128)&gt;0,INDEX(Asta!$O$4:$O$47,MATCH('_Supporto Listone'!B128,Asta!$N$4:$N$47,0)),IF(COUNTIF(Asta!$P$4:$P$47,'_Supporto Listone'!B128)&gt;0,INDEX(Asta!$Q$4:$Q$47,MATCH('_Supporto Listone'!B128,Asta!$P$4:$P$47,0)),IF(COUNTIF(Asta!$R$4:$R$47,'_Supporto Listone'!B128)&gt;0,INDEX(Asta!$S$4:$S$47,MATCH('_Supporto Listone'!B128,Asta!$R$4:$R$47,0)),IF(COUNTIF(Asta!$T$4:$T$47,'_Supporto Listone'!B128)&gt;0,INDEX(Asta!$U$4:$U$47,MATCH('_Supporto Listone'!B128,Asta!$T$4:$T$47,0)),""))))))))))</x:f>
      </x:c>
    </x:row>
    <x:row r="129">
      <x:c r="A129" s="432" t="str">
        <x:f>IF($J129&lt;&gt;"",REGEXREPLACE(TO_TEXT('_Supporto Listone'!A129),"(.)","$1"&amp;UNICHAR(822)),'_Supporto Listone'!A129)</x:f>
        <x:v>D</x:v>
      </x:c>
      <x:c r="B129" s="433" t="str">
        <x:f>IF($J129&lt;&gt;"",REGEXREPLACE(TO_TEXT('_Supporto Listone'!B129),"(.)","$1"&amp;UNICHAR(822)),'_Supporto Listone'!B129)</x:f>
        <x:v>Viery</x:v>
      </x:c>
      <x:c r="C129" s="433" t="str">
        <x:f>IF($J129&lt;&gt;"",REGEXREPLACE(TO_TEXT('_Supporto Listone'!C129),"(.)","$1"&amp;UNICHAR(822)),'_Supporto Listone'!C129)</x:f>
        <x:v>Fiorentina</x:v>
      </x:c>
      <x:c r="D129" s="433" t="str">
        <x:f>IF($J129&lt;&gt;"",REGEXREPLACE(TO_TEXT('_Supporto Listone'!D129),"(.)","$1"&amp;UNICHAR(822)),'_Supporto Listone'!D129)</x:f>
        <x:v>Ds;Dc</x:v>
      </x:c>
      <x:c r="E129" s="433" t="str">
        <x:f>IF($J129&lt;&gt;"",REGEXREPLACE(TO_TEXT('_Supporto Listone'!E129),"(.)","$1"&amp;UNICHAR(822)),'_Supporto Listone'!E129)</x:f>
        <x:v>Titolare / ballottaggio</x:v>
      </x:c>
      <x:c r="F129" s="462" t="n">
        <x:f>IF($J129&lt;&gt;"",REGEXREPLACE(TO_TEXT('_Supporto Listone'!F129),"(.)","$1"&amp;UNICHAR(822)),'_Supporto Listone'!F129)</x:f>
        <x:v>6</x:v>
      </x:c>
      <x:c r="G129" s="462" t="n">
        <x:f>IF($J129&lt;&gt;"",REGEXREPLACE(TO_TEXT('_Supporto Listone'!G129),"(.)","$1"&amp;UNICHAR(822)),'_Supporto Listone'!G129)</x:f>
        <x:v>19</x:v>
      </x:c>
      <x:c r="H129" s="462" t="n">
        <x:f>IF($J129&lt;&gt;"",REGEXREPLACE(TO_TEXT('_Supporto Listone'!H129),"(.)","$1"&amp;UNICHAR(822)),'_Supporto Listone'!H129)</x:f>
        <x:v>10</x:v>
      </x:c>
      <x:c r="I129" s="434"/>
      <x:c r="J129" s="433" t="str">
        <x:f>IF(COUNTIF(Asta!$B$4:$B$47,'_Supporto Listone'!B129)&gt;0,"Simone",IF(COUNTIF(Asta!$D$4:$D$47,'_Supporto Listone'!B129)&gt;0,"Giacomo",IF(COUNTIF(Asta!$F$4:$F$47,'_Supporto Listone'!B129)&gt;0,"Niko",IF(COUNTIF(Asta!$H$4:$H$47,'_Supporto Listone'!B129)&gt;0,"Quici",IF(COUNTIF(Asta!$J$4:$J$47,'_Supporto Listone'!B129)&gt;0,"Fratello Quici",IF(COUNTIF(Asta!$L$4:$L$47,'_Supporto Listone'!B129)&gt;0,"Nicolò",IF(COUNTIF(Asta!$N$4:$N$47,'_Supporto Listone'!B129)&gt;0,"Vi",IF(COUNTIF(Asta!$P$4:$P$47,'_Supporto Listone'!B129)&gt;0,"Lore",IF(COUNTIF(Asta!$R$4:$R$47,'_Supporto Listone'!B129)&gt;0,"Robbo",IF(COUNTIF(Asta!$T$4:$T$47,'_Supporto Listone'!B129)&gt;0,"Ale",""))))))))))</x:f>
      </x:c>
      <x:c r="K129" s="493" t="str">
        <x:f>IF(COUNTIF(Asta!$B$4:$B$47,'_Supporto Listone'!B129)&gt;0,INDEX(Asta!$C$4:$C$47,MATCH('_Supporto Listone'!B129,Asta!$B$4:$B$47,0)),IF(COUNTIF(Asta!$D$4:$D$47,'_Supporto Listone'!B129)&gt;0,INDEX(Asta!$E$4:$E$47,MATCH('_Supporto Listone'!B129,Asta!$D$4:$D$47,0)),IF(COUNTIF(Asta!$F$4:$F$47,'_Supporto Listone'!B129)&gt;0,INDEX(Asta!$G$4:$G$47,MATCH('_Supporto Listone'!B129,Asta!$F$4:$F$47,0)),IF(COUNTIF(Asta!$H$4:$H$47,'_Supporto Listone'!B129)&gt;0,INDEX(Asta!$I$4:$I$47,MATCH('_Supporto Listone'!B129,Asta!$H$4:$H$47,0)),IF(COUNTIF(Asta!$J$4:$J$47,'_Supporto Listone'!B129)&gt;0,INDEX(Asta!$K$4:$K$47,MATCH('_Supporto Listone'!B129,Asta!$J$4:$J$47,0)),IF(COUNTIF(Asta!$L$4:$L$47,'_Supporto Listone'!B129)&gt;0,INDEX(Asta!$M$4:$M$47,MATCH('_Supporto Listone'!B129,Asta!$L$4:$L$47,0)),IF(COUNTIF(Asta!$N$4:$N$47,'_Supporto Listone'!B129)&gt;0,INDEX(Asta!$O$4:$O$47,MATCH('_Supporto Listone'!B129,Asta!$N$4:$N$47,0)),IF(COUNTIF(Asta!$P$4:$P$47,'_Supporto Listone'!B129)&gt;0,INDEX(Asta!$Q$4:$Q$47,MATCH('_Supporto Listone'!B129,Asta!$P$4:$P$47,0)),IF(COUNTIF(Asta!$R$4:$R$47,'_Supporto Listone'!B129)&gt;0,INDEX(Asta!$S$4:$S$47,MATCH('_Supporto Listone'!B129,Asta!$R$4:$R$47,0)),IF(COUNTIF(Asta!$T$4:$T$47,'_Supporto Listone'!B129)&gt;0,INDEX(Asta!$U$4:$U$47,MATCH('_Supporto Listone'!B129,Asta!$T$4:$T$47,0)),""))))))))))</x:f>
      </x:c>
    </x:row>
    <x:row r="130">
      <x:c r="A130" s="432" t="str">
        <x:f>IF($J130&lt;&gt;"",REGEXREPLACE(TO_TEXT('_Supporto Listone'!A130),"(.)","$1"&amp;UNICHAR(822)),'_Supporto Listone'!A130)</x:f>
        <x:v>D</x:v>
      </x:c>
      <x:c r="B130" s="433" t="str">
        <x:f>IF($J130&lt;&gt;"",REGEXREPLACE(TO_TEXT('_Supporto Listone'!B130),"(.)","$1"&amp;UNICHAR(822)),'_Supporto Listone'!B130)</x:f>
        <x:v>Monterisi</x:v>
      </x:c>
      <x:c r="C130" s="433" t="str">
        <x:f>IF($J130&lt;&gt;"",REGEXREPLACE(TO_TEXT('_Supporto Listone'!C130),"(.)","$1"&amp;UNICHAR(822)),'_Supporto Listone'!C130)</x:f>
        <x:v>Frosinone</x:v>
      </x:c>
      <x:c r="D130" s="433" t="str">
        <x:f>IF($J130&lt;&gt;"",REGEXREPLACE(TO_TEXT('_Supporto Listone'!D130),"(.)","$1"&amp;UNICHAR(822)),'_Supporto Listone'!D130)</x:f>
        <x:v>Dc</x:v>
      </x:c>
      <x:c r="E130" s="433" t="str">
        <x:f>IF($J130&lt;&gt;"",REGEXREPLACE(TO_TEXT('_Supporto Listone'!E130),"(.)","$1"&amp;UNICHAR(822)),'_Supporto Listone'!E130)</x:f>
        <x:v>Titolare</x:v>
      </x:c>
      <x:c r="F130" s="462" t="n">
        <x:f>IF($J130&lt;&gt;"",REGEXREPLACE(TO_TEXT('_Supporto Listone'!F130),"(.)","$1"&amp;UNICHAR(822)),'_Supporto Listone'!F130)</x:f>
        <x:v>6</x:v>
      </x:c>
      <x:c r="G130" s="462" t="n">
        <x:f>IF($J130&lt;&gt;"",REGEXREPLACE(TO_TEXT('_Supporto Listone'!G130),"(.)","$1"&amp;UNICHAR(822)),'_Supporto Listone'!G130)</x:f>
        <x:v>14</x:v>
      </x:c>
      <x:c r="H130" s="462" t="n">
        <x:f>IF($J130&lt;&gt;"",REGEXREPLACE(TO_TEXT('_Supporto Listone'!H130),"(.)","$1"&amp;UNICHAR(822)),'_Supporto Listone'!H130)</x:f>
        <x:v>7</x:v>
      </x:c>
      <x:c r="I130" s="434"/>
      <x:c r="J130" s="433" t="str">
        <x:f>IF(COUNTIF(Asta!$B$4:$B$47,'_Supporto Listone'!B130)&gt;0,"Simone",IF(COUNTIF(Asta!$D$4:$D$47,'_Supporto Listone'!B130)&gt;0,"Giacomo",IF(COUNTIF(Asta!$F$4:$F$47,'_Supporto Listone'!B130)&gt;0,"Niko",IF(COUNTIF(Asta!$H$4:$H$47,'_Supporto Listone'!B130)&gt;0,"Quici",IF(COUNTIF(Asta!$J$4:$J$47,'_Supporto Listone'!B130)&gt;0,"Fratello Quici",IF(COUNTIF(Asta!$L$4:$L$47,'_Supporto Listone'!B130)&gt;0,"Nicolò",IF(COUNTIF(Asta!$N$4:$N$47,'_Supporto Listone'!B130)&gt;0,"Vi",IF(COUNTIF(Asta!$P$4:$P$47,'_Supporto Listone'!B130)&gt;0,"Lore",IF(COUNTIF(Asta!$R$4:$R$47,'_Supporto Listone'!B130)&gt;0,"Robbo",IF(COUNTIF(Asta!$T$4:$T$47,'_Supporto Listone'!B130)&gt;0,"Ale",""))))))))))</x:f>
      </x:c>
      <x:c r="K130" s="493" t="str">
        <x:f>IF(COUNTIF(Asta!$B$4:$B$47,'_Supporto Listone'!B130)&gt;0,INDEX(Asta!$C$4:$C$47,MATCH('_Supporto Listone'!B130,Asta!$B$4:$B$47,0)),IF(COUNTIF(Asta!$D$4:$D$47,'_Supporto Listone'!B130)&gt;0,INDEX(Asta!$E$4:$E$47,MATCH('_Supporto Listone'!B130,Asta!$D$4:$D$47,0)),IF(COUNTIF(Asta!$F$4:$F$47,'_Supporto Listone'!B130)&gt;0,INDEX(Asta!$G$4:$G$47,MATCH('_Supporto Listone'!B130,Asta!$F$4:$F$47,0)),IF(COUNTIF(Asta!$H$4:$H$47,'_Supporto Listone'!B130)&gt;0,INDEX(Asta!$I$4:$I$47,MATCH('_Supporto Listone'!B130,Asta!$H$4:$H$47,0)),IF(COUNTIF(Asta!$J$4:$J$47,'_Supporto Listone'!B130)&gt;0,INDEX(Asta!$K$4:$K$47,MATCH('_Supporto Listone'!B130,Asta!$J$4:$J$47,0)),IF(COUNTIF(Asta!$L$4:$L$47,'_Supporto Listone'!B130)&gt;0,INDEX(Asta!$M$4:$M$47,MATCH('_Supporto Listone'!B130,Asta!$L$4:$L$47,0)),IF(COUNTIF(Asta!$N$4:$N$47,'_Supporto Listone'!B130)&gt;0,INDEX(Asta!$O$4:$O$47,MATCH('_Supporto Listone'!B130,Asta!$N$4:$N$47,0)),IF(COUNTIF(Asta!$P$4:$P$47,'_Supporto Listone'!B130)&gt;0,INDEX(Asta!$Q$4:$Q$47,MATCH('_Supporto Listone'!B130,Asta!$P$4:$P$47,0)),IF(COUNTIF(Asta!$R$4:$R$47,'_Supporto Listone'!B130)&gt;0,INDEX(Asta!$S$4:$S$47,MATCH('_Supporto Listone'!B130,Asta!$R$4:$R$47,0)),IF(COUNTIF(Asta!$T$4:$T$47,'_Supporto Listone'!B130)&gt;0,INDEX(Asta!$U$4:$U$47,MATCH('_Supporto Listone'!B130,Asta!$T$4:$T$47,0)),""))))))))))</x:f>
      </x:c>
    </x:row>
    <x:row r="131">
      <x:c r="A131" s="432" t="str">
        <x:f>IF($J131&lt;&gt;"",REGEXREPLACE(TO_TEXT('_Supporto Listone'!A131),"(.)","$1"&amp;UNICHAR(822)),'_Supporto Listone'!A131)</x:f>
        <x:v>D</x:v>
      </x:c>
      <x:c r="B131" s="433" t="str">
        <x:f>IF($J131&lt;&gt;"",REGEXREPLACE(TO_TEXT('_Supporto Listone'!B131),"(.)","$1"&amp;UNICHAR(822)),'_Supporto Listone'!B131)</x:f>
        <x:v>Marcandalli</x:v>
      </x:c>
      <x:c r="C131" s="433" t="str">
        <x:f>IF($J131&lt;&gt;"",REGEXREPLACE(TO_TEXT('_Supporto Listone'!C131),"(.)","$1"&amp;UNICHAR(822)),'_Supporto Listone'!C131)</x:f>
        <x:v>Genoa</x:v>
      </x:c>
      <x:c r="D131" s="433" t="str">
        <x:f>IF($J131&lt;&gt;"",REGEXREPLACE(TO_TEXT('_Supporto Listone'!D131),"(.)","$1"&amp;UNICHAR(822)),'_Supporto Listone'!D131)</x:f>
        <x:v>Dc</x:v>
      </x:c>
      <x:c r="E131" s="433" t="str">
        <x:f>IF($J131&lt;&gt;"",REGEXREPLACE(TO_TEXT('_Supporto Listone'!E131),"(.)","$1"&amp;UNICHAR(822)),'_Supporto Listone'!E131)</x:f>
        <x:v>Titolare</x:v>
      </x:c>
      <x:c r="F131" s="462" t="n">
        <x:f>IF($J131&lt;&gt;"",REGEXREPLACE(TO_TEXT('_Supporto Listone'!F131),"(.)","$1"&amp;UNICHAR(822)),'_Supporto Listone'!F131)</x:f>
        <x:v>6</x:v>
      </x:c>
      <x:c r="G131" s="462" t="n">
        <x:f>IF($J131&lt;&gt;"",REGEXREPLACE(TO_TEXT('_Supporto Listone'!G131),"(.)","$1"&amp;UNICHAR(822)),'_Supporto Listone'!G131)</x:f>
        <x:v>13</x:v>
      </x:c>
      <x:c r="H131" s="462" t="n">
        <x:f>IF($J131&lt;&gt;"",REGEXREPLACE(TO_TEXT('_Supporto Listone'!H131),"(.)","$1"&amp;UNICHAR(822)),'_Supporto Listone'!H131)</x:f>
        <x:v>7</x:v>
      </x:c>
      <x:c r="I131" s="434"/>
      <x:c r="J131" s="433" t="str">
        <x:f>IF(COUNTIF(Asta!$B$4:$B$47,'_Supporto Listone'!B131)&gt;0,"Simone",IF(COUNTIF(Asta!$D$4:$D$47,'_Supporto Listone'!B131)&gt;0,"Giacomo",IF(COUNTIF(Asta!$F$4:$F$47,'_Supporto Listone'!B131)&gt;0,"Niko",IF(COUNTIF(Asta!$H$4:$H$47,'_Supporto Listone'!B131)&gt;0,"Quici",IF(COUNTIF(Asta!$J$4:$J$47,'_Supporto Listone'!B131)&gt;0,"Fratello Quici",IF(COUNTIF(Asta!$L$4:$L$47,'_Supporto Listone'!B131)&gt;0,"Nicolò",IF(COUNTIF(Asta!$N$4:$N$47,'_Supporto Listone'!B131)&gt;0,"Vi",IF(COUNTIF(Asta!$P$4:$P$47,'_Supporto Listone'!B131)&gt;0,"Lore",IF(COUNTIF(Asta!$R$4:$R$47,'_Supporto Listone'!B131)&gt;0,"Robbo",IF(COUNTIF(Asta!$T$4:$T$47,'_Supporto Listone'!B131)&gt;0,"Ale",""))))))))))</x:f>
      </x:c>
      <x:c r="K131" s="493" t="str">
        <x:f>IF(COUNTIF(Asta!$B$4:$B$47,'_Supporto Listone'!B131)&gt;0,INDEX(Asta!$C$4:$C$47,MATCH('_Supporto Listone'!B131,Asta!$B$4:$B$47,0)),IF(COUNTIF(Asta!$D$4:$D$47,'_Supporto Listone'!B131)&gt;0,INDEX(Asta!$E$4:$E$47,MATCH('_Supporto Listone'!B131,Asta!$D$4:$D$47,0)),IF(COUNTIF(Asta!$F$4:$F$47,'_Supporto Listone'!B131)&gt;0,INDEX(Asta!$G$4:$G$47,MATCH('_Supporto Listone'!B131,Asta!$F$4:$F$47,0)),IF(COUNTIF(Asta!$H$4:$H$47,'_Supporto Listone'!B131)&gt;0,INDEX(Asta!$I$4:$I$47,MATCH('_Supporto Listone'!B131,Asta!$H$4:$H$47,0)),IF(COUNTIF(Asta!$J$4:$J$47,'_Supporto Listone'!B131)&gt;0,INDEX(Asta!$K$4:$K$47,MATCH('_Supporto Listone'!B131,Asta!$J$4:$J$47,0)),IF(COUNTIF(Asta!$L$4:$L$47,'_Supporto Listone'!B131)&gt;0,INDEX(Asta!$M$4:$M$47,MATCH('_Supporto Listone'!B131,Asta!$L$4:$L$47,0)),IF(COUNTIF(Asta!$N$4:$N$47,'_Supporto Listone'!B131)&gt;0,INDEX(Asta!$O$4:$O$47,MATCH('_Supporto Listone'!B131,Asta!$N$4:$N$47,0)),IF(COUNTIF(Asta!$P$4:$P$47,'_Supporto Listone'!B131)&gt;0,INDEX(Asta!$Q$4:$Q$47,MATCH('_Supporto Listone'!B131,Asta!$P$4:$P$47,0)),IF(COUNTIF(Asta!$R$4:$R$47,'_Supporto Listone'!B131)&gt;0,INDEX(Asta!$S$4:$S$47,MATCH('_Supporto Listone'!B131,Asta!$R$4:$R$47,0)),IF(COUNTIF(Asta!$T$4:$T$47,'_Supporto Listone'!B131)&gt;0,INDEX(Asta!$U$4:$U$47,MATCH('_Supporto Listone'!B131,Asta!$T$4:$T$47,0)),""))))))))))</x:f>
      </x:c>
    </x:row>
    <x:row r="132">
      <x:c r="A132" s="432" t="str">
        <x:f>IF($J132&lt;&gt;"",REGEXREPLACE(TO_TEXT('_Supporto Listone'!A132),"(.)","$1"&amp;UNICHAR(822)),'_Supporto Listone'!A132)</x:f>
        <x:v>D</x:v>
      </x:c>
      <x:c r="B132" s="433" t="str">
        <x:f>IF($J132&lt;&gt;"",REGEXREPLACE(TO_TEXT('_Supporto Listone'!B132),"(.)","$1"&amp;UNICHAR(822)),'_Supporto Listone'!B132)</x:f>
        <x:v>Pavard</x:v>
      </x:c>
      <x:c r="C132" s="433" t="str">
        <x:f>IF($J132&lt;&gt;"",REGEXREPLACE(TO_TEXT('_Supporto Listone'!C132),"(.)","$1"&amp;UNICHAR(822)),'_Supporto Listone'!C132)</x:f>
        <x:v>Inter</x:v>
      </x:c>
      <x:c r="D132" s="433" t="str">
        <x:f>IF($J132&lt;&gt;"",REGEXREPLACE(TO_TEXT('_Supporto Listone'!D132),"(.)","$1"&amp;UNICHAR(822)),'_Supporto Listone'!D132)</x:f>
        <x:v>Dd;Dc</x:v>
      </x:c>
      <x:c r="E132" s="433" t="str">
        <x:f>IF($J132&lt;&gt;"",REGEXREPLACE(TO_TEXT('_Supporto Listone'!E132),"(.)","$1"&amp;UNICHAR(822)),'_Supporto Listone'!E132)</x:f>
        <x:v>Riserva / rotazione</x:v>
      </x:c>
      <x:c r="F132" s="462" t="n">
        <x:f>IF($J132&lt;&gt;"",REGEXREPLACE(TO_TEXT('_Supporto Listone'!F132),"(.)","$1"&amp;UNICHAR(822)),'_Supporto Listone'!F132)</x:f>
        <x:v>6</x:v>
      </x:c>
      <x:c r="G132" s="462" t="n">
        <x:f>IF($J132&lt;&gt;"",REGEXREPLACE(TO_TEXT('_Supporto Listone'!G132),"(.)","$1"&amp;UNICHAR(822)),'_Supporto Listone'!G132)</x:f>
        <x:v>18</x:v>
      </x:c>
      <x:c r="H132" s="462" t="n">
        <x:f>IF($J132&lt;&gt;"",REGEXREPLACE(TO_TEXT('_Supporto Listone'!H132),"(.)","$1"&amp;UNICHAR(822)),'_Supporto Listone'!H132)</x:f>
        <x:v>9</x:v>
      </x:c>
      <x:c r="I132" s="434"/>
      <x:c r="J132" s="433" t="str">
        <x:f>IF(COUNTIF(Asta!$B$4:$B$47,'_Supporto Listone'!B132)&gt;0,"Simone",IF(COUNTIF(Asta!$D$4:$D$47,'_Supporto Listone'!B132)&gt;0,"Giacomo",IF(COUNTIF(Asta!$F$4:$F$47,'_Supporto Listone'!B132)&gt;0,"Niko",IF(COUNTIF(Asta!$H$4:$H$47,'_Supporto Listone'!B132)&gt;0,"Quici",IF(COUNTIF(Asta!$J$4:$J$47,'_Supporto Listone'!B132)&gt;0,"Fratello Quici",IF(COUNTIF(Asta!$L$4:$L$47,'_Supporto Listone'!B132)&gt;0,"Nicolò",IF(COUNTIF(Asta!$N$4:$N$47,'_Supporto Listone'!B132)&gt;0,"Vi",IF(COUNTIF(Asta!$P$4:$P$47,'_Supporto Listone'!B132)&gt;0,"Lore",IF(COUNTIF(Asta!$R$4:$R$47,'_Supporto Listone'!B132)&gt;0,"Robbo",IF(COUNTIF(Asta!$T$4:$T$47,'_Supporto Listone'!B132)&gt;0,"Ale",""))))))))))</x:f>
      </x:c>
      <x:c r="K132" s="493" t="str">
        <x:f>IF(COUNTIF(Asta!$B$4:$B$47,'_Supporto Listone'!B132)&gt;0,INDEX(Asta!$C$4:$C$47,MATCH('_Supporto Listone'!B132,Asta!$B$4:$B$47,0)),IF(COUNTIF(Asta!$D$4:$D$47,'_Supporto Listone'!B132)&gt;0,INDEX(Asta!$E$4:$E$47,MATCH('_Supporto Listone'!B132,Asta!$D$4:$D$47,0)),IF(COUNTIF(Asta!$F$4:$F$47,'_Supporto Listone'!B132)&gt;0,INDEX(Asta!$G$4:$G$47,MATCH('_Supporto Listone'!B132,Asta!$F$4:$F$47,0)),IF(COUNTIF(Asta!$H$4:$H$47,'_Supporto Listone'!B132)&gt;0,INDEX(Asta!$I$4:$I$47,MATCH('_Supporto Listone'!B132,Asta!$H$4:$H$47,0)),IF(COUNTIF(Asta!$J$4:$J$47,'_Supporto Listone'!B132)&gt;0,INDEX(Asta!$K$4:$K$47,MATCH('_Supporto Listone'!B132,Asta!$J$4:$J$47,0)),IF(COUNTIF(Asta!$L$4:$L$47,'_Supporto Listone'!B132)&gt;0,INDEX(Asta!$M$4:$M$47,MATCH('_Supporto Listone'!B132,Asta!$L$4:$L$47,0)),IF(COUNTIF(Asta!$N$4:$N$47,'_Supporto Listone'!B132)&gt;0,INDEX(Asta!$O$4:$O$47,MATCH('_Supporto Listone'!B132,Asta!$N$4:$N$47,0)),IF(COUNTIF(Asta!$P$4:$P$47,'_Supporto Listone'!B132)&gt;0,INDEX(Asta!$Q$4:$Q$47,MATCH('_Supporto Listone'!B132,Asta!$P$4:$P$47,0)),IF(COUNTIF(Asta!$R$4:$R$47,'_Supporto Listone'!B132)&gt;0,INDEX(Asta!$S$4:$S$47,MATCH('_Supporto Listone'!B132,Asta!$R$4:$R$47,0)),IF(COUNTIF(Asta!$T$4:$T$47,'_Supporto Listone'!B132)&gt;0,INDEX(Asta!$U$4:$U$47,MATCH('_Supporto Listone'!B132,Asta!$T$4:$T$47,0)),""))))))))))</x:f>
      </x:c>
    </x:row>
    <x:row r="133">
      <x:c r="A133" s="432" t="str">
        <x:f>IF($J133&lt;&gt;"",REGEXREPLACE(TO_TEXT('_Supporto Listone'!A133),"(.)","$1"&amp;UNICHAR(822)),'_Supporto Listone'!A133)</x:f>
        <x:v>D</x:v>
      </x:c>
      <x:c r="B133" s="433" t="str">
        <x:f>IF($J133&lt;&gt;"",REGEXREPLACE(TO_TEXT('_Supporto Listone'!B133),"(.)","$1"&amp;UNICHAR(822)),'_Supporto Listone'!B133)</x:f>
        <x:v>Marusic</x:v>
      </x:c>
      <x:c r="C133" s="433" t="str">
        <x:f>IF($J133&lt;&gt;"",REGEXREPLACE(TO_TEXT('_Supporto Listone'!C133),"(.)","$1"&amp;UNICHAR(822)),'_Supporto Listone'!C133)</x:f>
        <x:v>Lazio</x:v>
      </x:c>
      <x:c r="D133" s="433" t="str">
        <x:f>IF($J133&lt;&gt;"",REGEXREPLACE(TO_TEXT('_Supporto Listone'!D133),"(.)","$1"&amp;UNICHAR(822)),'_Supporto Listone'!D133)</x:f>
        <x:v>Dd;Ds;E</x:v>
      </x:c>
      <x:c r="E133" s="433" t="str">
        <x:f>IF($J133&lt;&gt;"",REGEXREPLACE(TO_TEXT('_Supporto Listone'!E133),"(.)","$1"&amp;UNICHAR(822)),'_Supporto Listone'!E133)</x:f>
        <x:v>Titolare / ballottaggio</x:v>
      </x:c>
      <x:c r="F133" s="462" t="n">
        <x:f>IF($J133&lt;&gt;"",REGEXREPLACE(TO_TEXT('_Supporto Listone'!F133),"(.)","$1"&amp;UNICHAR(822)),'_Supporto Listone'!F133)</x:f>
        <x:v>6</x:v>
      </x:c>
      <x:c r="G133" s="462" t="n">
        <x:f>IF($J133&lt;&gt;"",REGEXREPLACE(TO_TEXT('_Supporto Listone'!G133),"(.)","$1"&amp;UNICHAR(822)),'_Supporto Listone'!G133)</x:f>
        <x:v>20</x:v>
      </x:c>
      <x:c r="H133" s="462" t="n">
        <x:f>IF($J133&lt;&gt;"",REGEXREPLACE(TO_TEXT('_Supporto Listone'!H133),"(.)","$1"&amp;UNICHAR(822)),'_Supporto Listone'!H133)</x:f>
        <x:v>10</x:v>
      </x:c>
      <x:c r="I133" s="434"/>
      <x:c r="J133" s="433" t="str">
        <x:f>IF(COUNTIF(Asta!$B$4:$B$47,'_Supporto Listone'!B133)&gt;0,"Simone",IF(COUNTIF(Asta!$D$4:$D$47,'_Supporto Listone'!B133)&gt;0,"Giacomo",IF(COUNTIF(Asta!$F$4:$F$47,'_Supporto Listone'!B133)&gt;0,"Niko",IF(COUNTIF(Asta!$H$4:$H$47,'_Supporto Listone'!B133)&gt;0,"Quici",IF(COUNTIF(Asta!$J$4:$J$47,'_Supporto Listone'!B133)&gt;0,"Fratello Quici",IF(COUNTIF(Asta!$L$4:$L$47,'_Supporto Listone'!B133)&gt;0,"Nicolò",IF(COUNTIF(Asta!$N$4:$N$47,'_Supporto Listone'!B133)&gt;0,"Vi",IF(COUNTIF(Asta!$P$4:$P$47,'_Supporto Listone'!B133)&gt;0,"Lore",IF(COUNTIF(Asta!$R$4:$R$47,'_Supporto Listone'!B133)&gt;0,"Robbo",IF(COUNTIF(Asta!$T$4:$T$47,'_Supporto Listone'!B133)&gt;0,"Ale",""))))))))))</x:f>
      </x:c>
      <x:c r="K133" s="493" t="str">
        <x:f>IF(COUNTIF(Asta!$B$4:$B$47,'_Supporto Listone'!B133)&gt;0,INDEX(Asta!$C$4:$C$47,MATCH('_Supporto Listone'!B133,Asta!$B$4:$B$47,0)),IF(COUNTIF(Asta!$D$4:$D$47,'_Supporto Listone'!B133)&gt;0,INDEX(Asta!$E$4:$E$47,MATCH('_Supporto Listone'!B133,Asta!$D$4:$D$47,0)),IF(COUNTIF(Asta!$F$4:$F$47,'_Supporto Listone'!B133)&gt;0,INDEX(Asta!$G$4:$G$47,MATCH('_Supporto Listone'!B133,Asta!$F$4:$F$47,0)),IF(COUNTIF(Asta!$H$4:$H$47,'_Supporto Listone'!B133)&gt;0,INDEX(Asta!$I$4:$I$47,MATCH('_Supporto Listone'!B133,Asta!$H$4:$H$47,0)),IF(COUNTIF(Asta!$J$4:$J$47,'_Supporto Listone'!B133)&gt;0,INDEX(Asta!$K$4:$K$47,MATCH('_Supporto Listone'!B133,Asta!$J$4:$J$47,0)),IF(COUNTIF(Asta!$L$4:$L$47,'_Supporto Listone'!B133)&gt;0,INDEX(Asta!$M$4:$M$47,MATCH('_Supporto Listone'!B133,Asta!$L$4:$L$47,0)),IF(COUNTIF(Asta!$N$4:$N$47,'_Supporto Listone'!B133)&gt;0,INDEX(Asta!$O$4:$O$47,MATCH('_Supporto Listone'!B133,Asta!$N$4:$N$47,0)),IF(COUNTIF(Asta!$P$4:$P$47,'_Supporto Listone'!B133)&gt;0,INDEX(Asta!$Q$4:$Q$47,MATCH('_Supporto Listone'!B133,Asta!$P$4:$P$47,0)),IF(COUNTIF(Asta!$R$4:$R$47,'_Supporto Listone'!B133)&gt;0,INDEX(Asta!$S$4:$S$47,MATCH('_Supporto Listone'!B133,Asta!$R$4:$R$47,0)),IF(COUNTIF(Asta!$T$4:$T$47,'_Supporto Listone'!B133)&gt;0,INDEX(Asta!$U$4:$U$47,MATCH('_Supporto Listone'!B133,Asta!$T$4:$T$47,0)),""))))))))))</x:f>
      </x:c>
    </x:row>
    <x:row r="134">
      <x:c r="A134" s="432" t="str">
        <x:f>IF($J134&lt;&gt;"",REGEXREPLACE(TO_TEXT('_Supporto Listone'!A134),"(.)","$1"&amp;UNICHAR(822)),'_Supporto Listone'!A134)</x:f>
        <x:v>D</x:v>
      </x:c>
      <x:c r="B134" s="433" t="str">
        <x:f>IF($J134&lt;&gt;"",REGEXREPLACE(TO_TEXT('_Supporto Listone'!B134),"(.)","$1"&amp;UNICHAR(822)),'_Supporto Listone'!B134)</x:f>
        <x:v>Tavares N.</x:v>
      </x:c>
      <x:c r="C134" s="433" t="str">
        <x:f>IF($J134&lt;&gt;"",REGEXREPLACE(TO_TEXT('_Supporto Listone'!C134),"(.)","$1"&amp;UNICHAR(822)),'_Supporto Listone'!C134)</x:f>
        <x:v>Lazio</x:v>
      </x:c>
      <x:c r="D134" s="433" t="str">
        <x:f>IF($J134&lt;&gt;"",REGEXREPLACE(TO_TEXT('_Supporto Listone'!D134),"(.)","$1"&amp;UNICHAR(822)),'_Supporto Listone'!D134)</x:f>
        <x:v>Ds;E</x:v>
      </x:c>
      <x:c r="E134" s="433" t="str">
        <x:f>IF($J134&lt;&gt;"",REGEXREPLACE(TO_TEXT('_Supporto Listone'!E134),"(.)","$1"&amp;UNICHAR(822)),'_Supporto Listone'!E134)</x:f>
        <x:v>Titolare / ballottaggio</x:v>
      </x:c>
      <x:c r="F134" s="462" t="n">
        <x:f>IF($J134&lt;&gt;"",REGEXREPLACE(TO_TEXT('_Supporto Listone'!F134),"(.)","$1"&amp;UNICHAR(822)),'_Supporto Listone'!F134)</x:f>
        <x:v>6</x:v>
      </x:c>
      <x:c r="G134" s="462" t="n">
        <x:f>IF($J134&lt;&gt;"",REGEXREPLACE(TO_TEXT('_Supporto Listone'!G134),"(.)","$1"&amp;UNICHAR(822)),'_Supporto Listone'!G134)</x:f>
        <x:v>17</x:v>
      </x:c>
      <x:c r="H134" s="462" t="n">
        <x:f>IF($J134&lt;&gt;"",REGEXREPLACE(TO_TEXT('_Supporto Listone'!H134),"(.)","$1"&amp;UNICHAR(822)),'_Supporto Listone'!H134)</x:f>
        <x:v>9</x:v>
      </x:c>
      <x:c r="I134" s="434"/>
      <x:c r="J134" s="433" t="str">
        <x:f>IF(COUNTIF(Asta!$B$4:$B$47,'_Supporto Listone'!B134)&gt;0,"Simone",IF(COUNTIF(Asta!$D$4:$D$47,'_Supporto Listone'!B134)&gt;0,"Giacomo",IF(COUNTIF(Asta!$F$4:$F$47,'_Supporto Listone'!B134)&gt;0,"Niko",IF(COUNTIF(Asta!$H$4:$H$47,'_Supporto Listone'!B134)&gt;0,"Quici",IF(COUNTIF(Asta!$J$4:$J$47,'_Supporto Listone'!B134)&gt;0,"Fratello Quici",IF(COUNTIF(Asta!$L$4:$L$47,'_Supporto Listone'!B134)&gt;0,"Nicolò",IF(COUNTIF(Asta!$N$4:$N$47,'_Supporto Listone'!B134)&gt;0,"Vi",IF(COUNTIF(Asta!$P$4:$P$47,'_Supporto Listone'!B134)&gt;0,"Lore",IF(COUNTIF(Asta!$R$4:$R$47,'_Supporto Listone'!B134)&gt;0,"Robbo",IF(COUNTIF(Asta!$T$4:$T$47,'_Supporto Listone'!B134)&gt;0,"Ale",""))))))))))</x:f>
      </x:c>
      <x:c r="K134" s="493" t="str">
        <x:f>IF(COUNTIF(Asta!$B$4:$B$47,'_Supporto Listone'!B134)&gt;0,INDEX(Asta!$C$4:$C$47,MATCH('_Supporto Listone'!B134,Asta!$B$4:$B$47,0)),IF(COUNTIF(Asta!$D$4:$D$47,'_Supporto Listone'!B134)&gt;0,INDEX(Asta!$E$4:$E$47,MATCH('_Supporto Listone'!B134,Asta!$D$4:$D$47,0)),IF(COUNTIF(Asta!$F$4:$F$47,'_Supporto Listone'!B134)&gt;0,INDEX(Asta!$G$4:$G$47,MATCH('_Supporto Listone'!B134,Asta!$F$4:$F$47,0)),IF(COUNTIF(Asta!$H$4:$H$47,'_Supporto Listone'!B134)&gt;0,INDEX(Asta!$I$4:$I$47,MATCH('_Supporto Listone'!B134,Asta!$H$4:$H$47,0)),IF(COUNTIF(Asta!$J$4:$J$47,'_Supporto Listone'!B134)&gt;0,INDEX(Asta!$K$4:$K$47,MATCH('_Supporto Listone'!B134,Asta!$J$4:$J$47,0)),IF(COUNTIF(Asta!$L$4:$L$47,'_Supporto Listone'!B134)&gt;0,INDEX(Asta!$M$4:$M$47,MATCH('_Supporto Listone'!B134,Asta!$L$4:$L$47,0)),IF(COUNTIF(Asta!$N$4:$N$47,'_Supporto Listone'!B134)&gt;0,INDEX(Asta!$O$4:$O$47,MATCH('_Supporto Listone'!B134,Asta!$N$4:$N$47,0)),IF(COUNTIF(Asta!$P$4:$P$47,'_Supporto Listone'!B134)&gt;0,INDEX(Asta!$Q$4:$Q$47,MATCH('_Supporto Listone'!B134,Asta!$P$4:$P$47,0)),IF(COUNTIF(Asta!$R$4:$R$47,'_Supporto Listone'!B134)&gt;0,INDEX(Asta!$S$4:$S$47,MATCH('_Supporto Listone'!B134,Asta!$R$4:$R$47,0)),IF(COUNTIF(Asta!$T$4:$T$47,'_Supporto Listone'!B134)&gt;0,INDEX(Asta!$U$4:$U$47,MATCH('_Supporto Listone'!B134,Asta!$T$4:$T$47,0)),""))))))))))</x:f>
      </x:c>
    </x:row>
    <x:row r="135">
      <x:c r="A135" s="432" t="str">
        <x:f>IF($J135&lt;&gt;"",REGEXREPLACE(TO_TEXT('_Supporto Listone'!A135),"(.)","$1"&amp;UNICHAR(822)),'_Supporto Listone'!A135)</x:f>
        <x:v>D</x:v>
      </x:c>
      <x:c r="B135" s="433" t="str">
        <x:f>IF($J135&lt;&gt;"",REGEXREPLACE(TO_TEXT('_Supporto Listone'!B135),"(.)","$1"&amp;UNICHAR(822)),'_Supporto Listone'!B135)</x:f>
        <x:v>Gallo</x:v>
      </x:c>
      <x:c r="C135" s="433" t="str">
        <x:f>IF($J135&lt;&gt;"",REGEXREPLACE(TO_TEXT('_Supporto Listone'!C135),"(.)","$1"&amp;UNICHAR(822)),'_Supporto Listone'!C135)</x:f>
        <x:v>Lecce</x:v>
      </x:c>
      <x:c r="D135" s="433" t="str">
        <x:f>IF($J135&lt;&gt;"",REGEXREPLACE(TO_TEXT('_Supporto Listone'!D135),"(.)","$1"&amp;UNICHAR(822)),'_Supporto Listone'!D135)</x:f>
        <x:v>Ds;E</x:v>
      </x:c>
      <x:c r="E135" s="433" t="str">
        <x:f>IF($J135&lt;&gt;"",REGEXREPLACE(TO_TEXT('_Supporto Listone'!E135),"(.)","$1"&amp;UNICHAR(822)),'_Supporto Listone'!E135)</x:f>
        <x:v>Titolare</x:v>
      </x:c>
      <x:c r="F135" s="462" t="n">
        <x:f>IF($J135&lt;&gt;"",REGEXREPLACE(TO_TEXT('_Supporto Listone'!F135),"(.)","$1"&amp;UNICHAR(822)),'_Supporto Listone'!F135)</x:f>
        <x:v>6</x:v>
      </x:c>
      <x:c r="G135" s="462" t="n">
        <x:f>IF($J135&lt;&gt;"",REGEXREPLACE(TO_TEXT('_Supporto Listone'!G135),"(.)","$1"&amp;UNICHAR(822)),'_Supporto Listone'!G135)</x:f>
        <x:v>13</x:v>
      </x:c>
      <x:c r="H135" s="462" t="n">
        <x:f>IF($J135&lt;&gt;"",REGEXREPLACE(TO_TEXT('_Supporto Listone'!H135),"(.)","$1"&amp;UNICHAR(822)),'_Supporto Listone'!H135)</x:f>
        <x:v>7</x:v>
      </x:c>
      <x:c r="I135" s="434" t="str">
        <x:f>IF($J135&lt;&gt;"",REGEXREPLACE(TO_TEXT('_Supporto Listone'!I135),"(.)","$1"&amp;UNICHAR(822)),'_Supporto Listone'!I135)</x:f>
        <x:v>Piazzati</x:v>
      </x:c>
      <x:c r="J135" s="433" t="str">
        <x:f>IF(COUNTIF(Asta!$B$4:$B$47,'_Supporto Listone'!B135)&gt;0,"Simone",IF(COUNTIF(Asta!$D$4:$D$47,'_Supporto Listone'!B135)&gt;0,"Giacomo",IF(COUNTIF(Asta!$F$4:$F$47,'_Supporto Listone'!B135)&gt;0,"Niko",IF(COUNTIF(Asta!$H$4:$H$47,'_Supporto Listone'!B135)&gt;0,"Quici",IF(COUNTIF(Asta!$J$4:$J$47,'_Supporto Listone'!B135)&gt;0,"Fratello Quici",IF(COUNTIF(Asta!$L$4:$L$47,'_Supporto Listone'!B135)&gt;0,"Nicolò",IF(COUNTIF(Asta!$N$4:$N$47,'_Supporto Listone'!B135)&gt;0,"Vi",IF(COUNTIF(Asta!$P$4:$P$47,'_Supporto Listone'!B135)&gt;0,"Lore",IF(COUNTIF(Asta!$R$4:$R$47,'_Supporto Listone'!B135)&gt;0,"Robbo",IF(COUNTIF(Asta!$T$4:$T$47,'_Supporto Listone'!B135)&gt;0,"Ale",""))))))))))</x:f>
      </x:c>
      <x:c r="K135" s="493" t="str">
        <x:f>IF(COUNTIF(Asta!$B$4:$B$47,'_Supporto Listone'!B135)&gt;0,INDEX(Asta!$C$4:$C$47,MATCH('_Supporto Listone'!B135,Asta!$B$4:$B$47,0)),IF(COUNTIF(Asta!$D$4:$D$47,'_Supporto Listone'!B135)&gt;0,INDEX(Asta!$E$4:$E$47,MATCH('_Supporto Listone'!B135,Asta!$D$4:$D$47,0)),IF(COUNTIF(Asta!$F$4:$F$47,'_Supporto Listone'!B135)&gt;0,INDEX(Asta!$G$4:$G$47,MATCH('_Supporto Listone'!B135,Asta!$F$4:$F$47,0)),IF(COUNTIF(Asta!$H$4:$H$47,'_Supporto Listone'!B135)&gt;0,INDEX(Asta!$I$4:$I$47,MATCH('_Supporto Listone'!B135,Asta!$H$4:$H$47,0)),IF(COUNTIF(Asta!$J$4:$J$47,'_Supporto Listone'!B135)&gt;0,INDEX(Asta!$K$4:$K$47,MATCH('_Supporto Listone'!B135,Asta!$J$4:$J$47,0)),IF(COUNTIF(Asta!$L$4:$L$47,'_Supporto Listone'!B135)&gt;0,INDEX(Asta!$M$4:$M$47,MATCH('_Supporto Listone'!B135,Asta!$L$4:$L$47,0)),IF(COUNTIF(Asta!$N$4:$N$47,'_Supporto Listone'!B135)&gt;0,INDEX(Asta!$O$4:$O$47,MATCH('_Supporto Listone'!B135,Asta!$N$4:$N$47,0)),IF(COUNTIF(Asta!$P$4:$P$47,'_Supporto Listone'!B135)&gt;0,INDEX(Asta!$Q$4:$Q$47,MATCH('_Supporto Listone'!B135,Asta!$P$4:$P$47,0)),IF(COUNTIF(Asta!$R$4:$R$47,'_Supporto Listone'!B135)&gt;0,INDEX(Asta!$S$4:$S$47,MATCH('_Supporto Listone'!B135,Asta!$R$4:$R$47,0)),IF(COUNTIF(Asta!$T$4:$T$47,'_Supporto Listone'!B135)&gt;0,INDEX(Asta!$U$4:$U$47,MATCH('_Supporto Listone'!B135,Asta!$T$4:$T$47,0)),""))))))))))</x:f>
      </x:c>
    </x:row>
    <x:row r="136">
      <x:c r="A136" s="432" t="str">
        <x:f>IF($J136&lt;&gt;"",REGEXREPLACE(TO_TEXT('_Supporto Listone'!A136),"(.)","$1"&amp;UNICHAR(822)),'_Supporto Listone'!A136)</x:f>
        <x:v>D</x:v>
      </x:c>
      <x:c r="B136" s="433" t="str">
        <x:f>IF($J136&lt;&gt;"",REGEXREPLACE(TO_TEXT('_Supporto Listone'!B136),"(.)","$1"&amp;UNICHAR(822)),'_Supporto Listone'!B136)</x:f>
        <x:v>Mangas</x:v>
      </x:c>
      <x:c r="C136" s="433" t="str">
        <x:f>IF($J136&lt;&gt;"",REGEXREPLACE(TO_TEXT('_Supporto Listone'!C136),"(.)","$1"&amp;UNICHAR(822)),'_Supporto Listone'!C136)</x:f>
        <x:v>Monza</x:v>
      </x:c>
      <x:c r="D136" s="433" t="str">
        <x:f>IF($J136&lt;&gt;"",REGEXREPLACE(TO_TEXT('_Supporto Listone'!D136),"(.)","$1"&amp;UNICHAR(822)),'_Supporto Listone'!D136)</x:f>
        <x:v>Ds;E</x:v>
      </x:c>
      <x:c r="E136" s="433" t="str">
        <x:f>IF($J136&lt;&gt;"",REGEXREPLACE(TO_TEXT('_Supporto Listone'!E136),"(.)","$1"&amp;UNICHAR(822)),'_Supporto Listone'!E136)</x:f>
        <x:v>Titolare</x:v>
      </x:c>
      <x:c r="F136" s="462" t="n">
        <x:f>IF($J136&lt;&gt;"",REGEXREPLACE(TO_TEXT('_Supporto Listone'!F136),"(.)","$1"&amp;UNICHAR(822)),'_Supporto Listone'!F136)</x:f>
        <x:v>6</x:v>
      </x:c>
      <x:c r="G136" s="462" t="n">
        <x:f>IF($J136&lt;&gt;"",REGEXREPLACE(TO_TEXT('_Supporto Listone'!G136),"(.)","$1"&amp;UNICHAR(822)),'_Supporto Listone'!G136)</x:f>
        <x:v>15</x:v>
      </x:c>
      <x:c r="H136" s="462" t="n">
        <x:f>IF($J136&lt;&gt;"",REGEXREPLACE(TO_TEXT('_Supporto Listone'!H136),"(.)","$1"&amp;UNICHAR(822)),'_Supporto Listone'!H136)</x:f>
        <x:v>8</x:v>
      </x:c>
      <x:c r="I136" s="434"/>
      <x:c r="J136" s="433" t="str">
        <x:f>IF(COUNTIF(Asta!$B$4:$B$47,'_Supporto Listone'!B136)&gt;0,"Simone",IF(COUNTIF(Asta!$D$4:$D$47,'_Supporto Listone'!B136)&gt;0,"Giacomo",IF(COUNTIF(Asta!$F$4:$F$47,'_Supporto Listone'!B136)&gt;0,"Niko",IF(COUNTIF(Asta!$H$4:$H$47,'_Supporto Listone'!B136)&gt;0,"Quici",IF(COUNTIF(Asta!$J$4:$J$47,'_Supporto Listone'!B136)&gt;0,"Fratello Quici",IF(COUNTIF(Asta!$L$4:$L$47,'_Supporto Listone'!B136)&gt;0,"Nicolò",IF(COUNTIF(Asta!$N$4:$N$47,'_Supporto Listone'!B136)&gt;0,"Vi",IF(COUNTIF(Asta!$P$4:$P$47,'_Supporto Listone'!B136)&gt;0,"Lore",IF(COUNTIF(Asta!$R$4:$R$47,'_Supporto Listone'!B136)&gt;0,"Robbo",IF(COUNTIF(Asta!$T$4:$T$47,'_Supporto Listone'!B136)&gt;0,"Ale",""))))))))))</x:f>
      </x:c>
      <x:c r="K136" s="493" t="str">
        <x:f>IF(COUNTIF(Asta!$B$4:$B$47,'_Supporto Listone'!B136)&gt;0,INDEX(Asta!$C$4:$C$47,MATCH('_Supporto Listone'!B136,Asta!$B$4:$B$47,0)),IF(COUNTIF(Asta!$D$4:$D$47,'_Supporto Listone'!B136)&gt;0,INDEX(Asta!$E$4:$E$47,MATCH('_Supporto Listone'!B136,Asta!$D$4:$D$47,0)),IF(COUNTIF(Asta!$F$4:$F$47,'_Supporto Listone'!B136)&gt;0,INDEX(Asta!$G$4:$G$47,MATCH('_Supporto Listone'!B136,Asta!$F$4:$F$47,0)),IF(COUNTIF(Asta!$H$4:$H$47,'_Supporto Listone'!B136)&gt;0,INDEX(Asta!$I$4:$I$47,MATCH('_Supporto Listone'!B136,Asta!$H$4:$H$47,0)),IF(COUNTIF(Asta!$J$4:$J$47,'_Supporto Listone'!B136)&gt;0,INDEX(Asta!$K$4:$K$47,MATCH('_Supporto Listone'!B136,Asta!$J$4:$J$47,0)),IF(COUNTIF(Asta!$L$4:$L$47,'_Supporto Listone'!B136)&gt;0,INDEX(Asta!$M$4:$M$47,MATCH('_Supporto Listone'!B136,Asta!$L$4:$L$47,0)),IF(COUNTIF(Asta!$N$4:$N$47,'_Supporto Listone'!B136)&gt;0,INDEX(Asta!$O$4:$O$47,MATCH('_Supporto Listone'!B136,Asta!$N$4:$N$47,0)),IF(COUNTIF(Asta!$P$4:$P$47,'_Supporto Listone'!B136)&gt;0,INDEX(Asta!$Q$4:$Q$47,MATCH('_Supporto Listone'!B136,Asta!$P$4:$P$47,0)),IF(COUNTIF(Asta!$R$4:$R$47,'_Supporto Listone'!B136)&gt;0,INDEX(Asta!$S$4:$S$47,MATCH('_Supporto Listone'!B136,Asta!$R$4:$R$47,0)),IF(COUNTIF(Asta!$T$4:$T$47,'_Supporto Listone'!B136)&gt;0,INDEX(Asta!$U$4:$U$47,MATCH('_Supporto Listone'!B136,Asta!$T$4:$T$47,0)),""))))))))))</x:f>
      </x:c>
    </x:row>
    <x:row r="137">
      <x:c r="A137" s="432" t="str">
        <x:f>IF($J137&lt;&gt;"",REGEXREPLACE(TO_TEXT('_Supporto Listone'!A137),"(.)","$1"&amp;UNICHAR(822)),'_Supporto Listone'!A137)</x:f>
        <x:v>D</x:v>
      </x:c>
      <x:c r="B137" s="433" t="str">
        <x:f>IF($J137&lt;&gt;"",REGEXREPLACE(TO_TEXT('_Supporto Listone'!B137),"(.)","$1"&amp;UNICHAR(822)),'_Supporto Listone'!B137)</x:f>
        <x:v>Beukema</x:v>
      </x:c>
      <x:c r="C137" s="433" t="str">
        <x:f>IF($J137&lt;&gt;"",REGEXREPLACE(TO_TEXT('_Supporto Listone'!C137),"(.)","$1"&amp;UNICHAR(822)),'_Supporto Listone'!C137)</x:f>
        <x:v>Napoli</x:v>
      </x:c>
      <x:c r="D137" s="433" t="str">
        <x:f>IF($J137&lt;&gt;"",REGEXREPLACE(TO_TEXT('_Supporto Listone'!D137),"(.)","$1"&amp;UNICHAR(822)),'_Supporto Listone'!D137)</x:f>
        <x:v>Dc</x:v>
      </x:c>
      <x:c r="E137" s="433" t="str">
        <x:f>IF($J137&lt;&gt;"",REGEXREPLACE(TO_TEXT('_Supporto Listone'!E137),"(.)","$1"&amp;UNICHAR(822)),'_Supporto Listone'!E137)</x:f>
        <x:v>Riserva / rotazione</x:v>
      </x:c>
      <x:c r="F137" s="462" t="n">
        <x:f>IF($J137&lt;&gt;"",REGEXREPLACE(TO_TEXT('_Supporto Listone'!F137),"(.)","$1"&amp;UNICHAR(822)),'_Supporto Listone'!F137)</x:f>
        <x:v>6</x:v>
      </x:c>
      <x:c r="G137" s="462" t="n">
        <x:f>IF($J137&lt;&gt;"",REGEXREPLACE(TO_TEXT('_Supporto Listone'!G137),"(.)","$1"&amp;UNICHAR(822)),'_Supporto Listone'!G137)</x:f>
        <x:v>16</x:v>
      </x:c>
      <x:c r="H137" s="462" t="n">
        <x:f>IF($J137&lt;&gt;"",REGEXREPLACE(TO_TEXT('_Supporto Listone'!H137),"(.)","$1"&amp;UNICHAR(822)),'_Supporto Listone'!H137)</x:f>
        <x:v>8</x:v>
      </x:c>
      <x:c r="I137" s="434"/>
      <x:c r="J137" s="433" t="str">
        <x:f>IF(COUNTIF(Asta!$B$4:$B$47,'_Supporto Listone'!B137)&gt;0,"Simone",IF(COUNTIF(Asta!$D$4:$D$47,'_Supporto Listone'!B137)&gt;0,"Giacomo",IF(COUNTIF(Asta!$F$4:$F$47,'_Supporto Listone'!B137)&gt;0,"Niko",IF(COUNTIF(Asta!$H$4:$H$47,'_Supporto Listone'!B137)&gt;0,"Quici",IF(COUNTIF(Asta!$J$4:$J$47,'_Supporto Listone'!B137)&gt;0,"Fratello Quici",IF(COUNTIF(Asta!$L$4:$L$47,'_Supporto Listone'!B137)&gt;0,"Nicolò",IF(COUNTIF(Asta!$N$4:$N$47,'_Supporto Listone'!B137)&gt;0,"Vi",IF(COUNTIF(Asta!$P$4:$P$47,'_Supporto Listone'!B137)&gt;0,"Lore",IF(COUNTIF(Asta!$R$4:$R$47,'_Supporto Listone'!B137)&gt;0,"Robbo",IF(COUNTIF(Asta!$T$4:$T$47,'_Supporto Listone'!B137)&gt;0,"Ale",""))))))))))</x:f>
      </x:c>
      <x:c r="K137" s="493" t="str">
        <x:f>IF(COUNTIF(Asta!$B$4:$B$47,'_Supporto Listone'!B137)&gt;0,INDEX(Asta!$C$4:$C$47,MATCH('_Supporto Listone'!B137,Asta!$B$4:$B$47,0)),IF(COUNTIF(Asta!$D$4:$D$47,'_Supporto Listone'!B137)&gt;0,INDEX(Asta!$E$4:$E$47,MATCH('_Supporto Listone'!B137,Asta!$D$4:$D$47,0)),IF(COUNTIF(Asta!$F$4:$F$47,'_Supporto Listone'!B137)&gt;0,INDEX(Asta!$G$4:$G$47,MATCH('_Supporto Listone'!B137,Asta!$F$4:$F$47,0)),IF(COUNTIF(Asta!$H$4:$H$47,'_Supporto Listone'!B137)&gt;0,INDEX(Asta!$I$4:$I$47,MATCH('_Supporto Listone'!B137,Asta!$H$4:$H$47,0)),IF(COUNTIF(Asta!$J$4:$J$47,'_Supporto Listone'!B137)&gt;0,INDEX(Asta!$K$4:$K$47,MATCH('_Supporto Listone'!B137,Asta!$J$4:$J$47,0)),IF(COUNTIF(Asta!$L$4:$L$47,'_Supporto Listone'!B137)&gt;0,INDEX(Asta!$M$4:$M$47,MATCH('_Supporto Listone'!B137,Asta!$L$4:$L$47,0)),IF(COUNTIF(Asta!$N$4:$N$47,'_Supporto Listone'!B137)&gt;0,INDEX(Asta!$O$4:$O$47,MATCH('_Supporto Listone'!B137,Asta!$N$4:$N$47,0)),IF(COUNTIF(Asta!$P$4:$P$47,'_Supporto Listone'!B137)&gt;0,INDEX(Asta!$Q$4:$Q$47,MATCH('_Supporto Listone'!B137,Asta!$P$4:$P$47,0)),IF(COUNTIF(Asta!$R$4:$R$47,'_Supporto Listone'!B137)&gt;0,INDEX(Asta!$S$4:$S$47,MATCH('_Supporto Listone'!B137,Asta!$R$4:$R$47,0)),IF(COUNTIF(Asta!$T$4:$T$47,'_Supporto Listone'!B137)&gt;0,INDEX(Asta!$U$4:$U$47,MATCH('_Supporto Listone'!B137,Asta!$T$4:$T$47,0)),""))))))))))</x:f>
      </x:c>
    </x:row>
    <x:row r="138">
      <x:c r="A138" s="432" t="str">
        <x:f>IF($J138&lt;&gt;"",REGEXREPLACE(TO_TEXT('_Supporto Listone'!A138),"(.)","$1"&amp;UNICHAR(822)),'_Supporto Listone'!A138)</x:f>
        <x:v>D</x:v>
      </x:c>
      <x:c r="B138" s="433" t="str">
        <x:f>IF($J138&lt;&gt;"",REGEXREPLACE(TO_TEXT('_Supporto Listone'!B138),"(.)","$1"&amp;UNICHAR(822)),'_Supporto Listone'!B138)</x:f>
        <x:v>Circati</x:v>
      </x:c>
      <x:c r="C138" s="433" t="str">
        <x:f>IF($J138&lt;&gt;"",REGEXREPLACE(TO_TEXT('_Supporto Listone'!C138),"(.)","$1"&amp;UNICHAR(822)),'_Supporto Listone'!C138)</x:f>
        <x:v>Parma</x:v>
      </x:c>
      <x:c r="D138" s="433" t="str">
        <x:f>IF($J138&lt;&gt;"",REGEXREPLACE(TO_TEXT('_Supporto Listone'!D138),"(.)","$1"&amp;UNICHAR(822)),'_Supporto Listone'!D138)</x:f>
        <x:v>Dc</x:v>
      </x:c>
      <x:c r="E138" s="433" t="str">
        <x:f>IF($J138&lt;&gt;"",REGEXREPLACE(TO_TEXT('_Supporto Listone'!E138),"(.)","$1"&amp;UNICHAR(822)),'_Supporto Listone'!E138)</x:f>
        <x:v>Riserva / rotazione</x:v>
      </x:c>
      <x:c r="F138" s="462" t="n">
        <x:f>IF($J138&lt;&gt;"",REGEXREPLACE(TO_TEXT('_Supporto Listone'!F138),"(.)","$1"&amp;UNICHAR(822)),'_Supporto Listone'!F138)</x:f>
        <x:v>6</x:v>
      </x:c>
      <x:c r="G138" s="462" t="n">
        <x:f>IF($J138&lt;&gt;"",REGEXREPLACE(TO_TEXT('_Supporto Listone'!G138),"(.)","$1"&amp;UNICHAR(822)),'_Supporto Listone'!G138)</x:f>
        <x:v>18</x:v>
      </x:c>
      <x:c r="H138" s="462" t="n">
        <x:f>IF($J138&lt;&gt;"",REGEXREPLACE(TO_TEXT('_Supporto Listone'!H138),"(.)","$1"&amp;UNICHAR(822)),'_Supporto Listone'!H138)</x:f>
        <x:v>9</x:v>
      </x:c>
      <x:c r="I138" s="434"/>
      <x:c r="J138" s="433" t="str">
        <x:f>IF(COUNTIF(Asta!$B$4:$B$47,'_Supporto Listone'!B138)&gt;0,"Simone",IF(COUNTIF(Asta!$D$4:$D$47,'_Supporto Listone'!B138)&gt;0,"Giacomo",IF(COUNTIF(Asta!$F$4:$F$47,'_Supporto Listone'!B138)&gt;0,"Niko",IF(COUNTIF(Asta!$H$4:$H$47,'_Supporto Listone'!B138)&gt;0,"Quici",IF(COUNTIF(Asta!$J$4:$J$47,'_Supporto Listone'!B138)&gt;0,"Fratello Quici",IF(COUNTIF(Asta!$L$4:$L$47,'_Supporto Listone'!B138)&gt;0,"Nicolò",IF(COUNTIF(Asta!$N$4:$N$47,'_Supporto Listone'!B138)&gt;0,"Vi",IF(COUNTIF(Asta!$P$4:$P$47,'_Supporto Listone'!B138)&gt;0,"Lore",IF(COUNTIF(Asta!$R$4:$R$47,'_Supporto Listone'!B138)&gt;0,"Robbo",IF(COUNTIF(Asta!$T$4:$T$47,'_Supporto Listone'!B138)&gt;0,"Ale",""))))))))))</x:f>
      </x:c>
      <x:c r="K138" s="493" t="str">
        <x:f>IF(COUNTIF(Asta!$B$4:$B$47,'_Supporto Listone'!B138)&gt;0,INDEX(Asta!$C$4:$C$47,MATCH('_Supporto Listone'!B138,Asta!$B$4:$B$47,0)),IF(COUNTIF(Asta!$D$4:$D$47,'_Supporto Listone'!B138)&gt;0,INDEX(Asta!$E$4:$E$47,MATCH('_Supporto Listone'!B138,Asta!$D$4:$D$47,0)),IF(COUNTIF(Asta!$F$4:$F$47,'_Supporto Listone'!B138)&gt;0,INDEX(Asta!$G$4:$G$47,MATCH('_Supporto Listone'!B138,Asta!$F$4:$F$47,0)),IF(COUNTIF(Asta!$H$4:$H$47,'_Supporto Listone'!B138)&gt;0,INDEX(Asta!$I$4:$I$47,MATCH('_Supporto Listone'!B138,Asta!$H$4:$H$47,0)),IF(COUNTIF(Asta!$J$4:$J$47,'_Supporto Listone'!B138)&gt;0,INDEX(Asta!$K$4:$K$47,MATCH('_Supporto Listone'!B138,Asta!$J$4:$J$47,0)),IF(COUNTIF(Asta!$L$4:$L$47,'_Supporto Listone'!B138)&gt;0,INDEX(Asta!$M$4:$M$47,MATCH('_Supporto Listone'!B138,Asta!$L$4:$L$47,0)),IF(COUNTIF(Asta!$N$4:$N$47,'_Supporto Listone'!B138)&gt;0,INDEX(Asta!$O$4:$O$47,MATCH('_Supporto Listone'!B138,Asta!$N$4:$N$47,0)),IF(COUNTIF(Asta!$P$4:$P$47,'_Supporto Listone'!B138)&gt;0,INDEX(Asta!$Q$4:$Q$47,MATCH('_Supporto Listone'!B138,Asta!$P$4:$P$47,0)),IF(COUNTIF(Asta!$R$4:$R$47,'_Supporto Listone'!B138)&gt;0,INDEX(Asta!$S$4:$S$47,MATCH('_Supporto Listone'!B138,Asta!$R$4:$R$47,0)),IF(COUNTIF(Asta!$T$4:$T$47,'_Supporto Listone'!B138)&gt;0,INDEX(Asta!$U$4:$U$47,MATCH('_Supporto Listone'!B138,Asta!$T$4:$T$47,0)),""))))))))))</x:f>
      </x:c>
    </x:row>
    <x:row r="139">
      <x:c r="A139" s="432" t="str">
        <x:f>IF($J139&lt;&gt;"",REGEXREPLACE(TO_TEXT('_Supporto Listone'!A139),"(.)","$1"&amp;UNICHAR(822)),'_Supporto Listone'!A139)</x:f>
        <x:v>D</x:v>
      </x:c>
      <x:c r="B139" s="433" t="str">
        <x:f>IF($J139&lt;&gt;"",REGEXREPLACE(TO_TEXT('_Supporto Listone'!B139),"(.)","$1"&amp;UNICHAR(822)),'_Supporto Listone'!B139)</x:f>
        <x:v>Comuzzo</x:v>
      </x:c>
      <x:c r="C139" s="433" t="str">
        <x:f>IF($J139&lt;&gt;"",REGEXREPLACE(TO_TEXT('_Supporto Listone'!C139),"(.)","$1"&amp;UNICHAR(822)),'_Supporto Listone'!C139)</x:f>
        <x:v>Torino</x:v>
      </x:c>
      <x:c r="D139" s="433" t="str">
        <x:f>IF($J139&lt;&gt;"",REGEXREPLACE(TO_TEXT('_Supporto Listone'!D139),"(.)","$1"&amp;UNICHAR(822)),'_Supporto Listone'!D139)</x:f>
        <x:v>Dc</x:v>
      </x:c>
      <x:c r="E139" s="433" t="str">
        <x:f>IF($J139&lt;&gt;"",REGEXREPLACE(TO_TEXT('_Supporto Listone'!E139),"(.)","$1"&amp;UNICHAR(822)),'_Supporto Listone'!E139)</x:f>
        <x:v>Titolare</x:v>
      </x:c>
      <x:c r="F139" s="462" t="n">
        <x:f>IF($J139&lt;&gt;"",REGEXREPLACE(TO_TEXT('_Supporto Listone'!F139),"(.)","$1"&amp;UNICHAR(822)),'_Supporto Listone'!F139)</x:f>
        <x:v>6</x:v>
      </x:c>
      <x:c r="G139" s="462" t="n">
        <x:f>IF($J139&lt;&gt;"",REGEXREPLACE(TO_TEXT('_Supporto Listone'!G139),"(.)","$1"&amp;UNICHAR(822)),'_Supporto Listone'!G139)</x:f>
        <x:v>11</x:v>
      </x:c>
      <x:c r="H139" s="462" t="n">
        <x:f>IF($J139&lt;&gt;"",REGEXREPLACE(TO_TEXT('_Supporto Listone'!H139),"(.)","$1"&amp;UNICHAR(822)),'_Supporto Listone'!H139)</x:f>
        <x:v>6</x:v>
      </x:c>
      <x:c r="I139" s="434"/>
      <x:c r="J139" s="433" t="str">
        <x:f>IF(COUNTIF(Asta!$B$4:$B$47,'_Supporto Listone'!B139)&gt;0,"Simone",IF(COUNTIF(Asta!$D$4:$D$47,'_Supporto Listone'!B139)&gt;0,"Giacomo",IF(COUNTIF(Asta!$F$4:$F$47,'_Supporto Listone'!B139)&gt;0,"Niko",IF(COUNTIF(Asta!$H$4:$H$47,'_Supporto Listone'!B139)&gt;0,"Quici",IF(COUNTIF(Asta!$J$4:$J$47,'_Supporto Listone'!B139)&gt;0,"Fratello Quici",IF(COUNTIF(Asta!$L$4:$L$47,'_Supporto Listone'!B139)&gt;0,"Nicolò",IF(COUNTIF(Asta!$N$4:$N$47,'_Supporto Listone'!B139)&gt;0,"Vi",IF(COUNTIF(Asta!$P$4:$P$47,'_Supporto Listone'!B139)&gt;0,"Lore",IF(COUNTIF(Asta!$R$4:$R$47,'_Supporto Listone'!B139)&gt;0,"Robbo",IF(COUNTIF(Asta!$T$4:$T$47,'_Supporto Listone'!B139)&gt;0,"Ale",""))))))))))</x:f>
      </x:c>
      <x:c r="K139" s="493" t="str">
        <x:f>IF(COUNTIF(Asta!$B$4:$B$47,'_Supporto Listone'!B139)&gt;0,INDEX(Asta!$C$4:$C$47,MATCH('_Supporto Listone'!B139,Asta!$B$4:$B$47,0)),IF(COUNTIF(Asta!$D$4:$D$47,'_Supporto Listone'!B139)&gt;0,INDEX(Asta!$E$4:$E$47,MATCH('_Supporto Listone'!B139,Asta!$D$4:$D$47,0)),IF(COUNTIF(Asta!$F$4:$F$47,'_Supporto Listone'!B139)&gt;0,INDEX(Asta!$G$4:$G$47,MATCH('_Supporto Listone'!B139,Asta!$F$4:$F$47,0)),IF(COUNTIF(Asta!$H$4:$H$47,'_Supporto Listone'!B139)&gt;0,INDEX(Asta!$I$4:$I$47,MATCH('_Supporto Listone'!B139,Asta!$H$4:$H$47,0)),IF(COUNTIF(Asta!$J$4:$J$47,'_Supporto Listone'!B139)&gt;0,INDEX(Asta!$K$4:$K$47,MATCH('_Supporto Listone'!B139,Asta!$J$4:$J$47,0)),IF(COUNTIF(Asta!$L$4:$L$47,'_Supporto Listone'!B139)&gt;0,INDEX(Asta!$M$4:$M$47,MATCH('_Supporto Listone'!B139,Asta!$L$4:$L$47,0)),IF(COUNTIF(Asta!$N$4:$N$47,'_Supporto Listone'!B139)&gt;0,INDEX(Asta!$O$4:$O$47,MATCH('_Supporto Listone'!B139,Asta!$N$4:$N$47,0)),IF(COUNTIF(Asta!$P$4:$P$47,'_Supporto Listone'!B139)&gt;0,INDEX(Asta!$Q$4:$Q$47,MATCH('_Supporto Listone'!B139,Asta!$P$4:$P$47,0)),IF(COUNTIF(Asta!$R$4:$R$47,'_Supporto Listone'!B139)&gt;0,INDEX(Asta!$S$4:$S$47,MATCH('_Supporto Listone'!B139,Asta!$R$4:$R$47,0)),IF(COUNTIF(Asta!$T$4:$T$47,'_Supporto Listone'!B139)&gt;0,INDEX(Asta!$U$4:$U$47,MATCH('_Supporto Listone'!B139,Asta!$T$4:$T$47,0)),""))))))))))</x:f>
      </x:c>
    </x:row>
    <x:row r="140">
      <x:c r="A140" s="432" t="str">
        <x:f>IF($J140&lt;&gt;"",REGEXREPLACE(TO_TEXT('_Supporto Listone'!A140),"(.)","$1"&amp;UNICHAR(822)),'_Supporto Listone'!A140)</x:f>
        <x:v>D</x:v>
      </x:c>
      <x:c r="B140" s="433" t="str">
        <x:f>IF($J140&lt;&gt;"",REGEXREPLACE(TO_TEXT('_Supporto Listone'!B140),"(.)","$1"&amp;UNICHAR(822)),'_Supporto Listone'!B140)</x:f>
        <x:v>Kamara H.</x:v>
      </x:c>
      <x:c r="C140" s="433" t="str">
        <x:f>IF($J140&lt;&gt;"",REGEXREPLACE(TO_TEXT('_Supporto Listone'!C140),"(.)","$1"&amp;UNICHAR(822)),'_Supporto Listone'!C140)</x:f>
        <x:v>Udinese</x:v>
      </x:c>
      <x:c r="D140" s="433" t="str">
        <x:f>IF($J140&lt;&gt;"",REGEXREPLACE(TO_TEXT('_Supporto Listone'!D140),"(.)","$1"&amp;UNICHAR(822)),'_Supporto Listone'!D140)</x:f>
        <x:v>Ds;E</x:v>
      </x:c>
      <x:c r="E140" s="433" t="str">
        <x:f>IF($J140&lt;&gt;"",REGEXREPLACE(TO_TEXT('_Supporto Listone'!E140),"(.)","$1"&amp;UNICHAR(822)),'_Supporto Listone'!E140)</x:f>
        <x:v>Titolare</x:v>
      </x:c>
      <x:c r="F140" s="462" t="n">
        <x:f>IF($J140&lt;&gt;"",REGEXREPLACE(TO_TEXT('_Supporto Listone'!F140),"(.)","$1"&amp;UNICHAR(822)),'_Supporto Listone'!F140)</x:f>
        <x:v>6</x:v>
      </x:c>
      <x:c r="G140" s="462" t="n">
        <x:f>IF($J140&lt;&gt;"",REGEXREPLACE(TO_TEXT('_Supporto Listone'!G140),"(.)","$1"&amp;UNICHAR(822)),'_Supporto Listone'!G140)</x:f>
        <x:v>12</x:v>
      </x:c>
      <x:c r="H140" s="462" t="n">
        <x:f>IF($J140&lt;&gt;"",REGEXREPLACE(TO_TEXT('_Supporto Listone'!H140),"(.)","$1"&amp;UNICHAR(822)),'_Supporto Listone'!H140)</x:f>
        <x:v>6</x:v>
      </x:c>
      <x:c r="I140" s="434"/>
      <x:c r="J140" s="433" t="str">
        <x:f>IF(COUNTIF(Asta!$B$4:$B$47,'_Supporto Listone'!B140)&gt;0,"Simone",IF(COUNTIF(Asta!$D$4:$D$47,'_Supporto Listone'!B140)&gt;0,"Giacomo",IF(COUNTIF(Asta!$F$4:$F$47,'_Supporto Listone'!B140)&gt;0,"Niko",IF(COUNTIF(Asta!$H$4:$H$47,'_Supporto Listone'!B140)&gt;0,"Quici",IF(COUNTIF(Asta!$J$4:$J$47,'_Supporto Listone'!B140)&gt;0,"Fratello Quici",IF(COUNTIF(Asta!$L$4:$L$47,'_Supporto Listone'!B140)&gt;0,"Nicolò",IF(COUNTIF(Asta!$N$4:$N$47,'_Supporto Listone'!B140)&gt;0,"Vi",IF(COUNTIF(Asta!$P$4:$P$47,'_Supporto Listone'!B140)&gt;0,"Lore",IF(COUNTIF(Asta!$R$4:$R$47,'_Supporto Listone'!B140)&gt;0,"Robbo",IF(COUNTIF(Asta!$T$4:$T$47,'_Supporto Listone'!B140)&gt;0,"Ale",""))))))))))</x:f>
      </x:c>
      <x:c r="K140" s="493" t="str">
        <x:f>IF(COUNTIF(Asta!$B$4:$B$47,'_Supporto Listone'!B140)&gt;0,INDEX(Asta!$C$4:$C$47,MATCH('_Supporto Listone'!B140,Asta!$B$4:$B$47,0)),IF(COUNTIF(Asta!$D$4:$D$47,'_Supporto Listone'!B140)&gt;0,INDEX(Asta!$E$4:$E$47,MATCH('_Supporto Listone'!B140,Asta!$D$4:$D$47,0)),IF(COUNTIF(Asta!$F$4:$F$47,'_Supporto Listone'!B140)&gt;0,INDEX(Asta!$G$4:$G$47,MATCH('_Supporto Listone'!B140,Asta!$F$4:$F$47,0)),IF(COUNTIF(Asta!$H$4:$H$47,'_Supporto Listone'!B140)&gt;0,INDEX(Asta!$I$4:$I$47,MATCH('_Supporto Listone'!B140,Asta!$H$4:$H$47,0)),IF(COUNTIF(Asta!$J$4:$J$47,'_Supporto Listone'!B140)&gt;0,INDEX(Asta!$K$4:$K$47,MATCH('_Supporto Listone'!B140,Asta!$J$4:$J$47,0)),IF(COUNTIF(Asta!$L$4:$L$47,'_Supporto Listone'!B140)&gt;0,INDEX(Asta!$M$4:$M$47,MATCH('_Supporto Listone'!B140,Asta!$L$4:$L$47,0)),IF(COUNTIF(Asta!$N$4:$N$47,'_Supporto Listone'!B140)&gt;0,INDEX(Asta!$O$4:$O$47,MATCH('_Supporto Listone'!B140,Asta!$N$4:$N$47,0)),IF(COUNTIF(Asta!$P$4:$P$47,'_Supporto Listone'!B140)&gt;0,INDEX(Asta!$Q$4:$Q$47,MATCH('_Supporto Listone'!B140,Asta!$P$4:$P$47,0)),IF(COUNTIF(Asta!$R$4:$R$47,'_Supporto Listone'!B140)&gt;0,INDEX(Asta!$S$4:$S$47,MATCH('_Supporto Listone'!B140,Asta!$R$4:$R$47,0)),IF(COUNTIF(Asta!$T$4:$T$47,'_Supporto Listone'!B140)&gt;0,INDEX(Asta!$U$4:$U$47,MATCH('_Supporto Listone'!B140,Asta!$T$4:$T$47,0)),""))))))))))</x:f>
      </x:c>
    </x:row>
    <x:row r="141">
      <x:c r="A141" s="432" t="str">
        <x:f>IF($J141&lt;&gt;"",REGEXREPLACE(TO_TEXT('_Supporto Listone'!A141),"(.)","$1"&amp;UNICHAR(822)),'_Supporto Listone'!A141)</x:f>
        <x:v>D</x:v>
      </x:c>
      <x:c r="B141" s="433" t="str">
        <x:f>IF($J141&lt;&gt;"",REGEXREPLACE(TO_TEXT('_Supporto Listone'!B141),"(.)","$1"&amp;UNICHAR(822)),'_Supporto Listone'!B141)</x:f>
        <x:v>Bella-Kotchap</x:v>
      </x:c>
      <x:c r="C141" s="433" t="str">
        <x:f>IF($J141&lt;&gt;"",REGEXREPLACE(TO_TEXT('_Supporto Listone'!C141),"(.)","$1"&amp;UNICHAR(822)),'_Supporto Listone'!C141)</x:f>
        <x:v>Venezia</x:v>
      </x:c>
      <x:c r="D141" s="433" t="str">
        <x:f>IF($J141&lt;&gt;"",REGEXREPLACE(TO_TEXT('_Supporto Listone'!D141),"(.)","$1"&amp;UNICHAR(822)),'_Supporto Listone'!D141)</x:f>
        <x:v>Dc</x:v>
      </x:c>
      <x:c r="E141" s="433" t="str">
        <x:f>IF($J141&lt;&gt;"",REGEXREPLACE(TO_TEXT('_Supporto Listone'!E141),"(.)","$1"&amp;UNICHAR(822)),'_Supporto Listone'!E141)</x:f>
        <x:v>Titolare</x:v>
      </x:c>
      <x:c r="F141" s="462" t="n">
        <x:f>IF($J141&lt;&gt;"",REGEXREPLACE(TO_TEXT('_Supporto Listone'!F141),"(.)","$1"&amp;UNICHAR(822)),'_Supporto Listone'!F141)</x:f>
        <x:v>6</x:v>
      </x:c>
      <x:c r="G141" s="462" t="n">
        <x:f>IF($J141&lt;&gt;"",REGEXREPLACE(TO_TEXT('_Supporto Listone'!G141),"(.)","$1"&amp;UNICHAR(822)),'_Supporto Listone'!G141)</x:f>
        <x:v>13</x:v>
      </x:c>
      <x:c r="H141" s="462" t="n">
        <x:f>IF($J141&lt;&gt;"",REGEXREPLACE(TO_TEXT('_Supporto Listone'!H141),"(.)","$1"&amp;UNICHAR(822)),'_Supporto Listone'!H141)</x:f>
        <x:v>7</x:v>
      </x:c>
      <x:c r="I141" s="434"/>
      <x:c r="J141" s="433" t="str">
        <x:f>IF(COUNTIF(Asta!$B$4:$B$47,'_Supporto Listone'!B141)&gt;0,"Simone",IF(COUNTIF(Asta!$D$4:$D$47,'_Supporto Listone'!B141)&gt;0,"Giacomo",IF(COUNTIF(Asta!$F$4:$F$47,'_Supporto Listone'!B141)&gt;0,"Niko",IF(COUNTIF(Asta!$H$4:$H$47,'_Supporto Listone'!B141)&gt;0,"Quici",IF(COUNTIF(Asta!$J$4:$J$47,'_Supporto Listone'!B141)&gt;0,"Fratello Quici",IF(COUNTIF(Asta!$L$4:$L$47,'_Supporto Listone'!B141)&gt;0,"Nicolò",IF(COUNTIF(Asta!$N$4:$N$47,'_Supporto Listone'!B141)&gt;0,"Vi",IF(COUNTIF(Asta!$P$4:$P$47,'_Supporto Listone'!B141)&gt;0,"Lore",IF(COUNTIF(Asta!$R$4:$R$47,'_Supporto Listone'!B141)&gt;0,"Robbo",IF(COUNTIF(Asta!$T$4:$T$47,'_Supporto Listone'!B141)&gt;0,"Ale",""))))))))))</x:f>
      </x:c>
      <x:c r="K141" s="493" t="str">
        <x:f>IF(COUNTIF(Asta!$B$4:$B$47,'_Supporto Listone'!B141)&gt;0,INDEX(Asta!$C$4:$C$47,MATCH('_Supporto Listone'!B141,Asta!$B$4:$B$47,0)),IF(COUNTIF(Asta!$D$4:$D$47,'_Supporto Listone'!B141)&gt;0,INDEX(Asta!$E$4:$E$47,MATCH('_Supporto Listone'!B141,Asta!$D$4:$D$47,0)),IF(COUNTIF(Asta!$F$4:$F$47,'_Supporto Listone'!B141)&gt;0,INDEX(Asta!$G$4:$G$47,MATCH('_Supporto Listone'!B141,Asta!$F$4:$F$47,0)),IF(COUNTIF(Asta!$H$4:$H$47,'_Supporto Listone'!B141)&gt;0,INDEX(Asta!$I$4:$I$47,MATCH('_Supporto Listone'!B141,Asta!$H$4:$H$47,0)),IF(COUNTIF(Asta!$J$4:$J$47,'_Supporto Listone'!B141)&gt;0,INDEX(Asta!$K$4:$K$47,MATCH('_Supporto Listone'!B141,Asta!$J$4:$J$47,0)),IF(COUNTIF(Asta!$L$4:$L$47,'_Supporto Listone'!B141)&gt;0,INDEX(Asta!$M$4:$M$47,MATCH('_Supporto Listone'!B141,Asta!$L$4:$L$47,0)),IF(COUNTIF(Asta!$N$4:$N$47,'_Supporto Listone'!B141)&gt;0,INDEX(Asta!$O$4:$O$47,MATCH('_Supporto Listone'!B141,Asta!$N$4:$N$47,0)),IF(COUNTIF(Asta!$P$4:$P$47,'_Supporto Listone'!B141)&gt;0,INDEX(Asta!$Q$4:$Q$47,MATCH('_Supporto Listone'!B141,Asta!$P$4:$P$47,0)),IF(COUNTIF(Asta!$R$4:$R$47,'_Supporto Listone'!B141)&gt;0,INDEX(Asta!$S$4:$S$47,MATCH('_Supporto Listone'!B141,Asta!$R$4:$R$47,0)),IF(COUNTIF(Asta!$T$4:$T$47,'_Supporto Listone'!B141)&gt;0,INDEX(Asta!$U$4:$U$47,MATCH('_Supporto Listone'!B141,Asta!$T$4:$T$47,0)),""))))))))))</x:f>
      </x:c>
    </x:row>
    <x:row r="142">
      <x:c r="A142" s="432" t="str">
        <x:f>IF($J142&lt;&gt;"",REGEXREPLACE(TO_TEXT('_Supporto Listone'!A142),"(.)","$1"&amp;UNICHAR(822)),'_Supporto Listone'!A142)</x:f>
        <x:v>D</x:v>
      </x:c>
      <x:c r="B142" s="433" t="str">
        <x:f>IF($J142&lt;&gt;"",REGEXREPLACE(TO_TEXT('_Supporto Listone'!B142),"(.)","$1"&amp;UNICHAR(822)),'_Supporto Listone'!B142)</x:f>
        <x:v>Kolasinac</x:v>
      </x:c>
      <x:c r="C142" s="433" t="str">
        <x:f>IF($J142&lt;&gt;"",REGEXREPLACE(TO_TEXT('_Supporto Listone'!C142),"(.)","$1"&amp;UNICHAR(822)),'_Supporto Listone'!C142)</x:f>
        <x:v>Atalanta</x:v>
      </x:c>
      <x:c r="D142" s="433" t="str">
        <x:f>IF($J142&lt;&gt;"",REGEXREPLACE(TO_TEXT('_Supporto Listone'!D142),"(.)","$1"&amp;UNICHAR(822)),'_Supporto Listone'!D142)</x:f>
        <x:v>Ds;Dc</x:v>
      </x:c>
      <x:c r="E142" s="433" t="str">
        <x:f>IF($J142&lt;&gt;"",REGEXREPLACE(TO_TEXT('_Supporto Listone'!E142),"(.)","$1"&amp;UNICHAR(822)),'_Supporto Listone'!E142)</x:f>
        <x:v>Riserva / rotazione</x:v>
      </x:c>
      <x:c r="F142" s="462" t="n">
        <x:f>IF($J142&lt;&gt;"",REGEXREPLACE(TO_TEXT('_Supporto Listone'!F142),"(.)","$1"&amp;UNICHAR(822)),'_Supporto Listone'!F142)</x:f>
        <x:v>5</x:v>
      </x:c>
      <x:c r="G142" s="462" t="n">
        <x:f>IF($J142&lt;&gt;"",REGEXREPLACE(TO_TEXT('_Supporto Listone'!G142),"(.)","$1"&amp;UNICHAR(822)),'_Supporto Listone'!G142)</x:f>
        <x:v>12</x:v>
      </x:c>
      <x:c r="H142" s="462" t="n">
        <x:f>IF($J142&lt;&gt;"",REGEXREPLACE(TO_TEXT('_Supporto Listone'!H142),"(.)","$1"&amp;UNICHAR(822)),'_Supporto Listone'!H142)</x:f>
        <x:v>6</x:v>
      </x:c>
      <x:c r="I142" s="434"/>
      <x:c r="J142" s="433" t="str">
        <x:f>IF(COUNTIF(Asta!$B$4:$B$47,'_Supporto Listone'!B142)&gt;0,"Simone",IF(COUNTIF(Asta!$D$4:$D$47,'_Supporto Listone'!B142)&gt;0,"Giacomo",IF(COUNTIF(Asta!$F$4:$F$47,'_Supporto Listone'!B142)&gt;0,"Niko",IF(COUNTIF(Asta!$H$4:$H$47,'_Supporto Listone'!B142)&gt;0,"Quici",IF(COUNTIF(Asta!$J$4:$J$47,'_Supporto Listone'!B142)&gt;0,"Fratello Quici",IF(COUNTIF(Asta!$L$4:$L$47,'_Supporto Listone'!B142)&gt;0,"Nicolò",IF(COUNTIF(Asta!$N$4:$N$47,'_Supporto Listone'!B142)&gt;0,"Vi",IF(COUNTIF(Asta!$P$4:$P$47,'_Supporto Listone'!B142)&gt;0,"Lore",IF(COUNTIF(Asta!$R$4:$R$47,'_Supporto Listone'!B142)&gt;0,"Robbo",IF(COUNTIF(Asta!$T$4:$T$47,'_Supporto Listone'!B142)&gt;0,"Ale",""))))))))))</x:f>
      </x:c>
      <x:c r="K142" s="493" t="str">
        <x:f>IF(COUNTIF(Asta!$B$4:$B$47,'_Supporto Listone'!B142)&gt;0,INDEX(Asta!$C$4:$C$47,MATCH('_Supporto Listone'!B142,Asta!$B$4:$B$47,0)),IF(COUNTIF(Asta!$D$4:$D$47,'_Supporto Listone'!B142)&gt;0,INDEX(Asta!$E$4:$E$47,MATCH('_Supporto Listone'!B142,Asta!$D$4:$D$47,0)),IF(COUNTIF(Asta!$F$4:$F$47,'_Supporto Listone'!B142)&gt;0,INDEX(Asta!$G$4:$G$47,MATCH('_Supporto Listone'!B142,Asta!$F$4:$F$47,0)),IF(COUNTIF(Asta!$H$4:$H$47,'_Supporto Listone'!B142)&gt;0,INDEX(Asta!$I$4:$I$47,MATCH('_Supporto Listone'!B142,Asta!$H$4:$H$47,0)),IF(COUNTIF(Asta!$J$4:$J$47,'_Supporto Listone'!B142)&gt;0,INDEX(Asta!$K$4:$K$47,MATCH('_Supporto Listone'!B142,Asta!$J$4:$J$47,0)),IF(COUNTIF(Asta!$L$4:$L$47,'_Supporto Listone'!B142)&gt;0,INDEX(Asta!$M$4:$M$47,MATCH('_Supporto Listone'!B142,Asta!$L$4:$L$47,0)),IF(COUNTIF(Asta!$N$4:$N$47,'_Supporto Listone'!B142)&gt;0,INDEX(Asta!$O$4:$O$47,MATCH('_Supporto Listone'!B142,Asta!$N$4:$N$47,0)),IF(COUNTIF(Asta!$P$4:$P$47,'_Supporto Listone'!B142)&gt;0,INDEX(Asta!$Q$4:$Q$47,MATCH('_Supporto Listone'!B142,Asta!$P$4:$P$47,0)),IF(COUNTIF(Asta!$R$4:$R$47,'_Supporto Listone'!B142)&gt;0,INDEX(Asta!$S$4:$S$47,MATCH('_Supporto Listone'!B142,Asta!$R$4:$R$47,0)),IF(COUNTIF(Asta!$T$4:$T$47,'_Supporto Listone'!B142)&gt;0,INDEX(Asta!$U$4:$U$47,MATCH('_Supporto Listone'!B142,Asta!$T$4:$T$47,0)),""))))))))))</x:f>
      </x:c>
    </x:row>
    <x:row r="143">
      <x:c r="A143" s="432" t="str">
        <x:f>IF($J143&lt;&gt;"",REGEXREPLACE(TO_TEXT('_Supporto Listone'!A143),"(.)","$1"&amp;UNICHAR(822)),'_Supporto Listone'!A143)</x:f>
        <x:v>D</x:v>
      </x:c>
      <x:c r="B143" s="433" t="str">
        <x:f>IF($J143&lt;&gt;"",REGEXREPLACE(TO_TEXT('_Supporto Listone'!B143),"(.)","$1"&amp;UNICHAR(822)),'_Supporto Listone'!B143)</x:f>
        <x:v>Holm</x:v>
      </x:c>
      <x:c r="C143" s="433" t="str">
        <x:f>IF($J143&lt;&gt;"",REGEXREPLACE(TO_TEXT('_Supporto Listone'!C143),"(.)","$1"&amp;UNICHAR(822)),'_Supporto Listone'!C143)</x:f>
        <x:v>Bologna</x:v>
      </x:c>
      <x:c r="D143" s="433" t="str">
        <x:f>IF($J143&lt;&gt;"",REGEXREPLACE(TO_TEXT('_Supporto Listone'!D143),"(.)","$1"&amp;UNICHAR(822)),'_Supporto Listone'!D143)</x:f>
        <x:v>Dd;E</x:v>
      </x:c>
      <x:c r="E143" s="433" t="str">
        <x:f>IF($J143&lt;&gt;"",REGEXREPLACE(TO_TEXT('_Supporto Listone'!E143),"(.)","$1"&amp;UNICHAR(822)),'_Supporto Listone'!E143)</x:f>
        <x:v>Riserva / rotazione</x:v>
      </x:c>
      <x:c r="F143" s="462" t="n">
        <x:f>IF($J143&lt;&gt;"",REGEXREPLACE(TO_TEXT('_Supporto Listone'!F143),"(.)","$1"&amp;UNICHAR(822)),'_Supporto Listone'!F143)</x:f>
        <x:v>5</x:v>
      </x:c>
      <x:c r="G143" s="462" t="n">
        <x:f>IF($J143&lt;&gt;"",REGEXREPLACE(TO_TEXT('_Supporto Listone'!G143),"(.)","$1"&amp;UNICHAR(822)),'_Supporto Listone'!G143)</x:f>
        <x:v>13</x:v>
      </x:c>
      <x:c r="H143" s="462" t="n">
        <x:f>IF($J143&lt;&gt;"",REGEXREPLACE(TO_TEXT('_Supporto Listone'!H143),"(.)","$1"&amp;UNICHAR(822)),'_Supporto Listone'!H143)</x:f>
        <x:v>7</x:v>
      </x:c>
      <x:c r="I143" s="434"/>
      <x:c r="J143" s="433" t="str">
        <x:f>IF(COUNTIF(Asta!$B$4:$B$47,'_Supporto Listone'!B143)&gt;0,"Simone",IF(COUNTIF(Asta!$D$4:$D$47,'_Supporto Listone'!B143)&gt;0,"Giacomo",IF(COUNTIF(Asta!$F$4:$F$47,'_Supporto Listone'!B143)&gt;0,"Niko",IF(COUNTIF(Asta!$H$4:$H$47,'_Supporto Listone'!B143)&gt;0,"Quici",IF(COUNTIF(Asta!$J$4:$J$47,'_Supporto Listone'!B143)&gt;0,"Fratello Quici",IF(COUNTIF(Asta!$L$4:$L$47,'_Supporto Listone'!B143)&gt;0,"Nicolò",IF(COUNTIF(Asta!$N$4:$N$47,'_Supporto Listone'!B143)&gt;0,"Vi",IF(COUNTIF(Asta!$P$4:$P$47,'_Supporto Listone'!B143)&gt;0,"Lore",IF(COUNTIF(Asta!$R$4:$R$47,'_Supporto Listone'!B143)&gt;0,"Robbo",IF(COUNTIF(Asta!$T$4:$T$47,'_Supporto Listone'!B143)&gt;0,"Ale",""))))))))))</x:f>
      </x:c>
      <x:c r="K143" s="493" t="str">
        <x:f>IF(COUNTIF(Asta!$B$4:$B$47,'_Supporto Listone'!B143)&gt;0,INDEX(Asta!$C$4:$C$47,MATCH('_Supporto Listone'!B143,Asta!$B$4:$B$47,0)),IF(COUNTIF(Asta!$D$4:$D$47,'_Supporto Listone'!B143)&gt;0,INDEX(Asta!$E$4:$E$47,MATCH('_Supporto Listone'!B143,Asta!$D$4:$D$47,0)),IF(COUNTIF(Asta!$F$4:$F$47,'_Supporto Listone'!B143)&gt;0,INDEX(Asta!$G$4:$G$47,MATCH('_Supporto Listone'!B143,Asta!$F$4:$F$47,0)),IF(COUNTIF(Asta!$H$4:$H$47,'_Supporto Listone'!B143)&gt;0,INDEX(Asta!$I$4:$I$47,MATCH('_Supporto Listone'!B143,Asta!$H$4:$H$47,0)),IF(COUNTIF(Asta!$J$4:$J$47,'_Supporto Listone'!B143)&gt;0,INDEX(Asta!$K$4:$K$47,MATCH('_Supporto Listone'!B143,Asta!$J$4:$J$47,0)),IF(COUNTIF(Asta!$L$4:$L$47,'_Supporto Listone'!B143)&gt;0,INDEX(Asta!$M$4:$M$47,MATCH('_Supporto Listone'!B143,Asta!$L$4:$L$47,0)),IF(COUNTIF(Asta!$N$4:$N$47,'_Supporto Listone'!B143)&gt;0,INDEX(Asta!$O$4:$O$47,MATCH('_Supporto Listone'!B143,Asta!$N$4:$N$47,0)),IF(COUNTIF(Asta!$P$4:$P$47,'_Supporto Listone'!B143)&gt;0,INDEX(Asta!$Q$4:$Q$47,MATCH('_Supporto Listone'!B143,Asta!$P$4:$P$47,0)),IF(COUNTIF(Asta!$R$4:$R$47,'_Supporto Listone'!B143)&gt;0,INDEX(Asta!$S$4:$S$47,MATCH('_Supporto Listone'!B143,Asta!$R$4:$R$47,0)),IF(COUNTIF(Asta!$T$4:$T$47,'_Supporto Listone'!B143)&gt;0,INDEX(Asta!$U$4:$U$47,MATCH('_Supporto Listone'!B143,Asta!$T$4:$T$47,0)),""))))))))))</x:f>
      </x:c>
    </x:row>
    <x:row r="144">
      <x:c r="A144" s="432" t="str">
        <x:f>IF($J144&lt;&gt;"",REGEXREPLACE(TO_TEXT('_Supporto Listone'!A144),"(.)","$1"&amp;UNICHAR(822)),'_Supporto Listone'!A144)</x:f>
        <x:v>D</x:v>
      </x:c>
      <x:c r="B144" s="433" t="str">
        <x:f>IF($J144&lt;&gt;"",REGEXREPLACE(TO_TEXT('_Supporto Listone'!B144),"(.)","$1"&amp;UNICHAR(822)),'_Supporto Listone'!B144)</x:f>
        <x:v>Vitik</x:v>
      </x:c>
      <x:c r="C144" s="433" t="str">
        <x:f>IF($J144&lt;&gt;"",REGEXREPLACE(TO_TEXT('_Supporto Listone'!C144),"(.)","$1"&amp;UNICHAR(822)),'_Supporto Listone'!C144)</x:f>
        <x:v>Bologna</x:v>
      </x:c>
      <x:c r="D144" s="433" t="str">
        <x:f>IF($J144&lt;&gt;"",REGEXREPLACE(TO_TEXT('_Supporto Listone'!D144),"(.)","$1"&amp;UNICHAR(822)),'_Supporto Listone'!D144)</x:f>
        <x:v>Dc</x:v>
      </x:c>
      <x:c r="E144" s="433" t="str">
        <x:f>IF($J144&lt;&gt;"",REGEXREPLACE(TO_TEXT('_Supporto Listone'!E144),"(.)","$1"&amp;UNICHAR(822)),'_Supporto Listone'!E144)</x:f>
        <x:v>Riserva / rotazione</x:v>
      </x:c>
      <x:c r="F144" s="462" t="n">
        <x:f>IF($J144&lt;&gt;"",REGEXREPLACE(TO_TEXT('_Supporto Listone'!F144),"(.)","$1"&amp;UNICHAR(822)),'_Supporto Listone'!F144)</x:f>
        <x:v>5</x:v>
      </x:c>
      <x:c r="G144" s="462" t="n">
        <x:f>IF($J144&lt;&gt;"",REGEXREPLACE(TO_TEXT('_Supporto Listone'!G144),"(.)","$1"&amp;UNICHAR(822)),'_Supporto Listone'!G144)</x:f>
        <x:v>11</x:v>
      </x:c>
      <x:c r="H144" s="462" t="n">
        <x:f>IF($J144&lt;&gt;"",REGEXREPLACE(TO_TEXT('_Supporto Listone'!H144),"(.)","$1"&amp;UNICHAR(822)),'_Supporto Listone'!H144)</x:f>
        <x:v>6</x:v>
      </x:c>
      <x:c r="I144" s="434"/>
      <x:c r="J144" s="433" t="str">
        <x:f>IF(COUNTIF(Asta!$B$4:$B$47,'_Supporto Listone'!B144)&gt;0,"Simone",IF(COUNTIF(Asta!$D$4:$D$47,'_Supporto Listone'!B144)&gt;0,"Giacomo",IF(COUNTIF(Asta!$F$4:$F$47,'_Supporto Listone'!B144)&gt;0,"Niko",IF(COUNTIF(Asta!$H$4:$H$47,'_Supporto Listone'!B144)&gt;0,"Quici",IF(COUNTIF(Asta!$J$4:$J$47,'_Supporto Listone'!B144)&gt;0,"Fratello Quici",IF(COUNTIF(Asta!$L$4:$L$47,'_Supporto Listone'!B144)&gt;0,"Nicolò",IF(COUNTIF(Asta!$N$4:$N$47,'_Supporto Listone'!B144)&gt;0,"Vi",IF(COUNTIF(Asta!$P$4:$P$47,'_Supporto Listone'!B144)&gt;0,"Lore",IF(COUNTIF(Asta!$R$4:$R$47,'_Supporto Listone'!B144)&gt;0,"Robbo",IF(COUNTIF(Asta!$T$4:$T$47,'_Supporto Listone'!B144)&gt;0,"Ale",""))))))))))</x:f>
      </x:c>
      <x:c r="K144" s="493" t="str">
        <x:f>IF(COUNTIF(Asta!$B$4:$B$47,'_Supporto Listone'!B144)&gt;0,INDEX(Asta!$C$4:$C$47,MATCH('_Supporto Listone'!B144,Asta!$B$4:$B$47,0)),IF(COUNTIF(Asta!$D$4:$D$47,'_Supporto Listone'!B144)&gt;0,INDEX(Asta!$E$4:$E$47,MATCH('_Supporto Listone'!B144,Asta!$D$4:$D$47,0)),IF(COUNTIF(Asta!$F$4:$F$47,'_Supporto Listone'!B144)&gt;0,INDEX(Asta!$G$4:$G$47,MATCH('_Supporto Listone'!B144,Asta!$F$4:$F$47,0)),IF(COUNTIF(Asta!$H$4:$H$47,'_Supporto Listone'!B144)&gt;0,INDEX(Asta!$I$4:$I$47,MATCH('_Supporto Listone'!B144,Asta!$H$4:$H$47,0)),IF(COUNTIF(Asta!$J$4:$J$47,'_Supporto Listone'!B144)&gt;0,INDEX(Asta!$K$4:$K$47,MATCH('_Supporto Listone'!B144,Asta!$J$4:$J$47,0)),IF(COUNTIF(Asta!$L$4:$L$47,'_Supporto Listone'!B144)&gt;0,INDEX(Asta!$M$4:$M$47,MATCH('_Supporto Listone'!B144,Asta!$L$4:$L$47,0)),IF(COUNTIF(Asta!$N$4:$N$47,'_Supporto Listone'!B144)&gt;0,INDEX(Asta!$O$4:$O$47,MATCH('_Supporto Listone'!B144,Asta!$N$4:$N$47,0)),IF(COUNTIF(Asta!$P$4:$P$47,'_Supporto Listone'!B144)&gt;0,INDEX(Asta!$Q$4:$Q$47,MATCH('_Supporto Listone'!B144,Asta!$P$4:$P$47,0)),IF(COUNTIF(Asta!$R$4:$R$47,'_Supporto Listone'!B144)&gt;0,INDEX(Asta!$S$4:$S$47,MATCH('_Supporto Listone'!B144,Asta!$R$4:$R$47,0)),IF(COUNTIF(Asta!$T$4:$T$47,'_Supporto Listone'!B144)&gt;0,INDEX(Asta!$U$4:$U$47,MATCH('_Supporto Listone'!B144,Asta!$T$4:$T$47,0)),""))))))))))</x:f>
      </x:c>
    </x:row>
    <x:row r="145">
      <x:c r="A145" s="432" t="str">
        <x:f>IF($J145&lt;&gt;"",REGEXREPLACE(TO_TEXT('_Supporto Listone'!A145),"(.)","$1"&amp;UNICHAR(822)),'_Supporto Listone'!A145)</x:f>
        <x:v>D</x:v>
      </x:c>
      <x:c r="B145" s="433" t="str">
        <x:f>IF($J145&lt;&gt;"",REGEXREPLACE(TO_TEXT('_Supporto Listone'!B145),"(.)","$1"&amp;UNICHAR(822)),'_Supporto Listone'!B145)</x:f>
        <x:v>Kofler</x:v>
      </x:c>
      <x:c r="C145" s="433" t="str">
        <x:f>IF($J145&lt;&gt;"",REGEXREPLACE(TO_TEXT('_Supporto Listone'!C145),"(.)","$1"&amp;UNICHAR(822)),'_Supporto Listone'!C145)</x:f>
        <x:v>Cagliari</x:v>
      </x:c>
      <x:c r="D145" s="433" t="str">
        <x:f>IF($J145&lt;&gt;"",REGEXREPLACE(TO_TEXT('_Supporto Listone'!D145),"(.)","$1"&amp;UNICHAR(822)),'_Supporto Listone'!D145)</x:f>
        <x:v>Dc</x:v>
      </x:c>
      <x:c r="E145" s="433" t="str">
        <x:f>IF($J145&lt;&gt;"",REGEXREPLACE(TO_TEXT('_Supporto Listone'!E145),"(.)","$1"&amp;UNICHAR(822)),'_Supporto Listone'!E145)</x:f>
        <x:v>Riserva / rotazione</x:v>
      </x:c>
      <x:c r="F145" s="462" t="n">
        <x:f>IF($J145&lt;&gt;"",REGEXREPLACE(TO_TEXT('_Supporto Listone'!F145),"(.)","$1"&amp;UNICHAR(822)),'_Supporto Listone'!F145)</x:f>
        <x:v>5</x:v>
      </x:c>
      <x:c r="G145" s="462" t="n">
        <x:f>IF($J145&lt;&gt;"",REGEXREPLACE(TO_TEXT('_Supporto Listone'!G145),"(.)","$1"&amp;UNICHAR(822)),'_Supporto Listone'!G145)</x:f>
        <x:v>11</x:v>
      </x:c>
      <x:c r="H145" s="462" t="n">
        <x:f>IF($J145&lt;&gt;"",REGEXREPLACE(TO_TEXT('_Supporto Listone'!H145),"(.)","$1"&amp;UNICHAR(822)),'_Supporto Listone'!H145)</x:f>
        <x:v>6</x:v>
      </x:c>
      <x:c r="I145" s="434"/>
      <x:c r="J145" s="433" t="str">
        <x:f>IF(COUNTIF(Asta!$B$4:$B$47,'_Supporto Listone'!B145)&gt;0,"Simone",IF(COUNTIF(Asta!$D$4:$D$47,'_Supporto Listone'!B145)&gt;0,"Giacomo",IF(COUNTIF(Asta!$F$4:$F$47,'_Supporto Listone'!B145)&gt;0,"Niko",IF(COUNTIF(Asta!$H$4:$H$47,'_Supporto Listone'!B145)&gt;0,"Quici",IF(COUNTIF(Asta!$J$4:$J$47,'_Supporto Listone'!B145)&gt;0,"Fratello Quici",IF(COUNTIF(Asta!$L$4:$L$47,'_Supporto Listone'!B145)&gt;0,"Nicolò",IF(COUNTIF(Asta!$N$4:$N$47,'_Supporto Listone'!B145)&gt;0,"Vi",IF(COUNTIF(Asta!$P$4:$P$47,'_Supporto Listone'!B145)&gt;0,"Lore",IF(COUNTIF(Asta!$R$4:$R$47,'_Supporto Listone'!B145)&gt;0,"Robbo",IF(COUNTIF(Asta!$T$4:$T$47,'_Supporto Listone'!B145)&gt;0,"Ale",""))))))))))</x:f>
      </x:c>
      <x:c r="K145" s="493" t="str">
        <x:f>IF(COUNTIF(Asta!$B$4:$B$47,'_Supporto Listone'!B145)&gt;0,INDEX(Asta!$C$4:$C$47,MATCH('_Supporto Listone'!B145,Asta!$B$4:$B$47,0)),IF(COUNTIF(Asta!$D$4:$D$47,'_Supporto Listone'!B145)&gt;0,INDEX(Asta!$E$4:$E$47,MATCH('_Supporto Listone'!B145,Asta!$D$4:$D$47,0)),IF(COUNTIF(Asta!$F$4:$F$47,'_Supporto Listone'!B145)&gt;0,INDEX(Asta!$G$4:$G$47,MATCH('_Supporto Listone'!B145,Asta!$F$4:$F$47,0)),IF(COUNTIF(Asta!$H$4:$H$47,'_Supporto Listone'!B145)&gt;0,INDEX(Asta!$I$4:$I$47,MATCH('_Supporto Listone'!B145,Asta!$H$4:$H$47,0)),IF(COUNTIF(Asta!$J$4:$J$47,'_Supporto Listone'!B145)&gt;0,INDEX(Asta!$K$4:$K$47,MATCH('_Supporto Listone'!B145,Asta!$J$4:$J$47,0)),IF(COUNTIF(Asta!$L$4:$L$47,'_Supporto Listone'!B145)&gt;0,INDEX(Asta!$M$4:$M$47,MATCH('_Supporto Listone'!B145,Asta!$L$4:$L$47,0)),IF(COUNTIF(Asta!$N$4:$N$47,'_Supporto Listone'!B145)&gt;0,INDEX(Asta!$O$4:$O$47,MATCH('_Supporto Listone'!B145,Asta!$N$4:$N$47,0)),IF(COUNTIF(Asta!$P$4:$P$47,'_Supporto Listone'!B145)&gt;0,INDEX(Asta!$Q$4:$Q$47,MATCH('_Supporto Listone'!B145,Asta!$P$4:$P$47,0)),IF(COUNTIF(Asta!$R$4:$R$47,'_Supporto Listone'!B145)&gt;0,INDEX(Asta!$S$4:$S$47,MATCH('_Supporto Listone'!B145,Asta!$R$4:$R$47,0)),IF(COUNTIF(Asta!$T$4:$T$47,'_Supporto Listone'!B145)&gt;0,INDEX(Asta!$U$4:$U$47,MATCH('_Supporto Listone'!B145,Asta!$T$4:$T$47,0)),""))))))))))</x:f>
      </x:c>
    </x:row>
    <x:row r="146">
      <x:c r="A146" s="432" t="str">
        <x:f>IF($J146&lt;&gt;"",REGEXREPLACE(TO_TEXT('_Supporto Listone'!A146),"(.)","$1"&amp;UNICHAR(822)),'_Supporto Listone'!A146)</x:f>
        <x:v>D</x:v>
      </x:c>
      <x:c r="B146" s="433" t="str">
        <x:f>IF($J146&lt;&gt;"",REGEXREPLACE(TO_TEXT('_Supporto Listone'!B146),"(.)","$1"&amp;UNICHAR(822)),'_Supporto Listone'!B146)</x:f>
        <x:v>Zè Pedro</x:v>
      </x:c>
      <x:c r="C146" s="433" t="str">
        <x:f>IF($J146&lt;&gt;"",REGEXREPLACE(TO_TEXT('_Supporto Listone'!C146),"(.)","$1"&amp;UNICHAR(822)),'_Supporto Listone'!C146)</x:f>
        <x:v>Cagliari</x:v>
      </x:c>
      <x:c r="D146" s="433" t="str">
        <x:f>IF($J146&lt;&gt;"",REGEXREPLACE(TO_TEXT('_Supporto Listone'!D146),"(.)","$1"&amp;UNICHAR(822)),'_Supporto Listone'!D146)</x:f>
        <x:v>Dd;Dc</x:v>
      </x:c>
      <x:c r="E146" s="433" t="str">
        <x:f>IF($J146&lt;&gt;"",REGEXREPLACE(TO_TEXT('_Supporto Listone'!E146),"(.)","$1"&amp;UNICHAR(822)),'_Supporto Listone'!E146)</x:f>
        <x:v>Titolare / ballottaggio</x:v>
      </x:c>
      <x:c r="F146" s="462" t="n">
        <x:f>IF($J146&lt;&gt;"",REGEXREPLACE(TO_TEXT('_Supporto Listone'!F146),"(.)","$1"&amp;UNICHAR(822)),'_Supporto Listone'!F146)</x:f>
        <x:v>5</x:v>
      </x:c>
      <x:c r="G146" s="462" t="n">
        <x:f>IF($J146&lt;&gt;"",REGEXREPLACE(TO_TEXT('_Supporto Listone'!G146),"(.)","$1"&amp;UNICHAR(822)),'_Supporto Listone'!G146)</x:f>
        <x:v>11</x:v>
      </x:c>
      <x:c r="H146" s="462" t="n">
        <x:f>IF($J146&lt;&gt;"",REGEXREPLACE(TO_TEXT('_Supporto Listone'!H146),"(.)","$1"&amp;UNICHAR(822)),'_Supporto Listone'!H146)</x:f>
        <x:v>6</x:v>
      </x:c>
      <x:c r="I146" s="434"/>
      <x:c r="J146" s="433" t="str">
        <x:f>IF(COUNTIF(Asta!$B$4:$B$47,'_Supporto Listone'!B146)&gt;0,"Simone",IF(COUNTIF(Asta!$D$4:$D$47,'_Supporto Listone'!B146)&gt;0,"Giacomo",IF(COUNTIF(Asta!$F$4:$F$47,'_Supporto Listone'!B146)&gt;0,"Niko",IF(COUNTIF(Asta!$H$4:$H$47,'_Supporto Listone'!B146)&gt;0,"Quici",IF(COUNTIF(Asta!$J$4:$J$47,'_Supporto Listone'!B146)&gt;0,"Fratello Quici",IF(COUNTIF(Asta!$L$4:$L$47,'_Supporto Listone'!B146)&gt;0,"Nicolò",IF(COUNTIF(Asta!$N$4:$N$47,'_Supporto Listone'!B146)&gt;0,"Vi",IF(COUNTIF(Asta!$P$4:$P$47,'_Supporto Listone'!B146)&gt;0,"Lore",IF(COUNTIF(Asta!$R$4:$R$47,'_Supporto Listone'!B146)&gt;0,"Robbo",IF(COUNTIF(Asta!$T$4:$T$47,'_Supporto Listone'!B146)&gt;0,"Ale",""))))))))))</x:f>
      </x:c>
      <x:c r="K146" s="493" t="str">
        <x:f>IF(COUNTIF(Asta!$B$4:$B$47,'_Supporto Listone'!B146)&gt;0,INDEX(Asta!$C$4:$C$47,MATCH('_Supporto Listone'!B146,Asta!$B$4:$B$47,0)),IF(COUNTIF(Asta!$D$4:$D$47,'_Supporto Listone'!B146)&gt;0,INDEX(Asta!$E$4:$E$47,MATCH('_Supporto Listone'!B146,Asta!$D$4:$D$47,0)),IF(COUNTIF(Asta!$F$4:$F$47,'_Supporto Listone'!B146)&gt;0,INDEX(Asta!$G$4:$G$47,MATCH('_Supporto Listone'!B146,Asta!$F$4:$F$47,0)),IF(COUNTIF(Asta!$H$4:$H$47,'_Supporto Listone'!B146)&gt;0,INDEX(Asta!$I$4:$I$47,MATCH('_Supporto Listone'!B146,Asta!$H$4:$H$47,0)),IF(COUNTIF(Asta!$J$4:$J$47,'_Supporto Listone'!B146)&gt;0,INDEX(Asta!$K$4:$K$47,MATCH('_Supporto Listone'!B146,Asta!$J$4:$J$47,0)),IF(COUNTIF(Asta!$L$4:$L$47,'_Supporto Listone'!B146)&gt;0,INDEX(Asta!$M$4:$M$47,MATCH('_Supporto Listone'!B146,Asta!$L$4:$L$47,0)),IF(COUNTIF(Asta!$N$4:$N$47,'_Supporto Listone'!B146)&gt;0,INDEX(Asta!$O$4:$O$47,MATCH('_Supporto Listone'!B146,Asta!$N$4:$N$47,0)),IF(COUNTIF(Asta!$P$4:$P$47,'_Supporto Listone'!B146)&gt;0,INDEX(Asta!$Q$4:$Q$47,MATCH('_Supporto Listone'!B146,Asta!$P$4:$P$47,0)),IF(COUNTIF(Asta!$R$4:$R$47,'_Supporto Listone'!B146)&gt;0,INDEX(Asta!$S$4:$S$47,MATCH('_Supporto Listone'!B146,Asta!$R$4:$R$47,0)),IF(COUNTIF(Asta!$T$4:$T$47,'_Supporto Listone'!B146)&gt;0,INDEX(Asta!$U$4:$U$47,MATCH('_Supporto Listone'!B146,Asta!$T$4:$T$47,0)),""))))))))))</x:f>
      </x:c>
    </x:row>
    <x:row r="147">
      <x:c r="A147" s="432" t="str">
        <x:f>IF($J147&lt;&gt;"",REGEXREPLACE(TO_TEXT('_Supporto Listone'!A147),"(.)","$1"&amp;UNICHAR(822)),'_Supporto Listone'!A147)</x:f>
        <x:v>D</x:v>
      </x:c>
      <x:c r="B147" s="433" t="str">
        <x:f>IF($J147&lt;&gt;"",REGEXREPLACE(TO_TEXT('_Supporto Listone'!B147),"(.)","$1"&amp;UNICHAR(822)),'_Supporto Listone'!B147)</x:f>
        <x:v>Kempf</x:v>
      </x:c>
      <x:c r="C147" s="433" t="str">
        <x:f>IF($J147&lt;&gt;"",REGEXREPLACE(TO_TEXT('_Supporto Listone'!C147),"(.)","$1"&amp;UNICHAR(822)),'_Supporto Listone'!C147)</x:f>
        <x:v>Como</x:v>
      </x:c>
      <x:c r="D147" s="433" t="str">
        <x:f>IF($J147&lt;&gt;"",REGEXREPLACE(TO_TEXT('_Supporto Listone'!D147),"(.)","$1"&amp;UNICHAR(822)),'_Supporto Listone'!D147)</x:f>
        <x:v>Dc</x:v>
      </x:c>
      <x:c r="E147" s="433" t="str">
        <x:f>IF($J147&lt;&gt;"",REGEXREPLACE(TO_TEXT('_Supporto Listone'!E147),"(.)","$1"&amp;UNICHAR(822)),'_Supporto Listone'!E147)</x:f>
        <x:v>Riserva / rotazione</x:v>
      </x:c>
      <x:c r="F147" s="462" t="n">
        <x:f>IF($J147&lt;&gt;"",REGEXREPLACE(TO_TEXT('_Supporto Listone'!F147),"(.)","$1"&amp;UNICHAR(822)),'_Supporto Listone'!F147)</x:f>
        <x:v>5</x:v>
      </x:c>
      <x:c r="G147" s="462" t="n">
        <x:f>IF($J147&lt;&gt;"",REGEXREPLACE(TO_TEXT('_Supporto Listone'!G147),"(.)","$1"&amp;UNICHAR(822)),'_Supporto Listone'!G147)</x:f>
        <x:v>13</x:v>
      </x:c>
      <x:c r="H147" s="462" t="n">
        <x:f>IF($J147&lt;&gt;"",REGEXREPLACE(TO_TEXT('_Supporto Listone'!H147),"(.)","$1"&amp;UNICHAR(822)),'_Supporto Listone'!H147)</x:f>
        <x:v>7</x:v>
      </x:c>
      <x:c r="I147" s="434"/>
      <x:c r="J147" s="433" t="str">
        <x:f>IF(COUNTIF(Asta!$B$4:$B$47,'_Supporto Listone'!B147)&gt;0,"Simone",IF(COUNTIF(Asta!$D$4:$D$47,'_Supporto Listone'!B147)&gt;0,"Giacomo",IF(COUNTIF(Asta!$F$4:$F$47,'_Supporto Listone'!B147)&gt;0,"Niko",IF(COUNTIF(Asta!$H$4:$H$47,'_Supporto Listone'!B147)&gt;0,"Quici",IF(COUNTIF(Asta!$J$4:$J$47,'_Supporto Listone'!B147)&gt;0,"Fratello Quici",IF(COUNTIF(Asta!$L$4:$L$47,'_Supporto Listone'!B147)&gt;0,"Nicolò",IF(COUNTIF(Asta!$N$4:$N$47,'_Supporto Listone'!B147)&gt;0,"Vi",IF(COUNTIF(Asta!$P$4:$P$47,'_Supporto Listone'!B147)&gt;0,"Lore",IF(COUNTIF(Asta!$R$4:$R$47,'_Supporto Listone'!B147)&gt;0,"Robbo",IF(COUNTIF(Asta!$T$4:$T$47,'_Supporto Listone'!B147)&gt;0,"Ale",""))))))))))</x:f>
      </x:c>
      <x:c r="K147" s="493" t="str">
        <x:f>IF(COUNTIF(Asta!$B$4:$B$47,'_Supporto Listone'!B147)&gt;0,INDEX(Asta!$C$4:$C$47,MATCH('_Supporto Listone'!B147,Asta!$B$4:$B$47,0)),IF(COUNTIF(Asta!$D$4:$D$47,'_Supporto Listone'!B147)&gt;0,INDEX(Asta!$E$4:$E$47,MATCH('_Supporto Listone'!B147,Asta!$D$4:$D$47,0)),IF(COUNTIF(Asta!$F$4:$F$47,'_Supporto Listone'!B147)&gt;0,INDEX(Asta!$G$4:$G$47,MATCH('_Supporto Listone'!B147,Asta!$F$4:$F$47,0)),IF(COUNTIF(Asta!$H$4:$H$47,'_Supporto Listone'!B147)&gt;0,INDEX(Asta!$I$4:$I$47,MATCH('_Supporto Listone'!B147,Asta!$H$4:$H$47,0)),IF(COUNTIF(Asta!$J$4:$J$47,'_Supporto Listone'!B147)&gt;0,INDEX(Asta!$K$4:$K$47,MATCH('_Supporto Listone'!B147,Asta!$J$4:$J$47,0)),IF(COUNTIF(Asta!$L$4:$L$47,'_Supporto Listone'!B147)&gt;0,INDEX(Asta!$M$4:$M$47,MATCH('_Supporto Listone'!B147,Asta!$L$4:$L$47,0)),IF(COUNTIF(Asta!$N$4:$N$47,'_Supporto Listone'!B147)&gt;0,INDEX(Asta!$O$4:$O$47,MATCH('_Supporto Listone'!B147,Asta!$N$4:$N$47,0)),IF(COUNTIF(Asta!$P$4:$P$47,'_Supporto Listone'!B147)&gt;0,INDEX(Asta!$Q$4:$Q$47,MATCH('_Supporto Listone'!B147,Asta!$P$4:$P$47,0)),IF(COUNTIF(Asta!$R$4:$R$47,'_Supporto Listone'!B147)&gt;0,INDEX(Asta!$S$4:$S$47,MATCH('_Supporto Listone'!B147,Asta!$R$4:$R$47,0)),IF(COUNTIF(Asta!$T$4:$T$47,'_Supporto Listone'!B147)&gt;0,INDEX(Asta!$U$4:$U$47,MATCH('_Supporto Listone'!B147,Asta!$T$4:$T$47,0)),""))))))))))</x:f>
      </x:c>
    </x:row>
    <x:row r="148">
      <x:c r="A148" s="432" t="str">
        <x:f>IF($J148&lt;&gt;"",REGEXREPLACE(TO_TEXT('_Supporto Listone'!A148),"(.)","$1"&amp;UNICHAR(822)),'_Supporto Listone'!A148)</x:f>
        <x:v>D</x:v>
      </x:c>
      <x:c r="B148" s="433" t="str">
        <x:f>IF($J148&lt;&gt;"",REGEXREPLACE(TO_TEXT('_Supporto Listone'!B148),"(.)","$1"&amp;UNICHAR(822)),'_Supporto Listone'!B148)</x:f>
        <x:v>Parisi</x:v>
      </x:c>
      <x:c r="C148" s="433" t="str">
        <x:f>IF($J148&lt;&gt;"",REGEXREPLACE(TO_TEXT('_Supporto Listone'!C148),"(.)","$1"&amp;UNICHAR(822)),'_Supporto Listone'!C148)</x:f>
        <x:v>Fiorentina</x:v>
      </x:c>
      <x:c r="D148" s="433" t="str">
        <x:f>IF($J148&lt;&gt;"",REGEXREPLACE(TO_TEXT('_Supporto Listone'!D148),"(.)","$1"&amp;UNICHAR(822)),'_Supporto Listone'!D148)</x:f>
        <x:v>Ds;E</x:v>
      </x:c>
      <x:c r="E148" s="433" t="str">
        <x:f>IF($J148&lt;&gt;"",REGEXREPLACE(TO_TEXT('_Supporto Listone'!E148),"(.)","$1"&amp;UNICHAR(822)),'_Supporto Listone'!E148)</x:f>
        <x:v>Riserva / rotazione</x:v>
      </x:c>
      <x:c r="F148" s="462" t="n">
        <x:f>IF($J148&lt;&gt;"",REGEXREPLACE(TO_TEXT('_Supporto Listone'!F148),"(.)","$1"&amp;UNICHAR(822)),'_Supporto Listone'!F148)</x:f>
        <x:v>5</x:v>
      </x:c>
      <x:c r="G148" s="462" t="n">
        <x:f>IF($J148&lt;&gt;"",REGEXREPLACE(TO_TEXT('_Supporto Listone'!G148),"(.)","$1"&amp;UNICHAR(822)),'_Supporto Listone'!G148)</x:f>
        <x:v>12</x:v>
      </x:c>
      <x:c r="H148" s="462" t="n">
        <x:f>IF($J148&lt;&gt;"",REGEXREPLACE(TO_TEXT('_Supporto Listone'!H148),"(.)","$1"&amp;UNICHAR(822)),'_Supporto Listone'!H148)</x:f>
        <x:v>6</x:v>
      </x:c>
      <x:c r="I148" s="434"/>
      <x:c r="J148" s="433" t="str">
        <x:f>IF(COUNTIF(Asta!$B$4:$B$47,'_Supporto Listone'!B148)&gt;0,"Simone",IF(COUNTIF(Asta!$D$4:$D$47,'_Supporto Listone'!B148)&gt;0,"Giacomo",IF(COUNTIF(Asta!$F$4:$F$47,'_Supporto Listone'!B148)&gt;0,"Niko",IF(COUNTIF(Asta!$H$4:$H$47,'_Supporto Listone'!B148)&gt;0,"Quici",IF(COUNTIF(Asta!$J$4:$J$47,'_Supporto Listone'!B148)&gt;0,"Fratello Quici",IF(COUNTIF(Asta!$L$4:$L$47,'_Supporto Listone'!B148)&gt;0,"Nicolò",IF(COUNTIF(Asta!$N$4:$N$47,'_Supporto Listone'!B148)&gt;0,"Vi",IF(COUNTIF(Asta!$P$4:$P$47,'_Supporto Listone'!B148)&gt;0,"Lore",IF(COUNTIF(Asta!$R$4:$R$47,'_Supporto Listone'!B148)&gt;0,"Robbo",IF(COUNTIF(Asta!$T$4:$T$47,'_Supporto Listone'!B148)&gt;0,"Ale",""))))))))))</x:f>
      </x:c>
      <x:c r="K148" s="493" t="str">
        <x:f>IF(COUNTIF(Asta!$B$4:$B$47,'_Supporto Listone'!B148)&gt;0,INDEX(Asta!$C$4:$C$47,MATCH('_Supporto Listone'!B148,Asta!$B$4:$B$47,0)),IF(COUNTIF(Asta!$D$4:$D$47,'_Supporto Listone'!B148)&gt;0,INDEX(Asta!$E$4:$E$47,MATCH('_Supporto Listone'!B148,Asta!$D$4:$D$47,0)),IF(COUNTIF(Asta!$F$4:$F$47,'_Supporto Listone'!B148)&gt;0,INDEX(Asta!$G$4:$G$47,MATCH('_Supporto Listone'!B148,Asta!$F$4:$F$47,0)),IF(COUNTIF(Asta!$H$4:$H$47,'_Supporto Listone'!B148)&gt;0,INDEX(Asta!$I$4:$I$47,MATCH('_Supporto Listone'!B148,Asta!$H$4:$H$47,0)),IF(COUNTIF(Asta!$J$4:$J$47,'_Supporto Listone'!B148)&gt;0,INDEX(Asta!$K$4:$K$47,MATCH('_Supporto Listone'!B148,Asta!$J$4:$J$47,0)),IF(COUNTIF(Asta!$L$4:$L$47,'_Supporto Listone'!B148)&gt;0,INDEX(Asta!$M$4:$M$47,MATCH('_Supporto Listone'!B148,Asta!$L$4:$L$47,0)),IF(COUNTIF(Asta!$N$4:$N$47,'_Supporto Listone'!B148)&gt;0,INDEX(Asta!$O$4:$O$47,MATCH('_Supporto Listone'!B148,Asta!$N$4:$N$47,0)),IF(COUNTIF(Asta!$P$4:$P$47,'_Supporto Listone'!B148)&gt;0,INDEX(Asta!$Q$4:$Q$47,MATCH('_Supporto Listone'!B148,Asta!$P$4:$P$47,0)),IF(COUNTIF(Asta!$R$4:$R$47,'_Supporto Listone'!B148)&gt;0,INDEX(Asta!$S$4:$S$47,MATCH('_Supporto Listone'!B148,Asta!$R$4:$R$47,0)),IF(COUNTIF(Asta!$T$4:$T$47,'_Supporto Listone'!B148)&gt;0,INDEX(Asta!$U$4:$U$47,MATCH('_Supporto Listone'!B148,Asta!$T$4:$T$47,0)),""))))))))))</x:f>
      </x:c>
    </x:row>
    <x:row r="149">
      <x:c r="A149" s="432" t="str">
        <x:f>IF($J149&lt;&gt;"",REGEXREPLACE(TO_TEXT('_Supporto Listone'!A149),"(.)","$1"&amp;UNICHAR(822)),'_Supporto Listone'!A149)</x:f>
        <x:v>D</x:v>
      </x:c>
      <x:c r="B149" s="433" t="str">
        <x:f>IF($J149&lt;&gt;"",REGEXREPLACE(TO_TEXT('_Supporto Listone'!B149),"(.)","$1"&amp;UNICHAR(822)),'_Supporto Listone'!B149)</x:f>
        <x:v>Bracaglia</x:v>
      </x:c>
      <x:c r="C149" s="433" t="str">
        <x:f>IF($J149&lt;&gt;"",REGEXREPLACE(TO_TEXT('_Supporto Listone'!C149),"(.)","$1"&amp;UNICHAR(822)),'_Supporto Listone'!C149)</x:f>
        <x:v>Frosinone</x:v>
      </x:c>
      <x:c r="D149" s="433" t="str">
        <x:f>IF($J149&lt;&gt;"",REGEXREPLACE(TO_TEXT('_Supporto Listone'!D149),"(.)","$1"&amp;UNICHAR(822)),'_Supporto Listone'!D149)</x:f>
        <x:v>Ds;Dc</x:v>
      </x:c>
      <x:c r="E149" s="433" t="str">
        <x:f>IF($J149&lt;&gt;"",REGEXREPLACE(TO_TEXT('_Supporto Listone'!E149),"(.)","$1"&amp;UNICHAR(822)),'_Supporto Listone'!E149)</x:f>
        <x:v>Titolare / ballottaggio</x:v>
      </x:c>
      <x:c r="F149" s="462" t="n">
        <x:f>IF($J149&lt;&gt;"",REGEXREPLACE(TO_TEXT('_Supporto Listone'!F149),"(.)","$1"&amp;UNICHAR(822)),'_Supporto Listone'!F149)</x:f>
        <x:v>5</x:v>
      </x:c>
      <x:c r="G149" s="462" t="n">
        <x:f>IF($J149&lt;&gt;"",REGEXREPLACE(TO_TEXT('_Supporto Listone'!G149),"(.)","$1"&amp;UNICHAR(822)),'_Supporto Listone'!G149)</x:f>
        <x:v>11</x:v>
      </x:c>
      <x:c r="H149" s="462" t="n">
        <x:f>IF($J149&lt;&gt;"",REGEXREPLACE(TO_TEXT('_Supporto Listone'!H149),"(.)","$1"&amp;UNICHAR(822)),'_Supporto Listone'!H149)</x:f>
        <x:v>6</x:v>
      </x:c>
      <x:c r="I149" s="434"/>
      <x:c r="J149" s="433" t="str">
        <x:f>IF(COUNTIF(Asta!$B$4:$B$47,'_Supporto Listone'!B149)&gt;0,"Simone",IF(COUNTIF(Asta!$D$4:$D$47,'_Supporto Listone'!B149)&gt;0,"Giacomo",IF(COUNTIF(Asta!$F$4:$F$47,'_Supporto Listone'!B149)&gt;0,"Niko",IF(COUNTIF(Asta!$H$4:$H$47,'_Supporto Listone'!B149)&gt;0,"Quici",IF(COUNTIF(Asta!$J$4:$J$47,'_Supporto Listone'!B149)&gt;0,"Fratello Quici",IF(COUNTIF(Asta!$L$4:$L$47,'_Supporto Listone'!B149)&gt;0,"Nicolò",IF(COUNTIF(Asta!$N$4:$N$47,'_Supporto Listone'!B149)&gt;0,"Vi",IF(COUNTIF(Asta!$P$4:$P$47,'_Supporto Listone'!B149)&gt;0,"Lore",IF(COUNTIF(Asta!$R$4:$R$47,'_Supporto Listone'!B149)&gt;0,"Robbo",IF(COUNTIF(Asta!$T$4:$T$47,'_Supporto Listone'!B149)&gt;0,"Ale",""))))))))))</x:f>
      </x:c>
      <x:c r="K149" s="493" t="str">
        <x:f>IF(COUNTIF(Asta!$B$4:$B$47,'_Supporto Listone'!B149)&gt;0,INDEX(Asta!$C$4:$C$47,MATCH('_Supporto Listone'!B149,Asta!$B$4:$B$47,0)),IF(COUNTIF(Asta!$D$4:$D$47,'_Supporto Listone'!B149)&gt;0,INDEX(Asta!$E$4:$E$47,MATCH('_Supporto Listone'!B149,Asta!$D$4:$D$47,0)),IF(COUNTIF(Asta!$F$4:$F$47,'_Supporto Listone'!B149)&gt;0,INDEX(Asta!$G$4:$G$47,MATCH('_Supporto Listone'!B149,Asta!$F$4:$F$47,0)),IF(COUNTIF(Asta!$H$4:$H$47,'_Supporto Listone'!B149)&gt;0,INDEX(Asta!$I$4:$I$47,MATCH('_Supporto Listone'!B149,Asta!$H$4:$H$47,0)),IF(COUNTIF(Asta!$J$4:$J$47,'_Supporto Listone'!B149)&gt;0,INDEX(Asta!$K$4:$K$47,MATCH('_Supporto Listone'!B149,Asta!$J$4:$J$47,0)),IF(COUNTIF(Asta!$L$4:$L$47,'_Supporto Listone'!B149)&gt;0,INDEX(Asta!$M$4:$M$47,MATCH('_Supporto Listone'!B149,Asta!$L$4:$L$47,0)),IF(COUNTIF(Asta!$N$4:$N$47,'_Supporto Listone'!B149)&gt;0,INDEX(Asta!$O$4:$O$47,MATCH('_Supporto Listone'!B149,Asta!$N$4:$N$47,0)),IF(COUNTIF(Asta!$P$4:$P$47,'_Supporto Listone'!B149)&gt;0,INDEX(Asta!$Q$4:$Q$47,MATCH('_Supporto Listone'!B149,Asta!$P$4:$P$47,0)),IF(COUNTIF(Asta!$R$4:$R$47,'_Supporto Listone'!B149)&gt;0,INDEX(Asta!$S$4:$S$47,MATCH('_Supporto Listone'!B149,Asta!$R$4:$R$47,0)),IF(COUNTIF(Asta!$T$4:$T$47,'_Supporto Listone'!B149)&gt;0,INDEX(Asta!$U$4:$U$47,MATCH('_Supporto Listone'!B149,Asta!$T$4:$T$47,0)),""))))))))))</x:f>
      </x:c>
    </x:row>
    <x:row r="150">
      <x:c r="A150" s="432" t="str">
        <x:f>IF($J150&lt;&gt;"",REGEXREPLACE(TO_TEXT('_Supporto Listone'!A150),"(.)","$1"&amp;UNICHAR(822)),'_Supporto Listone'!A150)</x:f>
        <x:v>D</x:v>
      </x:c>
      <x:c r="B150" s="433" t="str">
        <x:f>IF($J150&lt;&gt;"",REGEXREPLACE(TO_TEXT('_Supporto Listone'!B150),"(.)","$1"&amp;UNICHAR(822)),'_Supporto Listone'!B150)</x:f>
        <x:v>Oyono A.</x:v>
      </x:c>
      <x:c r="C150" s="433" t="str">
        <x:f>IF($J150&lt;&gt;"",REGEXREPLACE(TO_TEXT('_Supporto Listone'!C150),"(.)","$1"&amp;UNICHAR(822)),'_Supporto Listone'!C150)</x:f>
        <x:v>Frosinone</x:v>
      </x:c>
      <x:c r="D150" s="433" t="str">
        <x:f>IF($J150&lt;&gt;"",REGEXREPLACE(TO_TEXT('_Supporto Listone'!D150),"(.)","$1"&amp;UNICHAR(822)),'_Supporto Listone'!D150)</x:f>
        <x:v>Dd;E</x:v>
      </x:c>
      <x:c r="E150" s="433" t="str">
        <x:f>IF($J150&lt;&gt;"",REGEXREPLACE(TO_TEXT('_Supporto Listone'!E150),"(.)","$1"&amp;UNICHAR(822)),'_Supporto Listone'!E150)</x:f>
        <x:v>Ballottaggio</x:v>
      </x:c>
      <x:c r="F150" s="462" t="n">
        <x:f>IF($J150&lt;&gt;"",REGEXREPLACE(TO_TEXT('_Supporto Listone'!F150),"(.)","$1"&amp;UNICHAR(822)),'_Supporto Listone'!F150)</x:f>
        <x:v>5</x:v>
      </x:c>
      <x:c r="G150" s="462" t="n">
        <x:f>IF($J150&lt;&gt;"",REGEXREPLACE(TO_TEXT('_Supporto Listone'!G150),"(.)","$1"&amp;UNICHAR(822)),'_Supporto Listone'!G150)</x:f>
        <x:v>12</x:v>
      </x:c>
      <x:c r="H150" s="462" t="n">
        <x:f>IF($J150&lt;&gt;"",REGEXREPLACE(TO_TEXT('_Supporto Listone'!H150),"(.)","$1"&amp;UNICHAR(822)),'_Supporto Listone'!H150)</x:f>
        <x:v>6</x:v>
      </x:c>
      <x:c r="I150" s="434"/>
      <x:c r="J150" s="433" t="str">
        <x:f>IF(COUNTIF(Asta!$B$4:$B$47,'_Supporto Listone'!B150)&gt;0,"Simone",IF(COUNTIF(Asta!$D$4:$D$47,'_Supporto Listone'!B150)&gt;0,"Giacomo",IF(COUNTIF(Asta!$F$4:$F$47,'_Supporto Listone'!B150)&gt;0,"Niko",IF(COUNTIF(Asta!$H$4:$H$47,'_Supporto Listone'!B150)&gt;0,"Quici",IF(COUNTIF(Asta!$J$4:$J$47,'_Supporto Listone'!B150)&gt;0,"Fratello Quici",IF(COUNTIF(Asta!$L$4:$L$47,'_Supporto Listone'!B150)&gt;0,"Nicolò",IF(COUNTIF(Asta!$N$4:$N$47,'_Supporto Listone'!B150)&gt;0,"Vi",IF(COUNTIF(Asta!$P$4:$P$47,'_Supporto Listone'!B150)&gt;0,"Lore",IF(COUNTIF(Asta!$R$4:$R$47,'_Supporto Listone'!B150)&gt;0,"Robbo",IF(COUNTIF(Asta!$T$4:$T$47,'_Supporto Listone'!B150)&gt;0,"Ale",""))))))))))</x:f>
      </x:c>
      <x:c r="K150" s="493" t="str">
        <x:f>IF(COUNTIF(Asta!$B$4:$B$47,'_Supporto Listone'!B150)&gt;0,INDEX(Asta!$C$4:$C$47,MATCH('_Supporto Listone'!B150,Asta!$B$4:$B$47,0)),IF(COUNTIF(Asta!$D$4:$D$47,'_Supporto Listone'!B150)&gt;0,INDEX(Asta!$E$4:$E$47,MATCH('_Supporto Listone'!B150,Asta!$D$4:$D$47,0)),IF(COUNTIF(Asta!$F$4:$F$47,'_Supporto Listone'!B150)&gt;0,INDEX(Asta!$G$4:$G$47,MATCH('_Supporto Listone'!B150,Asta!$F$4:$F$47,0)),IF(COUNTIF(Asta!$H$4:$H$47,'_Supporto Listone'!B150)&gt;0,INDEX(Asta!$I$4:$I$47,MATCH('_Supporto Listone'!B150,Asta!$H$4:$H$47,0)),IF(COUNTIF(Asta!$J$4:$J$47,'_Supporto Listone'!B150)&gt;0,INDEX(Asta!$K$4:$K$47,MATCH('_Supporto Listone'!B150,Asta!$J$4:$J$47,0)),IF(COUNTIF(Asta!$L$4:$L$47,'_Supporto Listone'!B150)&gt;0,INDEX(Asta!$M$4:$M$47,MATCH('_Supporto Listone'!B150,Asta!$L$4:$L$47,0)),IF(COUNTIF(Asta!$N$4:$N$47,'_Supporto Listone'!B150)&gt;0,INDEX(Asta!$O$4:$O$47,MATCH('_Supporto Listone'!B150,Asta!$N$4:$N$47,0)),IF(COUNTIF(Asta!$P$4:$P$47,'_Supporto Listone'!B150)&gt;0,INDEX(Asta!$Q$4:$Q$47,MATCH('_Supporto Listone'!B150,Asta!$P$4:$P$47,0)),IF(COUNTIF(Asta!$R$4:$R$47,'_Supporto Listone'!B150)&gt;0,INDEX(Asta!$S$4:$S$47,MATCH('_Supporto Listone'!B150,Asta!$R$4:$R$47,0)),IF(COUNTIF(Asta!$T$4:$T$47,'_Supporto Listone'!B150)&gt;0,INDEX(Asta!$U$4:$U$47,MATCH('_Supporto Listone'!B150,Asta!$T$4:$T$47,0)),""))))))))))</x:f>
      </x:c>
    </x:row>
    <x:row r="151">
      <x:c r="A151" s="432" t="str">
        <x:f>IF($J151&lt;&gt;"",REGEXREPLACE(TO_TEXT('_Supporto Listone'!A151),"(.)","$1"&amp;UNICHAR(822)),'_Supporto Listone'!A151)</x:f>
        <x:v>D</x:v>
      </x:c>
      <x:c r="B151" s="433" t="str">
        <x:f>IF($J151&lt;&gt;"",REGEXREPLACE(TO_TEXT('_Supporto Listone'!B151),"(.)","$1"&amp;UNICHAR(822)),'_Supporto Listone'!B151)</x:f>
        <x:v>Martin</x:v>
      </x:c>
      <x:c r="C151" s="433" t="str">
        <x:f>IF($J151&lt;&gt;"",REGEXREPLACE(TO_TEXT('_Supporto Listone'!C151),"(.)","$1"&amp;UNICHAR(822)),'_Supporto Listone'!C151)</x:f>
        <x:v>Genoa</x:v>
      </x:c>
      <x:c r="D151" s="433" t="str">
        <x:f>IF($J151&lt;&gt;"",REGEXREPLACE(TO_TEXT('_Supporto Listone'!D151),"(.)","$1"&amp;UNICHAR(822)),'_Supporto Listone'!D151)</x:f>
        <x:v>Ds;E</x:v>
      </x:c>
      <x:c r="E151" s="433" t="str">
        <x:f>IF($J151&lt;&gt;"",REGEXREPLACE(TO_TEXT('_Supporto Listone'!E151),"(.)","$1"&amp;UNICHAR(822)),'_Supporto Listone'!E151)</x:f>
        <x:v>Riserva / rotazione</x:v>
      </x:c>
      <x:c r="F151" s="462" t="n">
        <x:f>IF($J151&lt;&gt;"",REGEXREPLACE(TO_TEXT('_Supporto Listone'!F151),"(.)","$1"&amp;UNICHAR(822)),'_Supporto Listone'!F151)</x:f>
        <x:v>5</x:v>
      </x:c>
      <x:c r="G151" s="462" t="n">
        <x:f>IF($J151&lt;&gt;"",REGEXREPLACE(TO_TEXT('_Supporto Listone'!G151),"(.)","$1"&amp;UNICHAR(822)),'_Supporto Listone'!G151)</x:f>
        <x:v>15</x:v>
      </x:c>
      <x:c r="H151" s="462" t="n">
        <x:f>IF($J151&lt;&gt;"",REGEXREPLACE(TO_TEXT('_Supporto Listone'!H151),"(.)","$1"&amp;UNICHAR(822)),'_Supporto Listone'!H151)</x:f>
        <x:v>8</x:v>
      </x:c>
      <x:c r="I151" s="434"/>
      <x:c r="J151" s="433" t="str">
        <x:f>IF(COUNTIF(Asta!$B$4:$B$47,'_Supporto Listone'!B151)&gt;0,"Simone",IF(COUNTIF(Asta!$D$4:$D$47,'_Supporto Listone'!B151)&gt;0,"Giacomo",IF(COUNTIF(Asta!$F$4:$F$47,'_Supporto Listone'!B151)&gt;0,"Niko",IF(COUNTIF(Asta!$H$4:$H$47,'_Supporto Listone'!B151)&gt;0,"Quici",IF(COUNTIF(Asta!$J$4:$J$47,'_Supporto Listone'!B151)&gt;0,"Fratello Quici",IF(COUNTIF(Asta!$L$4:$L$47,'_Supporto Listone'!B151)&gt;0,"Nicolò",IF(COUNTIF(Asta!$N$4:$N$47,'_Supporto Listone'!B151)&gt;0,"Vi",IF(COUNTIF(Asta!$P$4:$P$47,'_Supporto Listone'!B151)&gt;0,"Lore",IF(COUNTIF(Asta!$R$4:$R$47,'_Supporto Listone'!B151)&gt;0,"Robbo",IF(COUNTIF(Asta!$T$4:$T$47,'_Supporto Listone'!B151)&gt;0,"Ale",""))))))))))</x:f>
      </x:c>
      <x:c r="K151" s="493" t="str">
        <x:f>IF(COUNTIF(Asta!$B$4:$B$47,'_Supporto Listone'!B151)&gt;0,INDEX(Asta!$C$4:$C$47,MATCH('_Supporto Listone'!B151,Asta!$B$4:$B$47,0)),IF(COUNTIF(Asta!$D$4:$D$47,'_Supporto Listone'!B151)&gt;0,INDEX(Asta!$E$4:$E$47,MATCH('_Supporto Listone'!B151,Asta!$D$4:$D$47,0)),IF(COUNTIF(Asta!$F$4:$F$47,'_Supporto Listone'!B151)&gt;0,INDEX(Asta!$G$4:$G$47,MATCH('_Supporto Listone'!B151,Asta!$F$4:$F$47,0)),IF(COUNTIF(Asta!$H$4:$H$47,'_Supporto Listone'!B151)&gt;0,INDEX(Asta!$I$4:$I$47,MATCH('_Supporto Listone'!B151,Asta!$H$4:$H$47,0)),IF(COUNTIF(Asta!$J$4:$J$47,'_Supporto Listone'!B151)&gt;0,INDEX(Asta!$K$4:$K$47,MATCH('_Supporto Listone'!B151,Asta!$J$4:$J$47,0)),IF(COUNTIF(Asta!$L$4:$L$47,'_Supporto Listone'!B151)&gt;0,INDEX(Asta!$M$4:$M$47,MATCH('_Supporto Listone'!B151,Asta!$L$4:$L$47,0)),IF(COUNTIF(Asta!$N$4:$N$47,'_Supporto Listone'!B151)&gt;0,INDEX(Asta!$O$4:$O$47,MATCH('_Supporto Listone'!B151,Asta!$N$4:$N$47,0)),IF(COUNTIF(Asta!$P$4:$P$47,'_Supporto Listone'!B151)&gt;0,INDEX(Asta!$Q$4:$Q$47,MATCH('_Supporto Listone'!B151,Asta!$P$4:$P$47,0)),IF(COUNTIF(Asta!$R$4:$R$47,'_Supporto Listone'!B151)&gt;0,INDEX(Asta!$S$4:$S$47,MATCH('_Supporto Listone'!B151,Asta!$R$4:$R$47,0)),IF(COUNTIF(Asta!$T$4:$T$47,'_Supporto Listone'!B151)&gt;0,INDEX(Asta!$U$4:$U$47,MATCH('_Supporto Listone'!B151,Asta!$T$4:$T$47,0)),""))))))))))</x:f>
      </x:c>
    </x:row>
    <x:row r="152">
      <x:c r="A152" s="432" t="str">
        <x:f>IF($J152&lt;&gt;"",REGEXREPLACE(TO_TEXT('_Supporto Listone'!A152),"(.)","$1"&amp;UNICHAR(822)),'_Supporto Listone'!A152)</x:f>
        <x:v>D</x:v>
      </x:c>
      <x:c r="B152" s="433" t="str">
        <x:f>IF($J152&lt;&gt;"",REGEXREPLACE(TO_TEXT('_Supporto Listone'!B152),"(.)","$1"&amp;UNICHAR(822)),'_Supporto Listone'!B152)</x:f>
        <x:v>Kelly L.</x:v>
      </x:c>
      <x:c r="C152" s="433" t="str">
        <x:f>IF($J152&lt;&gt;"",REGEXREPLACE(TO_TEXT('_Supporto Listone'!C152),"(.)","$1"&amp;UNICHAR(822)),'_Supporto Listone'!C152)</x:f>
        <x:v>Juventus</x:v>
      </x:c>
      <x:c r="D152" s="433" t="str">
        <x:f>IF($J152&lt;&gt;"",REGEXREPLACE(TO_TEXT('_Supporto Listone'!D152),"(.)","$1"&amp;UNICHAR(822)),'_Supporto Listone'!D152)</x:f>
        <x:v>Ds;Dc</x:v>
      </x:c>
      <x:c r="E152" s="433" t="str">
        <x:f>IF($J152&lt;&gt;"",REGEXREPLACE(TO_TEXT('_Supporto Listone'!E152),"(.)","$1"&amp;UNICHAR(822)),'_Supporto Listone'!E152)</x:f>
        <x:v>Ballottaggio</x:v>
      </x:c>
      <x:c r="F152" s="462" t="n">
        <x:f>IF($J152&lt;&gt;"",REGEXREPLACE(TO_TEXT('_Supporto Listone'!F152),"(.)","$1"&amp;UNICHAR(822)),'_Supporto Listone'!F152)</x:f>
        <x:v>5</x:v>
      </x:c>
      <x:c r="G152" s="462" t="n">
        <x:f>IF($J152&lt;&gt;"",REGEXREPLACE(TO_TEXT('_Supporto Listone'!G152),"(.)","$1"&amp;UNICHAR(822)),'_Supporto Listone'!G152)</x:f>
        <x:v>13</x:v>
      </x:c>
      <x:c r="H152" s="462" t="n">
        <x:f>IF($J152&lt;&gt;"",REGEXREPLACE(TO_TEXT('_Supporto Listone'!H152),"(.)","$1"&amp;UNICHAR(822)),'_Supporto Listone'!H152)</x:f>
        <x:v>7</x:v>
      </x:c>
      <x:c r="I152" s="434"/>
      <x:c r="J152" s="433" t="str">
        <x:f>IF(COUNTIF(Asta!$B$4:$B$47,'_Supporto Listone'!B152)&gt;0,"Simone",IF(COUNTIF(Asta!$D$4:$D$47,'_Supporto Listone'!B152)&gt;0,"Giacomo",IF(COUNTIF(Asta!$F$4:$F$47,'_Supporto Listone'!B152)&gt;0,"Niko",IF(COUNTIF(Asta!$H$4:$H$47,'_Supporto Listone'!B152)&gt;0,"Quici",IF(COUNTIF(Asta!$J$4:$J$47,'_Supporto Listone'!B152)&gt;0,"Fratello Quici",IF(COUNTIF(Asta!$L$4:$L$47,'_Supporto Listone'!B152)&gt;0,"Nicolò",IF(COUNTIF(Asta!$N$4:$N$47,'_Supporto Listone'!B152)&gt;0,"Vi",IF(COUNTIF(Asta!$P$4:$P$47,'_Supporto Listone'!B152)&gt;0,"Lore",IF(COUNTIF(Asta!$R$4:$R$47,'_Supporto Listone'!B152)&gt;0,"Robbo",IF(COUNTIF(Asta!$T$4:$T$47,'_Supporto Listone'!B152)&gt;0,"Ale",""))))))))))</x:f>
      </x:c>
      <x:c r="K152" s="493" t="str">
        <x:f>IF(COUNTIF(Asta!$B$4:$B$47,'_Supporto Listone'!B152)&gt;0,INDEX(Asta!$C$4:$C$47,MATCH('_Supporto Listone'!B152,Asta!$B$4:$B$47,0)),IF(COUNTIF(Asta!$D$4:$D$47,'_Supporto Listone'!B152)&gt;0,INDEX(Asta!$E$4:$E$47,MATCH('_Supporto Listone'!B152,Asta!$D$4:$D$47,0)),IF(COUNTIF(Asta!$F$4:$F$47,'_Supporto Listone'!B152)&gt;0,INDEX(Asta!$G$4:$G$47,MATCH('_Supporto Listone'!B152,Asta!$F$4:$F$47,0)),IF(COUNTIF(Asta!$H$4:$H$47,'_Supporto Listone'!B152)&gt;0,INDEX(Asta!$I$4:$I$47,MATCH('_Supporto Listone'!B152,Asta!$H$4:$H$47,0)),IF(COUNTIF(Asta!$J$4:$J$47,'_Supporto Listone'!B152)&gt;0,INDEX(Asta!$K$4:$K$47,MATCH('_Supporto Listone'!B152,Asta!$J$4:$J$47,0)),IF(COUNTIF(Asta!$L$4:$L$47,'_Supporto Listone'!B152)&gt;0,INDEX(Asta!$M$4:$M$47,MATCH('_Supporto Listone'!B152,Asta!$L$4:$L$47,0)),IF(COUNTIF(Asta!$N$4:$N$47,'_Supporto Listone'!B152)&gt;0,INDEX(Asta!$O$4:$O$47,MATCH('_Supporto Listone'!B152,Asta!$N$4:$N$47,0)),IF(COUNTIF(Asta!$P$4:$P$47,'_Supporto Listone'!B152)&gt;0,INDEX(Asta!$Q$4:$Q$47,MATCH('_Supporto Listone'!B152,Asta!$P$4:$P$47,0)),IF(COUNTIF(Asta!$R$4:$R$47,'_Supporto Listone'!B152)&gt;0,INDEX(Asta!$S$4:$S$47,MATCH('_Supporto Listone'!B152,Asta!$R$4:$R$47,0)),IF(COUNTIF(Asta!$T$4:$T$47,'_Supporto Listone'!B152)&gt;0,INDEX(Asta!$U$4:$U$47,MATCH('_Supporto Listone'!B152,Asta!$T$4:$T$47,0)),""))))))))))</x:f>
      </x:c>
    </x:row>
    <x:row r="153">
      <x:c r="A153" s="432" t="str">
        <x:f>IF($J153&lt;&gt;"",REGEXREPLACE(TO_TEXT('_Supporto Listone'!A153),"(.)","$1"&amp;UNICHAR(822)),'_Supporto Listone'!A153)</x:f>
        <x:v>D</x:v>
      </x:c>
      <x:c r="B153" s="433" t="str">
        <x:f>IF($J153&lt;&gt;"",REGEXREPLACE(TO_TEXT('_Supporto Listone'!B153),"(.)","$1"&amp;UNICHAR(822)),'_Supporto Listone'!B153)</x:f>
        <x:v>Pedraza</x:v>
      </x:c>
      <x:c r="C153" s="433" t="str">
        <x:f>IF($J153&lt;&gt;"",REGEXREPLACE(TO_TEXT('_Supporto Listone'!C153),"(.)","$1"&amp;UNICHAR(822)),'_Supporto Listone'!C153)</x:f>
        <x:v>Lazio</x:v>
      </x:c>
      <x:c r="D153" s="433" t="str">
        <x:f>IF($J153&lt;&gt;"",REGEXREPLACE(TO_TEXT('_Supporto Listone'!D153),"(.)","$1"&amp;UNICHAR(822)),'_Supporto Listone'!D153)</x:f>
        <x:v>Ds;E</x:v>
      </x:c>
      <x:c r="E153" s="433" t="str">
        <x:f>IF($J153&lt;&gt;"",REGEXREPLACE(TO_TEXT('_Supporto Listone'!E153),"(.)","$1"&amp;UNICHAR(822)),'_Supporto Listone'!E153)</x:f>
        <x:v>Ballottaggio</x:v>
      </x:c>
      <x:c r="F153" s="462" t="n">
        <x:f>IF($J153&lt;&gt;"",REGEXREPLACE(TO_TEXT('_Supporto Listone'!F153),"(.)","$1"&amp;UNICHAR(822)),'_Supporto Listone'!F153)</x:f>
        <x:v>5</x:v>
      </x:c>
      <x:c r="G153" s="462" t="n">
        <x:f>IF($J153&lt;&gt;"",REGEXREPLACE(TO_TEXT('_Supporto Listone'!G153),"(.)","$1"&amp;UNICHAR(822)),'_Supporto Listone'!G153)</x:f>
        <x:v>15</x:v>
      </x:c>
      <x:c r="H153" s="462" t="n">
        <x:f>IF($J153&lt;&gt;"",REGEXREPLACE(TO_TEXT('_Supporto Listone'!H153),"(.)","$1"&amp;UNICHAR(822)),'_Supporto Listone'!H153)</x:f>
        <x:v>8</x:v>
      </x:c>
      <x:c r="I153" s="434"/>
      <x:c r="J153" s="433" t="str">
        <x:f>IF(COUNTIF(Asta!$B$4:$B$47,'_Supporto Listone'!B153)&gt;0,"Simone",IF(COUNTIF(Asta!$D$4:$D$47,'_Supporto Listone'!B153)&gt;0,"Giacomo",IF(COUNTIF(Asta!$F$4:$F$47,'_Supporto Listone'!B153)&gt;0,"Niko",IF(COUNTIF(Asta!$H$4:$H$47,'_Supporto Listone'!B153)&gt;0,"Quici",IF(COUNTIF(Asta!$J$4:$J$47,'_Supporto Listone'!B153)&gt;0,"Fratello Quici",IF(COUNTIF(Asta!$L$4:$L$47,'_Supporto Listone'!B153)&gt;0,"Nicolò",IF(COUNTIF(Asta!$N$4:$N$47,'_Supporto Listone'!B153)&gt;0,"Vi",IF(COUNTIF(Asta!$P$4:$P$47,'_Supporto Listone'!B153)&gt;0,"Lore",IF(COUNTIF(Asta!$R$4:$R$47,'_Supporto Listone'!B153)&gt;0,"Robbo",IF(COUNTIF(Asta!$T$4:$T$47,'_Supporto Listone'!B153)&gt;0,"Ale",""))))))))))</x:f>
      </x:c>
      <x:c r="K153" s="493" t="str">
        <x:f>IF(COUNTIF(Asta!$B$4:$B$47,'_Supporto Listone'!B153)&gt;0,INDEX(Asta!$C$4:$C$47,MATCH('_Supporto Listone'!B153,Asta!$B$4:$B$47,0)),IF(COUNTIF(Asta!$D$4:$D$47,'_Supporto Listone'!B153)&gt;0,INDEX(Asta!$E$4:$E$47,MATCH('_Supporto Listone'!B153,Asta!$D$4:$D$47,0)),IF(COUNTIF(Asta!$F$4:$F$47,'_Supporto Listone'!B153)&gt;0,INDEX(Asta!$G$4:$G$47,MATCH('_Supporto Listone'!B153,Asta!$F$4:$F$47,0)),IF(COUNTIF(Asta!$H$4:$H$47,'_Supporto Listone'!B153)&gt;0,INDEX(Asta!$I$4:$I$47,MATCH('_Supporto Listone'!B153,Asta!$H$4:$H$47,0)),IF(COUNTIF(Asta!$J$4:$J$47,'_Supporto Listone'!B153)&gt;0,INDEX(Asta!$K$4:$K$47,MATCH('_Supporto Listone'!B153,Asta!$J$4:$J$47,0)),IF(COUNTIF(Asta!$L$4:$L$47,'_Supporto Listone'!B153)&gt;0,INDEX(Asta!$M$4:$M$47,MATCH('_Supporto Listone'!B153,Asta!$L$4:$L$47,0)),IF(COUNTIF(Asta!$N$4:$N$47,'_Supporto Listone'!B153)&gt;0,INDEX(Asta!$O$4:$O$47,MATCH('_Supporto Listone'!B153,Asta!$N$4:$N$47,0)),IF(COUNTIF(Asta!$P$4:$P$47,'_Supporto Listone'!B153)&gt;0,INDEX(Asta!$Q$4:$Q$47,MATCH('_Supporto Listone'!B153,Asta!$P$4:$P$47,0)),IF(COUNTIF(Asta!$R$4:$R$47,'_Supporto Listone'!B153)&gt;0,INDEX(Asta!$S$4:$S$47,MATCH('_Supporto Listone'!B153,Asta!$R$4:$R$47,0)),IF(COUNTIF(Asta!$T$4:$T$47,'_Supporto Listone'!B153)&gt;0,INDEX(Asta!$U$4:$U$47,MATCH('_Supporto Listone'!B153,Asta!$T$4:$T$47,0)),""))))))))))</x:f>
      </x:c>
    </x:row>
    <x:row r="154">
      <x:c r="A154" s="432" t="str">
        <x:f>IF($J154&lt;&gt;"",REGEXREPLACE(TO_TEXT('_Supporto Listone'!A154),"(.)","$1"&amp;UNICHAR(822)),'_Supporto Listone'!A154)</x:f>
        <x:v>D</x:v>
      </x:c>
      <x:c r="B154" s="433" t="str">
        <x:f>IF($J154&lt;&gt;"",REGEXREPLACE(TO_TEXT('_Supporto Listone'!B154),"(.)","$1"&amp;UNICHAR(822)),'_Supporto Listone'!B154)</x:f>
        <x:v>Gaspar K.</x:v>
      </x:c>
      <x:c r="C154" s="433" t="str">
        <x:f>IF($J154&lt;&gt;"",REGEXREPLACE(TO_TEXT('_Supporto Listone'!C154),"(.)","$1"&amp;UNICHAR(822)),'_Supporto Listone'!C154)</x:f>
        <x:v>Lecce</x:v>
      </x:c>
      <x:c r="D154" s="433" t="str">
        <x:f>IF($J154&lt;&gt;"",REGEXREPLACE(TO_TEXT('_Supporto Listone'!D154),"(.)","$1"&amp;UNICHAR(822)),'_Supporto Listone'!D154)</x:f>
        <x:v>Dc</x:v>
      </x:c>
      <x:c r="E154" s="433" t="str">
        <x:f>IF($J154&lt;&gt;"",REGEXREPLACE(TO_TEXT('_Supporto Listone'!E154),"(.)","$1"&amp;UNICHAR(822)),'_Supporto Listone'!E154)</x:f>
        <x:v>Titolare</x:v>
      </x:c>
      <x:c r="F154" s="462" t="n">
        <x:f>IF($J154&lt;&gt;"",REGEXREPLACE(TO_TEXT('_Supporto Listone'!F154),"(.)","$1"&amp;UNICHAR(822)),'_Supporto Listone'!F154)</x:f>
        <x:v>5</x:v>
      </x:c>
      <x:c r="G154" s="462" t="n">
        <x:f>IF($J154&lt;&gt;"",REGEXREPLACE(TO_TEXT('_Supporto Listone'!G154),"(.)","$1"&amp;UNICHAR(822)),'_Supporto Listone'!G154)</x:f>
        <x:v>12</x:v>
      </x:c>
      <x:c r="H154" s="462" t="n">
        <x:f>IF($J154&lt;&gt;"",REGEXREPLACE(TO_TEXT('_Supporto Listone'!H154),"(.)","$1"&amp;UNICHAR(822)),'_Supporto Listone'!H154)</x:f>
        <x:v>6</x:v>
      </x:c>
      <x:c r="I154" s="434"/>
      <x:c r="J154" s="433" t="str">
        <x:f>IF(COUNTIF(Asta!$B$4:$B$47,'_Supporto Listone'!B154)&gt;0,"Simone",IF(COUNTIF(Asta!$D$4:$D$47,'_Supporto Listone'!B154)&gt;0,"Giacomo",IF(COUNTIF(Asta!$F$4:$F$47,'_Supporto Listone'!B154)&gt;0,"Niko",IF(COUNTIF(Asta!$H$4:$H$47,'_Supporto Listone'!B154)&gt;0,"Quici",IF(COUNTIF(Asta!$J$4:$J$47,'_Supporto Listone'!B154)&gt;0,"Fratello Quici",IF(COUNTIF(Asta!$L$4:$L$47,'_Supporto Listone'!B154)&gt;0,"Nicolò",IF(COUNTIF(Asta!$N$4:$N$47,'_Supporto Listone'!B154)&gt;0,"Vi",IF(COUNTIF(Asta!$P$4:$P$47,'_Supporto Listone'!B154)&gt;0,"Lore",IF(COUNTIF(Asta!$R$4:$R$47,'_Supporto Listone'!B154)&gt;0,"Robbo",IF(COUNTIF(Asta!$T$4:$T$47,'_Supporto Listone'!B154)&gt;0,"Ale",""))))))))))</x:f>
      </x:c>
      <x:c r="K154" s="493" t="str">
        <x:f>IF(COUNTIF(Asta!$B$4:$B$47,'_Supporto Listone'!B154)&gt;0,INDEX(Asta!$C$4:$C$47,MATCH('_Supporto Listone'!B154,Asta!$B$4:$B$47,0)),IF(COUNTIF(Asta!$D$4:$D$47,'_Supporto Listone'!B154)&gt;0,INDEX(Asta!$E$4:$E$47,MATCH('_Supporto Listone'!B154,Asta!$D$4:$D$47,0)),IF(COUNTIF(Asta!$F$4:$F$47,'_Supporto Listone'!B154)&gt;0,INDEX(Asta!$G$4:$G$47,MATCH('_Supporto Listone'!B154,Asta!$F$4:$F$47,0)),IF(COUNTIF(Asta!$H$4:$H$47,'_Supporto Listone'!B154)&gt;0,INDEX(Asta!$I$4:$I$47,MATCH('_Supporto Listone'!B154,Asta!$H$4:$H$47,0)),IF(COUNTIF(Asta!$J$4:$J$47,'_Supporto Listone'!B154)&gt;0,INDEX(Asta!$K$4:$K$47,MATCH('_Supporto Listone'!B154,Asta!$J$4:$J$47,0)),IF(COUNTIF(Asta!$L$4:$L$47,'_Supporto Listone'!B154)&gt;0,INDEX(Asta!$M$4:$M$47,MATCH('_Supporto Listone'!B154,Asta!$L$4:$L$47,0)),IF(COUNTIF(Asta!$N$4:$N$47,'_Supporto Listone'!B154)&gt;0,INDEX(Asta!$O$4:$O$47,MATCH('_Supporto Listone'!B154,Asta!$N$4:$N$47,0)),IF(COUNTIF(Asta!$P$4:$P$47,'_Supporto Listone'!B154)&gt;0,INDEX(Asta!$Q$4:$Q$47,MATCH('_Supporto Listone'!B154,Asta!$P$4:$P$47,0)),IF(COUNTIF(Asta!$R$4:$R$47,'_Supporto Listone'!B154)&gt;0,INDEX(Asta!$S$4:$S$47,MATCH('_Supporto Listone'!B154,Asta!$R$4:$R$47,0)),IF(COUNTIF(Asta!$T$4:$T$47,'_Supporto Listone'!B154)&gt;0,INDEX(Asta!$U$4:$U$47,MATCH('_Supporto Listone'!B154,Asta!$T$4:$T$47,0)),""))))))))))</x:f>
      </x:c>
    </x:row>
    <x:row r="155">
      <x:c r="A155" s="432" t="str">
        <x:f>IF($J155&lt;&gt;"",REGEXREPLACE(TO_TEXT('_Supporto Listone'!A155),"(.)","$1"&amp;UNICHAR(822)),'_Supporto Listone'!A155)</x:f>
        <x:v>D</x:v>
      </x:c>
      <x:c r="B155" s="433" t="str">
        <x:f>IF($J155&lt;&gt;"",REGEXREPLACE(TO_TEXT('_Supporto Listone'!B155),"(.)","$1"&amp;UNICHAR(822)),'_Supporto Listone'!B155)</x:f>
        <x:v>Veiga D.</x:v>
      </x:c>
      <x:c r="C155" s="433" t="str">
        <x:f>IF($J155&lt;&gt;"",REGEXREPLACE(TO_TEXT('_Supporto Listone'!C155),"(.)","$1"&amp;UNICHAR(822)),'_Supporto Listone'!C155)</x:f>
        <x:v>Lecce</x:v>
      </x:c>
      <x:c r="D155" s="433" t="str">
        <x:f>IF($J155&lt;&gt;"",REGEXREPLACE(TO_TEXT('_Supporto Listone'!D155),"(.)","$1"&amp;UNICHAR(822)),'_Supporto Listone'!D155)</x:f>
        <x:v>Dd;E</x:v>
      </x:c>
      <x:c r="E155" s="433" t="str">
        <x:f>IF($J155&lt;&gt;"",REGEXREPLACE(TO_TEXT('_Supporto Listone'!E155),"(.)","$1"&amp;UNICHAR(822)),'_Supporto Listone'!E155)</x:f>
        <x:v>Titolare</x:v>
      </x:c>
      <x:c r="F155" s="462" t="n">
        <x:f>IF($J155&lt;&gt;"",REGEXREPLACE(TO_TEXT('_Supporto Listone'!F155),"(.)","$1"&amp;UNICHAR(822)),'_Supporto Listone'!F155)</x:f>
        <x:v>5</x:v>
      </x:c>
      <x:c r="G155" s="462" t="n">
        <x:f>IF($J155&lt;&gt;"",REGEXREPLACE(TO_TEXT('_Supporto Listone'!G155),"(.)","$1"&amp;UNICHAR(822)),'_Supporto Listone'!G155)</x:f>
        <x:v>11</x:v>
      </x:c>
      <x:c r="H155" s="462" t="n">
        <x:f>IF($J155&lt;&gt;"",REGEXREPLACE(TO_TEXT('_Supporto Listone'!H155),"(.)","$1"&amp;UNICHAR(822)),'_Supporto Listone'!H155)</x:f>
        <x:v>6</x:v>
      </x:c>
      <x:c r="I155" s="434"/>
      <x:c r="J155" s="433" t="str">
        <x:f>IF(COUNTIF(Asta!$B$4:$B$47,'_Supporto Listone'!B155)&gt;0,"Simone",IF(COUNTIF(Asta!$D$4:$D$47,'_Supporto Listone'!B155)&gt;0,"Giacomo",IF(COUNTIF(Asta!$F$4:$F$47,'_Supporto Listone'!B155)&gt;0,"Niko",IF(COUNTIF(Asta!$H$4:$H$47,'_Supporto Listone'!B155)&gt;0,"Quici",IF(COUNTIF(Asta!$J$4:$J$47,'_Supporto Listone'!B155)&gt;0,"Fratello Quici",IF(COUNTIF(Asta!$L$4:$L$47,'_Supporto Listone'!B155)&gt;0,"Nicolò",IF(COUNTIF(Asta!$N$4:$N$47,'_Supporto Listone'!B155)&gt;0,"Vi",IF(COUNTIF(Asta!$P$4:$P$47,'_Supporto Listone'!B155)&gt;0,"Lore",IF(COUNTIF(Asta!$R$4:$R$47,'_Supporto Listone'!B155)&gt;0,"Robbo",IF(COUNTIF(Asta!$T$4:$T$47,'_Supporto Listone'!B155)&gt;0,"Ale",""))))))))))</x:f>
      </x:c>
      <x:c r="K155" s="493" t="str">
        <x:f>IF(COUNTIF(Asta!$B$4:$B$47,'_Supporto Listone'!B155)&gt;0,INDEX(Asta!$C$4:$C$47,MATCH('_Supporto Listone'!B155,Asta!$B$4:$B$47,0)),IF(COUNTIF(Asta!$D$4:$D$47,'_Supporto Listone'!B155)&gt;0,INDEX(Asta!$E$4:$E$47,MATCH('_Supporto Listone'!B155,Asta!$D$4:$D$47,0)),IF(COUNTIF(Asta!$F$4:$F$47,'_Supporto Listone'!B155)&gt;0,INDEX(Asta!$G$4:$G$47,MATCH('_Supporto Listone'!B155,Asta!$F$4:$F$47,0)),IF(COUNTIF(Asta!$H$4:$H$47,'_Supporto Listone'!B155)&gt;0,INDEX(Asta!$I$4:$I$47,MATCH('_Supporto Listone'!B155,Asta!$H$4:$H$47,0)),IF(COUNTIF(Asta!$J$4:$J$47,'_Supporto Listone'!B155)&gt;0,INDEX(Asta!$K$4:$K$47,MATCH('_Supporto Listone'!B155,Asta!$J$4:$J$47,0)),IF(COUNTIF(Asta!$L$4:$L$47,'_Supporto Listone'!B155)&gt;0,INDEX(Asta!$M$4:$M$47,MATCH('_Supporto Listone'!B155,Asta!$L$4:$L$47,0)),IF(COUNTIF(Asta!$N$4:$N$47,'_Supporto Listone'!B155)&gt;0,INDEX(Asta!$O$4:$O$47,MATCH('_Supporto Listone'!B155,Asta!$N$4:$N$47,0)),IF(COUNTIF(Asta!$P$4:$P$47,'_Supporto Listone'!B155)&gt;0,INDEX(Asta!$Q$4:$Q$47,MATCH('_Supporto Listone'!B155,Asta!$P$4:$P$47,0)),IF(COUNTIF(Asta!$R$4:$R$47,'_Supporto Listone'!B155)&gt;0,INDEX(Asta!$S$4:$S$47,MATCH('_Supporto Listone'!B155,Asta!$R$4:$R$47,0)),IF(COUNTIF(Asta!$T$4:$T$47,'_Supporto Listone'!B155)&gt;0,INDEX(Asta!$U$4:$U$47,MATCH('_Supporto Listone'!B155,Asta!$T$4:$T$47,0)),""))))))))))</x:f>
      </x:c>
    </x:row>
    <x:row r="156">
      <x:c r="A156" s="432" t="str">
        <x:f>IF($J156&lt;&gt;"",REGEXREPLACE(TO_TEXT('_Supporto Listone'!A156),"(.)","$1"&amp;UNICHAR(822)),'_Supporto Listone'!A156)</x:f>
        <x:v>D</x:v>
      </x:c>
      <x:c r="B156" s="433" t="str">
        <x:f>IF($J156&lt;&gt;"",REGEXREPLACE(TO_TEXT('_Supporto Listone'!B156),"(.)","$1"&amp;UNICHAR(822)),'_Supporto Listone'!B156)</x:f>
        <x:v>Olivera</x:v>
      </x:c>
      <x:c r="C156" s="433" t="str">
        <x:f>IF($J156&lt;&gt;"",REGEXREPLACE(TO_TEXT('_Supporto Listone'!C156),"(.)","$1"&amp;UNICHAR(822)),'_Supporto Listone'!C156)</x:f>
        <x:v>Napoli</x:v>
      </x:c>
      <x:c r="D156" s="433" t="str">
        <x:f>IF($J156&lt;&gt;"",REGEXREPLACE(TO_TEXT('_Supporto Listone'!D156),"(.)","$1"&amp;UNICHAR(822)),'_Supporto Listone'!D156)</x:f>
        <x:v>B;Ds;E</x:v>
      </x:c>
      <x:c r="E156" s="433" t="str">
        <x:f>IF($J156&lt;&gt;"",REGEXREPLACE(TO_TEXT('_Supporto Listone'!E156),"(.)","$1"&amp;UNICHAR(822)),'_Supporto Listone'!E156)</x:f>
        <x:v>Ballottaggio</x:v>
      </x:c>
      <x:c r="F156" s="462" t="n">
        <x:f>IF($J156&lt;&gt;"",REGEXREPLACE(TO_TEXT('_Supporto Listone'!F156),"(.)","$1"&amp;UNICHAR(822)),'_Supporto Listone'!F156)</x:f>
        <x:v>5</x:v>
      </x:c>
      <x:c r="G156" s="462" t="n">
        <x:f>IF($J156&lt;&gt;"",REGEXREPLACE(TO_TEXT('_Supporto Listone'!G156),"(.)","$1"&amp;UNICHAR(822)),'_Supporto Listone'!G156)</x:f>
        <x:v>13</x:v>
      </x:c>
      <x:c r="H156" s="462" t="n">
        <x:f>IF($J156&lt;&gt;"",REGEXREPLACE(TO_TEXT('_Supporto Listone'!H156),"(.)","$1"&amp;UNICHAR(822)),'_Supporto Listone'!H156)</x:f>
        <x:v>7</x:v>
      </x:c>
      <x:c r="I156" s="434"/>
      <x:c r="J156" s="433" t="str">
        <x:f>IF(COUNTIF(Asta!$B$4:$B$47,'_Supporto Listone'!B156)&gt;0,"Simone",IF(COUNTIF(Asta!$D$4:$D$47,'_Supporto Listone'!B156)&gt;0,"Giacomo",IF(COUNTIF(Asta!$F$4:$F$47,'_Supporto Listone'!B156)&gt;0,"Niko",IF(COUNTIF(Asta!$H$4:$H$47,'_Supporto Listone'!B156)&gt;0,"Quici",IF(COUNTIF(Asta!$J$4:$J$47,'_Supporto Listone'!B156)&gt;0,"Fratello Quici",IF(COUNTIF(Asta!$L$4:$L$47,'_Supporto Listone'!B156)&gt;0,"Nicolò",IF(COUNTIF(Asta!$N$4:$N$47,'_Supporto Listone'!B156)&gt;0,"Vi",IF(COUNTIF(Asta!$P$4:$P$47,'_Supporto Listone'!B156)&gt;0,"Lore",IF(COUNTIF(Asta!$R$4:$R$47,'_Supporto Listone'!B156)&gt;0,"Robbo",IF(COUNTIF(Asta!$T$4:$T$47,'_Supporto Listone'!B156)&gt;0,"Ale",""))))))))))</x:f>
      </x:c>
      <x:c r="K156" s="493" t="str">
        <x:f>IF(COUNTIF(Asta!$B$4:$B$47,'_Supporto Listone'!B156)&gt;0,INDEX(Asta!$C$4:$C$47,MATCH('_Supporto Listone'!B156,Asta!$B$4:$B$47,0)),IF(COUNTIF(Asta!$D$4:$D$47,'_Supporto Listone'!B156)&gt;0,INDEX(Asta!$E$4:$E$47,MATCH('_Supporto Listone'!B156,Asta!$D$4:$D$47,0)),IF(COUNTIF(Asta!$F$4:$F$47,'_Supporto Listone'!B156)&gt;0,INDEX(Asta!$G$4:$G$47,MATCH('_Supporto Listone'!B156,Asta!$F$4:$F$47,0)),IF(COUNTIF(Asta!$H$4:$H$47,'_Supporto Listone'!B156)&gt;0,INDEX(Asta!$I$4:$I$47,MATCH('_Supporto Listone'!B156,Asta!$H$4:$H$47,0)),IF(COUNTIF(Asta!$J$4:$J$47,'_Supporto Listone'!B156)&gt;0,INDEX(Asta!$K$4:$K$47,MATCH('_Supporto Listone'!B156,Asta!$J$4:$J$47,0)),IF(COUNTIF(Asta!$L$4:$L$47,'_Supporto Listone'!B156)&gt;0,INDEX(Asta!$M$4:$M$47,MATCH('_Supporto Listone'!B156,Asta!$L$4:$L$47,0)),IF(COUNTIF(Asta!$N$4:$N$47,'_Supporto Listone'!B156)&gt;0,INDEX(Asta!$O$4:$O$47,MATCH('_Supporto Listone'!B156,Asta!$N$4:$N$47,0)),IF(COUNTIF(Asta!$P$4:$P$47,'_Supporto Listone'!B156)&gt;0,INDEX(Asta!$Q$4:$Q$47,MATCH('_Supporto Listone'!B156,Asta!$P$4:$P$47,0)),IF(COUNTIF(Asta!$R$4:$R$47,'_Supporto Listone'!B156)&gt;0,INDEX(Asta!$S$4:$S$47,MATCH('_Supporto Listone'!B156,Asta!$R$4:$R$47,0)),IF(COUNTIF(Asta!$T$4:$T$47,'_Supporto Listone'!B156)&gt;0,INDEX(Asta!$U$4:$U$47,MATCH('_Supporto Listone'!B156,Asta!$T$4:$T$47,0)),""))))))))))</x:f>
      </x:c>
    </x:row>
    <x:row r="157">
      <x:c r="A157" s="432" t="str">
        <x:f>IF($J157&lt;&gt;"",REGEXREPLACE(TO_TEXT('_Supporto Listone'!A157),"(.)","$1"&amp;UNICHAR(822)),'_Supporto Listone'!A157)</x:f>
        <x:v>D</x:v>
      </x:c>
      <x:c r="B157" s="433" t="str">
        <x:f>IF($J157&lt;&gt;"",REGEXREPLACE(TO_TEXT('_Supporto Listone'!B157),"(.)","$1"&amp;UNICHAR(822)),'_Supporto Listone'!B157)</x:f>
        <x:v>Rensch</x:v>
      </x:c>
      <x:c r="C157" s="433" t="str">
        <x:f>IF($J157&lt;&gt;"",REGEXREPLACE(TO_TEXT('_Supporto Listone'!C157),"(.)","$1"&amp;UNICHAR(822)),'_Supporto Listone'!C157)</x:f>
        <x:v>Roma</x:v>
      </x:c>
      <x:c r="D157" s="433" t="str">
        <x:f>IF($J157&lt;&gt;"",REGEXREPLACE(TO_TEXT('_Supporto Listone'!D157),"(.)","$1"&amp;UNICHAR(822)),'_Supporto Listone'!D157)</x:f>
        <x:v>B;Dd;E</x:v>
      </x:c>
      <x:c r="E157" s="433" t="str">
        <x:f>IF($J157&lt;&gt;"",REGEXREPLACE(TO_TEXT('_Supporto Listone'!E157),"(.)","$1"&amp;UNICHAR(822)),'_Supporto Listone'!E157)</x:f>
        <x:v>Riserva / rotazione</x:v>
      </x:c>
      <x:c r="F157" s="462" t="n">
        <x:f>IF($J157&lt;&gt;"",REGEXREPLACE(TO_TEXT('_Supporto Listone'!F157),"(.)","$1"&amp;UNICHAR(822)),'_Supporto Listone'!F157)</x:f>
        <x:v>5</x:v>
      </x:c>
      <x:c r="G157" s="462" t="n">
        <x:f>IF($J157&lt;&gt;"",REGEXREPLACE(TO_TEXT('_Supporto Listone'!G157),"(.)","$1"&amp;UNICHAR(822)),'_Supporto Listone'!G157)</x:f>
        <x:v>16</x:v>
      </x:c>
      <x:c r="H157" s="462" t="n">
        <x:f>IF($J157&lt;&gt;"",REGEXREPLACE(TO_TEXT('_Supporto Listone'!H157),"(.)","$1"&amp;UNICHAR(822)),'_Supporto Listone'!H157)</x:f>
        <x:v>8</x:v>
      </x:c>
      <x:c r="I157" s="434"/>
      <x:c r="J157" s="433" t="str">
        <x:f>IF(COUNTIF(Asta!$B$4:$B$47,'_Supporto Listone'!B157)&gt;0,"Simone",IF(COUNTIF(Asta!$D$4:$D$47,'_Supporto Listone'!B157)&gt;0,"Giacomo",IF(COUNTIF(Asta!$F$4:$F$47,'_Supporto Listone'!B157)&gt;0,"Niko",IF(COUNTIF(Asta!$H$4:$H$47,'_Supporto Listone'!B157)&gt;0,"Quici",IF(COUNTIF(Asta!$J$4:$J$47,'_Supporto Listone'!B157)&gt;0,"Fratello Quici",IF(COUNTIF(Asta!$L$4:$L$47,'_Supporto Listone'!B157)&gt;0,"Nicolò",IF(COUNTIF(Asta!$N$4:$N$47,'_Supporto Listone'!B157)&gt;0,"Vi",IF(COUNTIF(Asta!$P$4:$P$47,'_Supporto Listone'!B157)&gt;0,"Lore",IF(COUNTIF(Asta!$R$4:$R$47,'_Supporto Listone'!B157)&gt;0,"Robbo",IF(COUNTIF(Asta!$T$4:$T$47,'_Supporto Listone'!B157)&gt;0,"Ale",""))))))))))</x:f>
      </x:c>
      <x:c r="K157" s="493" t="str">
        <x:f>IF(COUNTIF(Asta!$B$4:$B$47,'_Supporto Listone'!B157)&gt;0,INDEX(Asta!$C$4:$C$47,MATCH('_Supporto Listone'!B157,Asta!$B$4:$B$47,0)),IF(COUNTIF(Asta!$D$4:$D$47,'_Supporto Listone'!B157)&gt;0,INDEX(Asta!$E$4:$E$47,MATCH('_Supporto Listone'!B157,Asta!$D$4:$D$47,0)),IF(COUNTIF(Asta!$F$4:$F$47,'_Supporto Listone'!B157)&gt;0,INDEX(Asta!$G$4:$G$47,MATCH('_Supporto Listone'!B157,Asta!$F$4:$F$47,0)),IF(COUNTIF(Asta!$H$4:$H$47,'_Supporto Listone'!B157)&gt;0,INDEX(Asta!$I$4:$I$47,MATCH('_Supporto Listone'!B157,Asta!$H$4:$H$47,0)),IF(COUNTIF(Asta!$J$4:$J$47,'_Supporto Listone'!B157)&gt;0,INDEX(Asta!$K$4:$K$47,MATCH('_Supporto Listone'!B157,Asta!$J$4:$J$47,0)),IF(COUNTIF(Asta!$L$4:$L$47,'_Supporto Listone'!B157)&gt;0,INDEX(Asta!$M$4:$M$47,MATCH('_Supporto Listone'!B157,Asta!$L$4:$L$47,0)),IF(COUNTIF(Asta!$N$4:$N$47,'_Supporto Listone'!B157)&gt;0,INDEX(Asta!$O$4:$O$47,MATCH('_Supporto Listone'!B157,Asta!$N$4:$N$47,0)),IF(COUNTIF(Asta!$P$4:$P$47,'_Supporto Listone'!B157)&gt;0,INDEX(Asta!$Q$4:$Q$47,MATCH('_Supporto Listone'!B157,Asta!$P$4:$P$47,0)),IF(COUNTIF(Asta!$R$4:$R$47,'_Supporto Listone'!B157)&gt;0,INDEX(Asta!$S$4:$S$47,MATCH('_Supporto Listone'!B157,Asta!$R$4:$R$47,0)),IF(COUNTIF(Asta!$T$4:$T$47,'_Supporto Listone'!B157)&gt;0,INDEX(Asta!$U$4:$U$47,MATCH('_Supporto Listone'!B157,Asta!$T$4:$T$47,0)),""))))))))))</x:f>
      </x:c>
    </x:row>
    <x:row r="158">
      <x:c r="A158" s="432" t="str">
        <x:f>IF($J158&lt;&gt;"",REGEXREPLACE(TO_TEXT('_Supporto Listone'!A158),"(.)","$1"&amp;UNICHAR(822)),'_Supporto Listone'!A158)</x:f>
        <x:v>D</x:v>
      </x:c>
      <x:c r="B158" s="433" t="str">
        <x:f>IF($J158&lt;&gt;"",REGEXREPLACE(TO_TEXT('_Supporto Listone'!B158),"(.)","$1"&amp;UNICHAR(822)),'_Supporto Listone'!B158)</x:f>
        <x:v>Pedersen</x:v>
      </x:c>
      <x:c r="C158" s="433" t="str">
        <x:f>IF($J158&lt;&gt;"",REGEXREPLACE(TO_TEXT('_Supporto Listone'!C158),"(.)","$1"&amp;UNICHAR(822)),'_Supporto Listone'!C158)</x:f>
        <x:v>Torino</x:v>
      </x:c>
      <x:c r="D158" s="433" t="str">
        <x:f>IF($J158&lt;&gt;"",REGEXREPLACE(TO_TEXT('_Supporto Listone'!D158),"(.)","$1"&amp;UNICHAR(822)),'_Supporto Listone'!D158)</x:f>
        <x:v>Dd;E</x:v>
      </x:c>
      <x:c r="E158" s="433" t="str">
        <x:f>IF($J158&lt;&gt;"",REGEXREPLACE(TO_TEXT('_Supporto Listone'!E158),"(.)","$1"&amp;UNICHAR(822)),'_Supporto Listone'!E158)</x:f>
        <x:v>Riserva / rotazione</x:v>
      </x:c>
      <x:c r="F158" s="462" t="n">
        <x:f>IF($J158&lt;&gt;"",REGEXREPLACE(TO_TEXT('_Supporto Listone'!F158),"(.)","$1"&amp;UNICHAR(822)),'_Supporto Listone'!F158)</x:f>
        <x:v>5</x:v>
      </x:c>
      <x:c r="G158" s="462" t="n">
        <x:f>IF($J158&lt;&gt;"",REGEXREPLACE(TO_TEXT('_Supporto Listone'!G158),"(.)","$1"&amp;UNICHAR(822)),'_Supporto Listone'!G158)</x:f>
        <x:v>13</x:v>
      </x:c>
      <x:c r="H158" s="462" t="n">
        <x:f>IF($J158&lt;&gt;"",REGEXREPLACE(TO_TEXT('_Supporto Listone'!H158),"(.)","$1"&amp;UNICHAR(822)),'_Supporto Listone'!H158)</x:f>
        <x:v>7</x:v>
      </x:c>
      <x:c r="I158" s="434"/>
      <x:c r="J158" s="433" t="str">
        <x:f>IF(COUNTIF(Asta!$B$4:$B$47,'_Supporto Listone'!B158)&gt;0,"Simone",IF(COUNTIF(Asta!$D$4:$D$47,'_Supporto Listone'!B158)&gt;0,"Giacomo",IF(COUNTIF(Asta!$F$4:$F$47,'_Supporto Listone'!B158)&gt;0,"Niko",IF(COUNTIF(Asta!$H$4:$H$47,'_Supporto Listone'!B158)&gt;0,"Quici",IF(COUNTIF(Asta!$J$4:$J$47,'_Supporto Listone'!B158)&gt;0,"Fratello Quici",IF(COUNTIF(Asta!$L$4:$L$47,'_Supporto Listone'!B158)&gt;0,"Nicolò",IF(COUNTIF(Asta!$N$4:$N$47,'_Supporto Listone'!B158)&gt;0,"Vi",IF(COUNTIF(Asta!$P$4:$P$47,'_Supporto Listone'!B158)&gt;0,"Lore",IF(COUNTIF(Asta!$R$4:$R$47,'_Supporto Listone'!B158)&gt;0,"Robbo",IF(COUNTIF(Asta!$T$4:$T$47,'_Supporto Listone'!B158)&gt;0,"Ale",""))))))))))</x:f>
      </x:c>
      <x:c r="K158" s="493" t="str">
        <x:f>IF(COUNTIF(Asta!$B$4:$B$47,'_Supporto Listone'!B158)&gt;0,INDEX(Asta!$C$4:$C$47,MATCH('_Supporto Listone'!B158,Asta!$B$4:$B$47,0)),IF(COUNTIF(Asta!$D$4:$D$47,'_Supporto Listone'!B158)&gt;0,INDEX(Asta!$E$4:$E$47,MATCH('_Supporto Listone'!B158,Asta!$D$4:$D$47,0)),IF(COUNTIF(Asta!$F$4:$F$47,'_Supporto Listone'!B158)&gt;0,INDEX(Asta!$G$4:$G$47,MATCH('_Supporto Listone'!B158,Asta!$F$4:$F$47,0)),IF(COUNTIF(Asta!$H$4:$H$47,'_Supporto Listone'!B158)&gt;0,INDEX(Asta!$I$4:$I$47,MATCH('_Supporto Listone'!B158,Asta!$H$4:$H$47,0)),IF(COUNTIF(Asta!$J$4:$J$47,'_Supporto Listone'!B158)&gt;0,INDEX(Asta!$K$4:$K$47,MATCH('_Supporto Listone'!B158,Asta!$J$4:$J$47,0)),IF(COUNTIF(Asta!$L$4:$L$47,'_Supporto Listone'!B158)&gt;0,INDEX(Asta!$M$4:$M$47,MATCH('_Supporto Listone'!B158,Asta!$L$4:$L$47,0)),IF(COUNTIF(Asta!$N$4:$N$47,'_Supporto Listone'!B158)&gt;0,INDEX(Asta!$O$4:$O$47,MATCH('_Supporto Listone'!B158,Asta!$N$4:$N$47,0)),IF(COUNTIF(Asta!$P$4:$P$47,'_Supporto Listone'!B158)&gt;0,INDEX(Asta!$Q$4:$Q$47,MATCH('_Supporto Listone'!B158,Asta!$P$4:$P$47,0)),IF(COUNTIF(Asta!$R$4:$R$47,'_Supporto Listone'!B158)&gt;0,INDEX(Asta!$S$4:$S$47,MATCH('_Supporto Listone'!B158,Asta!$R$4:$R$47,0)),IF(COUNTIF(Asta!$T$4:$T$47,'_Supporto Listone'!B158)&gt;0,INDEX(Asta!$U$4:$U$47,MATCH('_Supporto Listone'!B158,Asta!$T$4:$T$47,0)),""))))))))))</x:f>
      </x:c>
    </x:row>
    <x:row r="159">
      <x:c r="A159" s="432" t="str">
        <x:f>IF($J159&lt;&gt;"",REGEXREPLACE(TO_TEXT('_Supporto Listone'!A159),"(.)","$1"&amp;UNICHAR(822)),'_Supporto Listone'!A159)</x:f>
        <x:v>D</x:v>
      </x:c>
      <x:c r="B159" s="433" t="str">
        <x:f>IF($J159&lt;&gt;"",REGEXREPLACE(TO_TEXT('_Supporto Listone'!B159),"(.)","$1"&amp;UNICHAR(822)),'_Supporto Listone'!B159)</x:f>
        <x:v>Haps</x:v>
      </x:c>
      <x:c r="C159" s="433" t="str">
        <x:f>IF($J159&lt;&gt;"",REGEXREPLACE(TO_TEXT('_Supporto Listone'!C159),"(.)","$1"&amp;UNICHAR(822)),'_Supporto Listone'!C159)</x:f>
        <x:v>Venezia</x:v>
      </x:c>
      <x:c r="D159" s="433" t="str">
        <x:f>IF($J159&lt;&gt;"",REGEXREPLACE(TO_TEXT('_Supporto Listone'!D159),"(.)","$1"&amp;UNICHAR(822)),'_Supporto Listone'!D159)</x:f>
        <x:v>Ds;E</x:v>
      </x:c>
      <x:c r="E159" s="433" t="str">
        <x:f>IF($J159&lt;&gt;"",REGEXREPLACE(TO_TEXT('_Supporto Listone'!E159),"(.)","$1"&amp;UNICHAR(822)),'_Supporto Listone'!E159)</x:f>
        <x:v>Titolare / ballottaggio</x:v>
      </x:c>
      <x:c r="F159" s="462" t="n">
        <x:f>IF($J159&lt;&gt;"",REGEXREPLACE(TO_TEXT('_Supporto Listone'!F159),"(.)","$1"&amp;UNICHAR(822)),'_Supporto Listone'!F159)</x:f>
        <x:v>5</x:v>
      </x:c>
      <x:c r="G159" s="462" t="n">
        <x:f>IF($J159&lt;&gt;"",REGEXREPLACE(TO_TEXT('_Supporto Listone'!G159),"(.)","$1"&amp;UNICHAR(822)),'_Supporto Listone'!G159)</x:f>
        <x:v>11</x:v>
      </x:c>
      <x:c r="H159" s="462" t="n">
        <x:f>IF($J159&lt;&gt;"",REGEXREPLACE(TO_TEXT('_Supporto Listone'!H159),"(.)","$1"&amp;UNICHAR(822)),'_Supporto Listone'!H159)</x:f>
        <x:v>6</x:v>
      </x:c>
      <x:c r="I159" s="434"/>
      <x:c r="J159" s="433" t="str">
        <x:f>IF(COUNTIF(Asta!$B$4:$B$47,'_Supporto Listone'!B159)&gt;0,"Simone",IF(COUNTIF(Asta!$D$4:$D$47,'_Supporto Listone'!B159)&gt;0,"Giacomo",IF(COUNTIF(Asta!$F$4:$F$47,'_Supporto Listone'!B159)&gt;0,"Niko",IF(COUNTIF(Asta!$H$4:$H$47,'_Supporto Listone'!B159)&gt;0,"Quici",IF(COUNTIF(Asta!$J$4:$J$47,'_Supporto Listone'!B159)&gt;0,"Fratello Quici",IF(COUNTIF(Asta!$L$4:$L$47,'_Supporto Listone'!B159)&gt;0,"Nicolò",IF(COUNTIF(Asta!$N$4:$N$47,'_Supporto Listone'!B159)&gt;0,"Vi",IF(COUNTIF(Asta!$P$4:$P$47,'_Supporto Listone'!B159)&gt;0,"Lore",IF(COUNTIF(Asta!$R$4:$R$47,'_Supporto Listone'!B159)&gt;0,"Robbo",IF(COUNTIF(Asta!$T$4:$T$47,'_Supporto Listone'!B159)&gt;0,"Ale",""))))))))))</x:f>
      </x:c>
      <x:c r="K159" s="493" t="str">
        <x:f>IF(COUNTIF(Asta!$B$4:$B$47,'_Supporto Listone'!B159)&gt;0,INDEX(Asta!$C$4:$C$47,MATCH('_Supporto Listone'!B159,Asta!$B$4:$B$47,0)),IF(COUNTIF(Asta!$D$4:$D$47,'_Supporto Listone'!B159)&gt;0,INDEX(Asta!$E$4:$E$47,MATCH('_Supporto Listone'!B159,Asta!$D$4:$D$47,0)),IF(COUNTIF(Asta!$F$4:$F$47,'_Supporto Listone'!B159)&gt;0,INDEX(Asta!$G$4:$G$47,MATCH('_Supporto Listone'!B159,Asta!$F$4:$F$47,0)),IF(COUNTIF(Asta!$H$4:$H$47,'_Supporto Listone'!B159)&gt;0,INDEX(Asta!$I$4:$I$47,MATCH('_Supporto Listone'!B159,Asta!$H$4:$H$47,0)),IF(COUNTIF(Asta!$J$4:$J$47,'_Supporto Listone'!B159)&gt;0,INDEX(Asta!$K$4:$K$47,MATCH('_Supporto Listone'!B159,Asta!$J$4:$J$47,0)),IF(COUNTIF(Asta!$L$4:$L$47,'_Supporto Listone'!B159)&gt;0,INDEX(Asta!$M$4:$M$47,MATCH('_Supporto Listone'!B159,Asta!$L$4:$L$47,0)),IF(COUNTIF(Asta!$N$4:$N$47,'_Supporto Listone'!B159)&gt;0,INDEX(Asta!$O$4:$O$47,MATCH('_Supporto Listone'!B159,Asta!$N$4:$N$47,0)),IF(COUNTIF(Asta!$P$4:$P$47,'_Supporto Listone'!B159)&gt;0,INDEX(Asta!$Q$4:$Q$47,MATCH('_Supporto Listone'!B159,Asta!$P$4:$P$47,0)),IF(COUNTIF(Asta!$R$4:$R$47,'_Supporto Listone'!B159)&gt;0,INDEX(Asta!$S$4:$S$47,MATCH('_Supporto Listone'!B159,Asta!$R$4:$R$47,0)),IF(COUNTIF(Asta!$T$4:$T$47,'_Supporto Listone'!B159)&gt;0,INDEX(Asta!$U$4:$U$47,MATCH('_Supporto Listone'!B159,Asta!$T$4:$T$47,0)),""))))))))))</x:f>
      </x:c>
    </x:row>
    <x:row r="160">
      <x:c r="A160" s="432" t="str">
        <x:f>IF($J160&lt;&gt;"",REGEXREPLACE(TO_TEXT('_Supporto Listone'!A160),"(.)","$1"&amp;UNICHAR(822)),'_Supporto Listone'!A160)</x:f>
        <x:v>D</x:v>
      </x:c>
      <x:c r="B160" s="433" t="str">
        <x:f>IF($J160&lt;&gt;"",REGEXREPLACE(TO_TEXT('_Supporto Listone'!B160),"(.)","$1"&amp;UNICHAR(822)),'_Supporto Listone'!B160)</x:f>
        <x:v>Moreno M.</x:v>
      </x:c>
      <x:c r="C160" s="433" t="str">
        <x:f>IF($J160&lt;&gt;"",REGEXREPLACE(TO_TEXT('_Supporto Listone'!C160),"(.)","$1"&amp;UNICHAR(822)),'_Supporto Listone'!C160)</x:f>
        <x:v>Venezia</x:v>
      </x:c>
      <x:c r="D160" s="433" t="str">
        <x:f>IF($J160&lt;&gt;"",REGEXREPLACE(TO_TEXT('_Supporto Listone'!D160),"(.)","$1"&amp;UNICHAR(822)),'_Supporto Listone'!D160)</x:f>
        <x:v>Dc</x:v>
      </x:c>
      <x:c r="E160" s="433" t="str">
        <x:f>IF($J160&lt;&gt;"",REGEXREPLACE(TO_TEXT('_Supporto Listone'!E160),"(.)","$1"&amp;UNICHAR(822)),'_Supporto Listone'!E160)</x:f>
        <x:v>Riserva / rotazione</x:v>
      </x:c>
      <x:c r="F160" s="462" t="n">
        <x:f>IF($J160&lt;&gt;"",REGEXREPLACE(TO_TEXT('_Supporto Listone'!F160),"(.)","$1"&amp;UNICHAR(822)),'_Supporto Listone'!F160)</x:f>
        <x:v>5</x:v>
      </x:c>
      <x:c r="G160" s="462" t="n">
        <x:f>IF($J160&lt;&gt;"",REGEXREPLACE(TO_TEXT('_Supporto Listone'!G160),"(.)","$1"&amp;UNICHAR(822)),'_Supporto Listone'!G160)</x:f>
        <x:v>11</x:v>
      </x:c>
      <x:c r="H160" s="462" t="n">
        <x:f>IF($J160&lt;&gt;"",REGEXREPLACE(TO_TEXT('_Supporto Listone'!H160),"(.)","$1"&amp;UNICHAR(822)),'_Supporto Listone'!H160)</x:f>
        <x:v>6</x:v>
      </x:c>
      <x:c r="I160" s="434"/>
      <x:c r="J160" s="433" t="str">
        <x:f>IF(COUNTIF(Asta!$B$4:$B$47,'_Supporto Listone'!B160)&gt;0,"Simone",IF(COUNTIF(Asta!$D$4:$D$47,'_Supporto Listone'!B160)&gt;0,"Giacomo",IF(COUNTIF(Asta!$F$4:$F$47,'_Supporto Listone'!B160)&gt;0,"Niko",IF(COUNTIF(Asta!$H$4:$H$47,'_Supporto Listone'!B160)&gt;0,"Quici",IF(COUNTIF(Asta!$J$4:$J$47,'_Supporto Listone'!B160)&gt;0,"Fratello Quici",IF(COUNTIF(Asta!$L$4:$L$47,'_Supporto Listone'!B160)&gt;0,"Nicolò",IF(COUNTIF(Asta!$N$4:$N$47,'_Supporto Listone'!B160)&gt;0,"Vi",IF(COUNTIF(Asta!$P$4:$P$47,'_Supporto Listone'!B160)&gt;0,"Lore",IF(COUNTIF(Asta!$R$4:$R$47,'_Supporto Listone'!B160)&gt;0,"Robbo",IF(COUNTIF(Asta!$T$4:$T$47,'_Supporto Listone'!B160)&gt;0,"Ale",""))))))))))</x:f>
      </x:c>
      <x:c r="K160" s="493" t="str">
        <x:f>IF(COUNTIF(Asta!$B$4:$B$47,'_Supporto Listone'!B160)&gt;0,INDEX(Asta!$C$4:$C$47,MATCH('_Supporto Listone'!B160,Asta!$B$4:$B$47,0)),IF(COUNTIF(Asta!$D$4:$D$47,'_Supporto Listone'!B160)&gt;0,INDEX(Asta!$E$4:$E$47,MATCH('_Supporto Listone'!B160,Asta!$D$4:$D$47,0)),IF(COUNTIF(Asta!$F$4:$F$47,'_Supporto Listone'!B160)&gt;0,INDEX(Asta!$G$4:$G$47,MATCH('_Supporto Listone'!B160,Asta!$F$4:$F$47,0)),IF(COUNTIF(Asta!$H$4:$H$47,'_Supporto Listone'!B160)&gt;0,INDEX(Asta!$I$4:$I$47,MATCH('_Supporto Listone'!B160,Asta!$H$4:$H$47,0)),IF(COUNTIF(Asta!$J$4:$J$47,'_Supporto Listone'!B160)&gt;0,INDEX(Asta!$K$4:$K$47,MATCH('_Supporto Listone'!B160,Asta!$J$4:$J$47,0)),IF(COUNTIF(Asta!$L$4:$L$47,'_Supporto Listone'!B160)&gt;0,INDEX(Asta!$M$4:$M$47,MATCH('_Supporto Listone'!B160,Asta!$L$4:$L$47,0)),IF(COUNTIF(Asta!$N$4:$N$47,'_Supporto Listone'!B160)&gt;0,INDEX(Asta!$O$4:$O$47,MATCH('_Supporto Listone'!B160,Asta!$N$4:$N$47,0)),IF(COUNTIF(Asta!$P$4:$P$47,'_Supporto Listone'!B160)&gt;0,INDEX(Asta!$Q$4:$Q$47,MATCH('_Supporto Listone'!B160,Asta!$P$4:$P$47,0)),IF(COUNTIF(Asta!$R$4:$R$47,'_Supporto Listone'!B160)&gt;0,INDEX(Asta!$S$4:$S$47,MATCH('_Supporto Listone'!B160,Asta!$R$4:$R$47,0)),IF(COUNTIF(Asta!$T$4:$T$47,'_Supporto Listone'!B160)&gt;0,INDEX(Asta!$U$4:$U$47,MATCH('_Supporto Listone'!B160,Asta!$T$4:$T$47,0)),""))))))))))</x:f>
      </x:c>
    </x:row>
    <x:row r="161">
      <x:c r="A161" s="432" t="str">
        <x:f>IF($J161&lt;&gt;"",REGEXREPLACE(TO_TEXT('_Supporto Listone'!A161),"(.)","$1"&amp;UNICHAR(822)),'_Supporto Listone'!A161)</x:f>
        <x:v>D</x:v>
      </x:c>
      <x:c r="B161" s="433" t="str">
        <x:f>IF($J161&lt;&gt;"",REGEXREPLACE(TO_TEXT('_Supporto Listone'!B161),"(.)","$1"&amp;UNICHAR(822)),'_Supporto Listone'!B161)</x:f>
        <x:v>Zappa</x:v>
      </x:c>
      <x:c r="C161" s="433" t="str">
        <x:f>IF($J161&lt;&gt;"",REGEXREPLACE(TO_TEXT('_Supporto Listone'!C161),"(.)","$1"&amp;UNICHAR(822)),'_Supporto Listone'!C161)</x:f>
        <x:v>Cagliari</x:v>
      </x:c>
      <x:c r="D161" s="433" t="str">
        <x:f>IF($J161&lt;&gt;"",REGEXREPLACE(TO_TEXT('_Supporto Listone'!D161),"(.)","$1"&amp;UNICHAR(822)),'_Supporto Listone'!D161)</x:f>
        <x:v>B;Dd;E</x:v>
      </x:c>
      <x:c r="E161" s="433" t="str">
        <x:f>IF($J161&lt;&gt;"",REGEXREPLACE(TO_TEXT('_Supporto Listone'!E161),"(.)","$1"&amp;UNICHAR(822)),'_Supporto Listone'!E161)</x:f>
        <x:v>Riserva / rotazione</x:v>
      </x:c>
      <x:c r="F161" s="462" t="n">
        <x:f>IF($J161&lt;&gt;"",REGEXREPLACE(TO_TEXT('_Supporto Listone'!F161),"(.)","$1"&amp;UNICHAR(822)),'_Supporto Listone'!F161)</x:f>
        <x:v>4</x:v>
      </x:c>
      <x:c r="G161" s="462" t="n">
        <x:f>IF($J161&lt;&gt;"",REGEXREPLACE(TO_TEXT('_Supporto Listone'!G161),"(.)","$1"&amp;UNICHAR(822)),'_Supporto Listone'!G161)</x:f>
        <x:v>9</x:v>
      </x:c>
      <x:c r="H161" s="462" t="n">
        <x:f>IF($J161&lt;&gt;"",REGEXREPLACE(TO_TEXT('_Supporto Listone'!H161),"(.)","$1"&amp;UNICHAR(822)),'_Supporto Listone'!H161)</x:f>
        <x:v>5</x:v>
      </x:c>
      <x:c r="I161" s="434"/>
      <x:c r="J161" s="433" t="str">
        <x:f>IF(COUNTIF(Asta!$B$4:$B$47,'_Supporto Listone'!B161)&gt;0,"Simone",IF(COUNTIF(Asta!$D$4:$D$47,'_Supporto Listone'!B161)&gt;0,"Giacomo",IF(COUNTIF(Asta!$F$4:$F$47,'_Supporto Listone'!B161)&gt;0,"Niko",IF(COUNTIF(Asta!$H$4:$H$47,'_Supporto Listone'!B161)&gt;0,"Quici",IF(COUNTIF(Asta!$J$4:$J$47,'_Supporto Listone'!B161)&gt;0,"Fratello Quici",IF(COUNTIF(Asta!$L$4:$L$47,'_Supporto Listone'!B161)&gt;0,"Nicolò",IF(COUNTIF(Asta!$N$4:$N$47,'_Supporto Listone'!B161)&gt;0,"Vi",IF(COUNTIF(Asta!$P$4:$P$47,'_Supporto Listone'!B161)&gt;0,"Lore",IF(COUNTIF(Asta!$R$4:$R$47,'_Supporto Listone'!B161)&gt;0,"Robbo",IF(COUNTIF(Asta!$T$4:$T$47,'_Supporto Listone'!B161)&gt;0,"Ale",""))))))))))</x:f>
      </x:c>
      <x:c r="K161" s="493" t="str">
        <x:f>IF(COUNTIF(Asta!$B$4:$B$47,'_Supporto Listone'!B161)&gt;0,INDEX(Asta!$C$4:$C$47,MATCH('_Supporto Listone'!B161,Asta!$B$4:$B$47,0)),IF(COUNTIF(Asta!$D$4:$D$47,'_Supporto Listone'!B161)&gt;0,INDEX(Asta!$E$4:$E$47,MATCH('_Supporto Listone'!B161,Asta!$D$4:$D$47,0)),IF(COUNTIF(Asta!$F$4:$F$47,'_Supporto Listone'!B161)&gt;0,INDEX(Asta!$G$4:$G$47,MATCH('_Supporto Listone'!B161,Asta!$F$4:$F$47,0)),IF(COUNTIF(Asta!$H$4:$H$47,'_Supporto Listone'!B161)&gt;0,INDEX(Asta!$I$4:$I$47,MATCH('_Supporto Listone'!B161,Asta!$H$4:$H$47,0)),IF(COUNTIF(Asta!$J$4:$J$47,'_Supporto Listone'!B161)&gt;0,INDEX(Asta!$K$4:$K$47,MATCH('_Supporto Listone'!B161,Asta!$J$4:$J$47,0)),IF(COUNTIF(Asta!$L$4:$L$47,'_Supporto Listone'!B161)&gt;0,INDEX(Asta!$M$4:$M$47,MATCH('_Supporto Listone'!B161,Asta!$L$4:$L$47,0)),IF(COUNTIF(Asta!$N$4:$N$47,'_Supporto Listone'!B161)&gt;0,INDEX(Asta!$O$4:$O$47,MATCH('_Supporto Listone'!B161,Asta!$N$4:$N$47,0)),IF(COUNTIF(Asta!$P$4:$P$47,'_Supporto Listone'!B161)&gt;0,INDEX(Asta!$Q$4:$Q$47,MATCH('_Supporto Listone'!B161,Asta!$P$4:$P$47,0)),IF(COUNTIF(Asta!$R$4:$R$47,'_Supporto Listone'!B161)&gt;0,INDEX(Asta!$S$4:$S$47,MATCH('_Supporto Listone'!B161,Asta!$R$4:$R$47,0)),IF(COUNTIF(Asta!$T$4:$T$47,'_Supporto Listone'!B161)&gt;0,INDEX(Asta!$U$4:$U$47,MATCH('_Supporto Listone'!B161,Asta!$T$4:$T$47,0)),""))))))))))</x:f>
      </x:c>
    </x:row>
    <x:row r="162">
      <x:c r="A162" s="432" t="str">
        <x:f>IF($J162&lt;&gt;"",REGEXREPLACE(TO_TEXT('_Supporto Listone'!A162),"(.)","$1"&amp;UNICHAR(822)),'_Supporto Listone'!A162)</x:f>
        <x:v>D</x:v>
      </x:c>
      <x:c r="B162" s="433" t="str">
        <x:f>IF($J162&lt;&gt;"",REGEXREPLACE(TO_TEXT('_Supporto Listone'!B162),"(.)","$1"&amp;UNICHAR(822)),'_Supporto Listone'!B162)</x:f>
        <x:v>Smolcic I.</x:v>
      </x:c>
      <x:c r="C162" s="433" t="str">
        <x:f>IF($J162&lt;&gt;"",REGEXREPLACE(TO_TEXT('_Supporto Listone'!C162),"(.)","$1"&amp;UNICHAR(822)),'_Supporto Listone'!C162)</x:f>
        <x:v>Como</x:v>
      </x:c>
      <x:c r="D162" s="433" t="str">
        <x:f>IF($J162&lt;&gt;"",REGEXREPLACE(TO_TEXT('_Supporto Listone'!D162),"(.)","$1"&amp;UNICHAR(822)),'_Supporto Listone'!D162)</x:f>
        <x:v>Dd;E</x:v>
      </x:c>
      <x:c r="E162" s="433" t="str">
        <x:f>IF($J162&lt;&gt;"",REGEXREPLACE(TO_TEXT('_Supporto Listone'!E162),"(.)","$1"&amp;UNICHAR(822)),'_Supporto Listone'!E162)</x:f>
        <x:v>Ballottaggio</x:v>
      </x:c>
      <x:c r="F162" s="462" t="n">
        <x:f>IF($J162&lt;&gt;"",REGEXREPLACE(TO_TEXT('_Supporto Listone'!F162),"(.)","$1"&amp;UNICHAR(822)),'_Supporto Listone'!F162)</x:f>
        <x:v>4</x:v>
      </x:c>
      <x:c r="G162" s="462" t="n">
        <x:f>IF($J162&lt;&gt;"",REGEXREPLACE(TO_TEXT('_Supporto Listone'!G162),"(.)","$1"&amp;UNICHAR(822)),'_Supporto Listone'!G162)</x:f>
        <x:v>10</x:v>
      </x:c>
      <x:c r="H162" s="462" t="n">
        <x:f>IF($J162&lt;&gt;"",REGEXREPLACE(TO_TEXT('_Supporto Listone'!H162),"(.)","$1"&amp;UNICHAR(822)),'_Supporto Listone'!H162)</x:f>
        <x:v>5</x:v>
      </x:c>
      <x:c r="I162" s="434"/>
      <x:c r="J162" s="433" t="str">
        <x:f>IF(COUNTIF(Asta!$B$4:$B$47,'_Supporto Listone'!B162)&gt;0,"Simone",IF(COUNTIF(Asta!$D$4:$D$47,'_Supporto Listone'!B162)&gt;0,"Giacomo",IF(COUNTIF(Asta!$F$4:$F$47,'_Supporto Listone'!B162)&gt;0,"Niko",IF(COUNTIF(Asta!$H$4:$H$47,'_Supporto Listone'!B162)&gt;0,"Quici",IF(COUNTIF(Asta!$J$4:$J$47,'_Supporto Listone'!B162)&gt;0,"Fratello Quici",IF(COUNTIF(Asta!$L$4:$L$47,'_Supporto Listone'!B162)&gt;0,"Nicolò",IF(COUNTIF(Asta!$N$4:$N$47,'_Supporto Listone'!B162)&gt;0,"Vi",IF(COUNTIF(Asta!$P$4:$P$47,'_Supporto Listone'!B162)&gt;0,"Lore",IF(COUNTIF(Asta!$R$4:$R$47,'_Supporto Listone'!B162)&gt;0,"Robbo",IF(COUNTIF(Asta!$T$4:$T$47,'_Supporto Listone'!B162)&gt;0,"Ale",""))))))))))</x:f>
      </x:c>
      <x:c r="K162" s="493" t="str">
        <x:f>IF(COUNTIF(Asta!$B$4:$B$47,'_Supporto Listone'!B162)&gt;0,INDEX(Asta!$C$4:$C$47,MATCH('_Supporto Listone'!B162,Asta!$B$4:$B$47,0)),IF(COUNTIF(Asta!$D$4:$D$47,'_Supporto Listone'!B162)&gt;0,INDEX(Asta!$E$4:$E$47,MATCH('_Supporto Listone'!B162,Asta!$D$4:$D$47,0)),IF(COUNTIF(Asta!$F$4:$F$47,'_Supporto Listone'!B162)&gt;0,INDEX(Asta!$G$4:$G$47,MATCH('_Supporto Listone'!B162,Asta!$F$4:$F$47,0)),IF(COUNTIF(Asta!$H$4:$H$47,'_Supporto Listone'!B162)&gt;0,INDEX(Asta!$I$4:$I$47,MATCH('_Supporto Listone'!B162,Asta!$H$4:$H$47,0)),IF(COUNTIF(Asta!$J$4:$J$47,'_Supporto Listone'!B162)&gt;0,INDEX(Asta!$K$4:$K$47,MATCH('_Supporto Listone'!B162,Asta!$J$4:$J$47,0)),IF(COUNTIF(Asta!$L$4:$L$47,'_Supporto Listone'!B162)&gt;0,INDEX(Asta!$M$4:$M$47,MATCH('_Supporto Listone'!B162,Asta!$L$4:$L$47,0)),IF(COUNTIF(Asta!$N$4:$N$47,'_Supporto Listone'!B162)&gt;0,INDEX(Asta!$O$4:$O$47,MATCH('_Supporto Listone'!B162,Asta!$N$4:$N$47,0)),IF(COUNTIF(Asta!$P$4:$P$47,'_Supporto Listone'!B162)&gt;0,INDEX(Asta!$Q$4:$Q$47,MATCH('_Supporto Listone'!B162,Asta!$P$4:$P$47,0)),IF(COUNTIF(Asta!$R$4:$R$47,'_Supporto Listone'!B162)&gt;0,INDEX(Asta!$S$4:$S$47,MATCH('_Supporto Listone'!B162,Asta!$R$4:$R$47,0)),IF(COUNTIF(Asta!$T$4:$T$47,'_Supporto Listone'!B162)&gt;0,INDEX(Asta!$U$4:$U$47,MATCH('_Supporto Listone'!B162,Asta!$T$4:$T$47,0)),""))))))))))</x:f>
      </x:c>
    </x:row>
    <x:row r="163">
      <x:c r="A163" s="432" t="str">
        <x:f>IF($J163&lt;&gt;"",REGEXREPLACE(TO_TEXT('_Supporto Listone'!A163),"(.)","$1"&amp;UNICHAR(822)),'_Supporto Listone'!A163)</x:f>
        <x:v>D</x:v>
      </x:c>
      <x:c r="B163" s="433" t="str">
        <x:f>IF($J163&lt;&gt;"",REGEXREPLACE(TO_TEXT('_Supporto Listone'!B163),"(.)","$1"&amp;UNICHAR(822)),'_Supporto Listone'!B163)</x:f>
        <x:v>Pongracic</x:v>
      </x:c>
      <x:c r="C163" s="433" t="str">
        <x:f>IF($J163&lt;&gt;"",REGEXREPLACE(TO_TEXT('_Supporto Listone'!C163),"(.)","$1"&amp;UNICHAR(822)),'_Supporto Listone'!C163)</x:f>
        <x:v>Fiorentina</x:v>
      </x:c>
      <x:c r="D163" s="433" t="str">
        <x:f>IF($J163&lt;&gt;"",REGEXREPLACE(TO_TEXT('_Supporto Listone'!D163),"(.)","$1"&amp;UNICHAR(822)),'_Supporto Listone'!D163)</x:f>
        <x:v>Dc</x:v>
      </x:c>
      <x:c r="E163" s="433" t="str">
        <x:f>IF($J163&lt;&gt;"",REGEXREPLACE(TO_TEXT('_Supporto Listone'!E163),"(.)","$1"&amp;UNICHAR(822)),'_Supporto Listone'!E163)</x:f>
        <x:v>Ballottaggio</x:v>
      </x:c>
      <x:c r="F163" s="462" t="n">
        <x:f>IF($J163&lt;&gt;"",REGEXREPLACE(TO_TEXT('_Supporto Listone'!F163),"(.)","$1"&amp;UNICHAR(822)),'_Supporto Listone'!F163)</x:f>
        <x:v>4</x:v>
      </x:c>
      <x:c r="G163" s="462" t="n">
        <x:f>IF($J163&lt;&gt;"",REGEXREPLACE(TO_TEXT('_Supporto Listone'!G163),"(.)","$1"&amp;UNICHAR(822)),'_Supporto Listone'!G163)</x:f>
        <x:v>8</x:v>
      </x:c>
      <x:c r="H163" s="462" t="n">
        <x:f>IF($J163&lt;&gt;"",REGEXREPLACE(TO_TEXT('_Supporto Listone'!H163),"(.)","$1"&amp;UNICHAR(822)),'_Supporto Listone'!H163)</x:f>
        <x:v>4</x:v>
      </x:c>
      <x:c r="I163" s="434"/>
      <x:c r="J163" s="433" t="str">
        <x:f>IF(COUNTIF(Asta!$B$4:$B$47,'_Supporto Listone'!B163)&gt;0,"Simone",IF(COUNTIF(Asta!$D$4:$D$47,'_Supporto Listone'!B163)&gt;0,"Giacomo",IF(COUNTIF(Asta!$F$4:$F$47,'_Supporto Listone'!B163)&gt;0,"Niko",IF(COUNTIF(Asta!$H$4:$H$47,'_Supporto Listone'!B163)&gt;0,"Quici",IF(COUNTIF(Asta!$J$4:$J$47,'_Supporto Listone'!B163)&gt;0,"Fratello Quici",IF(COUNTIF(Asta!$L$4:$L$47,'_Supporto Listone'!B163)&gt;0,"Nicolò",IF(COUNTIF(Asta!$N$4:$N$47,'_Supporto Listone'!B163)&gt;0,"Vi",IF(COUNTIF(Asta!$P$4:$P$47,'_Supporto Listone'!B163)&gt;0,"Lore",IF(COUNTIF(Asta!$R$4:$R$47,'_Supporto Listone'!B163)&gt;0,"Robbo",IF(COUNTIF(Asta!$T$4:$T$47,'_Supporto Listone'!B163)&gt;0,"Ale",""))))))))))</x:f>
      </x:c>
      <x:c r="K163" s="493" t="str">
        <x:f>IF(COUNTIF(Asta!$B$4:$B$47,'_Supporto Listone'!B163)&gt;0,INDEX(Asta!$C$4:$C$47,MATCH('_Supporto Listone'!B163,Asta!$B$4:$B$47,0)),IF(COUNTIF(Asta!$D$4:$D$47,'_Supporto Listone'!B163)&gt;0,INDEX(Asta!$E$4:$E$47,MATCH('_Supporto Listone'!B163,Asta!$D$4:$D$47,0)),IF(COUNTIF(Asta!$F$4:$F$47,'_Supporto Listone'!B163)&gt;0,INDEX(Asta!$G$4:$G$47,MATCH('_Supporto Listone'!B163,Asta!$F$4:$F$47,0)),IF(COUNTIF(Asta!$H$4:$H$47,'_Supporto Listone'!B163)&gt;0,INDEX(Asta!$I$4:$I$47,MATCH('_Supporto Listone'!B163,Asta!$H$4:$H$47,0)),IF(COUNTIF(Asta!$J$4:$J$47,'_Supporto Listone'!B163)&gt;0,INDEX(Asta!$K$4:$K$47,MATCH('_Supporto Listone'!B163,Asta!$J$4:$J$47,0)),IF(COUNTIF(Asta!$L$4:$L$47,'_Supporto Listone'!B163)&gt;0,INDEX(Asta!$M$4:$M$47,MATCH('_Supporto Listone'!B163,Asta!$L$4:$L$47,0)),IF(COUNTIF(Asta!$N$4:$N$47,'_Supporto Listone'!B163)&gt;0,INDEX(Asta!$O$4:$O$47,MATCH('_Supporto Listone'!B163,Asta!$N$4:$N$47,0)),IF(COUNTIF(Asta!$P$4:$P$47,'_Supporto Listone'!B163)&gt;0,INDEX(Asta!$Q$4:$Q$47,MATCH('_Supporto Listone'!B163,Asta!$P$4:$P$47,0)),IF(COUNTIF(Asta!$R$4:$R$47,'_Supporto Listone'!B163)&gt;0,INDEX(Asta!$S$4:$S$47,MATCH('_Supporto Listone'!B163,Asta!$R$4:$R$47,0)),IF(COUNTIF(Asta!$T$4:$T$47,'_Supporto Listone'!B163)&gt;0,INDEX(Asta!$U$4:$U$47,MATCH('_Supporto Listone'!B163,Asta!$T$4:$T$47,0)),""))))))))))</x:f>
      </x:c>
    </x:row>
    <x:row r="164">
      <x:c r="A164" s="432" t="str">
        <x:f>IF($J164&lt;&gt;"",REGEXREPLACE(TO_TEXT('_Supporto Listone'!A164),"(.)","$1"&amp;UNICHAR(822)),'_Supporto Listone'!A164)</x:f>
        <x:v>D</x:v>
      </x:c>
      <x:c r="B164" s="433" t="str">
        <x:f>IF($J164&lt;&gt;"",REGEXREPLACE(TO_TEXT('_Supporto Listone'!B164),"(.)","$1"&amp;UNICHAR(822)),'_Supporto Listone'!B164)</x:f>
        <x:v>Calvani</x:v>
      </x:c>
      <x:c r="C164" s="433" t="str">
        <x:f>IF($J164&lt;&gt;"",REGEXREPLACE(TO_TEXT('_Supporto Listone'!C164),"(.)","$1"&amp;UNICHAR(822)),'_Supporto Listone'!C164)</x:f>
        <x:v>Frosinone</x:v>
      </x:c>
      <x:c r="D164" s="433" t="str">
        <x:f>IF($J164&lt;&gt;"",REGEXREPLACE(TO_TEXT('_Supporto Listone'!D164),"(.)","$1"&amp;UNICHAR(822)),'_Supporto Listone'!D164)</x:f>
        <x:v>Dc</x:v>
      </x:c>
      <x:c r="E164" s="433" t="str">
        <x:f>IF($J164&lt;&gt;"",REGEXREPLACE(TO_TEXT('_Supporto Listone'!E164),"(.)","$1"&amp;UNICHAR(822)),'_Supporto Listone'!E164)</x:f>
        <x:v>Titolare</x:v>
      </x:c>
      <x:c r="F164" s="462" t="n">
        <x:f>IF($J164&lt;&gt;"",REGEXREPLACE(TO_TEXT('_Supporto Listone'!F164),"(.)","$1"&amp;UNICHAR(822)),'_Supporto Listone'!F164)</x:f>
        <x:v>4</x:v>
      </x:c>
      <x:c r="G164" s="462" t="n">
        <x:f>IF($J164&lt;&gt;"",REGEXREPLACE(TO_TEXT('_Supporto Listone'!G164),"(.)","$1"&amp;UNICHAR(822)),'_Supporto Listone'!G164)</x:f>
        <x:v>10</x:v>
      </x:c>
      <x:c r="H164" s="462" t="n">
        <x:f>IF($J164&lt;&gt;"",REGEXREPLACE(TO_TEXT('_Supporto Listone'!H164),"(.)","$1"&amp;UNICHAR(822)),'_Supporto Listone'!H164)</x:f>
        <x:v>5</x:v>
      </x:c>
      <x:c r="I164" s="434"/>
      <x:c r="J164" s="433" t="str">
        <x:f>IF(COUNTIF(Asta!$B$4:$B$47,'_Supporto Listone'!B164)&gt;0,"Simone",IF(COUNTIF(Asta!$D$4:$D$47,'_Supporto Listone'!B164)&gt;0,"Giacomo",IF(COUNTIF(Asta!$F$4:$F$47,'_Supporto Listone'!B164)&gt;0,"Niko",IF(COUNTIF(Asta!$H$4:$H$47,'_Supporto Listone'!B164)&gt;0,"Quici",IF(COUNTIF(Asta!$J$4:$J$47,'_Supporto Listone'!B164)&gt;0,"Fratello Quici",IF(COUNTIF(Asta!$L$4:$L$47,'_Supporto Listone'!B164)&gt;0,"Nicolò",IF(COUNTIF(Asta!$N$4:$N$47,'_Supporto Listone'!B164)&gt;0,"Vi",IF(COUNTIF(Asta!$P$4:$P$47,'_Supporto Listone'!B164)&gt;0,"Lore",IF(COUNTIF(Asta!$R$4:$R$47,'_Supporto Listone'!B164)&gt;0,"Robbo",IF(COUNTIF(Asta!$T$4:$T$47,'_Supporto Listone'!B164)&gt;0,"Ale",""))))))))))</x:f>
      </x:c>
      <x:c r="K164" s="493" t="str">
        <x:f>IF(COUNTIF(Asta!$B$4:$B$47,'_Supporto Listone'!B164)&gt;0,INDEX(Asta!$C$4:$C$47,MATCH('_Supporto Listone'!B164,Asta!$B$4:$B$47,0)),IF(COUNTIF(Asta!$D$4:$D$47,'_Supporto Listone'!B164)&gt;0,INDEX(Asta!$E$4:$E$47,MATCH('_Supporto Listone'!B164,Asta!$D$4:$D$47,0)),IF(COUNTIF(Asta!$F$4:$F$47,'_Supporto Listone'!B164)&gt;0,INDEX(Asta!$G$4:$G$47,MATCH('_Supporto Listone'!B164,Asta!$F$4:$F$47,0)),IF(COUNTIF(Asta!$H$4:$H$47,'_Supporto Listone'!B164)&gt;0,INDEX(Asta!$I$4:$I$47,MATCH('_Supporto Listone'!B164,Asta!$H$4:$H$47,0)),IF(COUNTIF(Asta!$J$4:$J$47,'_Supporto Listone'!B164)&gt;0,INDEX(Asta!$K$4:$K$47,MATCH('_Supporto Listone'!B164,Asta!$J$4:$J$47,0)),IF(COUNTIF(Asta!$L$4:$L$47,'_Supporto Listone'!B164)&gt;0,INDEX(Asta!$M$4:$M$47,MATCH('_Supporto Listone'!B164,Asta!$L$4:$L$47,0)),IF(COUNTIF(Asta!$N$4:$N$47,'_Supporto Listone'!B164)&gt;0,INDEX(Asta!$O$4:$O$47,MATCH('_Supporto Listone'!B164,Asta!$N$4:$N$47,0)),IF(COUNTIF(Asta!$P$4:$P$47,'_Supporto Listone'!B164)&gt;0,INDEX(Asta!$Q$4:$Q$47,MATCH('_Supporto Listone'!B164,Asta!$P$4:$P$47,0)),IF(COUNTIF(Asta!$R$4:$R$47,'_Supporto Listone'!B164)&gt;0,INDEX(Asta!$S$4:$S$47,MATCH('_Supporto Listone'!B164,Asta!$R$4:$R$47,0)),IF(COUNTIF(Asta!$T$4:$T$47,'_Supporto Listone'!B164)&gt;0,INDEX(Asta!$U$4:$U$47,MATCH('_Supporto Listone'!B164,Asta!$T$4:$T$47,0)),""))))))))))</x:f>
      </x:c>
    </x:row>
    <x:row r="165">
      <x:c r="A165" s="432" t="str">
        <x:f>IF($J165&lt;&gt;"",REGEXREPLACE(TO_TEXT('_Supporto Listone'!A165),"(.)","$1"&amp;UNICHAR(822)),'_Supporto Listone'!A165)</x:f>
        <x:v>D</x:v>
      </x:c>
      <x:c r="B165" s="433" t="str">
        <x:f>IF($J165&lt;&gt;"",REGEXREPLACE(TO_TEXT('_Supporto Listone'!B165),"(.)","$1"&amp;UNICHAR(822)),'_Supporto Listone'!B165)</x:f>
        <x:v>Mitaj</x:v>
      </x:c>
      <x:c r="C165" s="433" t="str">
        <x:f>IF($J165&lt;&gt;"",REGEXREPLACE(TO_TEXT('_Supporto Listone'!C165),"(.)","$1"&amp;UNICHAR(822)),'_Supporto Listone'!C165)</x:f>
        <x:v>Genoa</x:v>
      </x:c>
      <x:c r="D165" s="433" t="str">
        <x:f>IF($J165&lt;&gt;"",REGEXREPLACE(TO_TEXT('_Supporto Listone'!D165),"(.)","$1"&amp;UNICHAR(822)),'_Supporto Listone'!D165)</x:f>
        <x:v>Ds;E</x:v>
      </x:c>
      <x:c r="E165" s="433" t="str">
        <x:f>IF($J165&lt;&gt;"",REGEXREPLACE(TO_TEXT('_Supporto Listone'!E165),"(.)","$1"&amp;UNICHAR(822)),'_Supporto Listone'!E165)</x:f>
        <x:v>Titolare / ballottaggio</x:v>
      </x:c>
      <x:c r="F165" s="462" t="n">
        <x:f>IF($J165&lt;&gt;"",REGEXREPLACE(TO_TEXT('_Supporto Listone'!F165),"(.)","$1"&amp;UNICHAR(822)),'_Supporto Listone'!F165)</x:f>
        <x:v>4</x:v>
      </x:c>
      <x:c r="G165" s="462" t="n">
        <x:f>IF($J165&lt;&gt;"",REGEXREPLACE(TO_TEXT('_Supporto Listone'!G165),"(.)","$1"&amp;UNICHAR(822)),'_Supporto Listone'!G165)</x:f>
        <x:v>9</x:v>
      </x:c>
      <x:c r="H165" s="462" t="n">
        <x:f>IF($J165&lt;&gt;"",REGEXREPLACE(TO_TEXT('_Supporto Listone'!H165),"(.)","$1"&amp;UNICHAR(822)),'_Supporto Listone'!H165)</x:f>
        <x:v>5</x:v>
      </x:c>
      <x:c r="I165" s="434"/>
      <x:c r="J165" s="433" t="str">
        <x:f>IF(COUNTIF(Asta!$B$4:$B$47,'_Supporto Listone'!B165)&gt;0,"Simone",IF(COUNTIF(Asta!$D$4:$D$47,'_Supporto Listone'!B165)&gt;0,"Giacomo",IF(COUNTIF(Asta!$F$4:$F$47,'_Supporto Listone'!B165)&gt;0,"Niko",IF(COUNTIF(Asta!$H$4:$H$47,'_Supporto Listone'!B165)&gt;0,"Quici",IF(COUNTIF(Asta!$J$4:$J$47,'_Supporto Listone'!B165)&gt;0,"Fratello Quici",IF(COUNTIF(Asta!$L$4:$L$47,'_Supporto Listone'!B165)&gt;0,"Nicolò",IF(COUNTIF(Asta!$N$4:$N$47,'_Supporto Listone'!B165)&gt;0,"Vi",IF(COUNTIF(Asta!$P$4:$P$47,'_Supporto Listone'!B165)&gt;0,"Lore",IF(COUNTIF(Asta!$R$4:$R$47,'_Supporto Listone'!B165)&gt;0,"Robbo",IF(COUNTIF(Asta!$T$4:$T$47,'_Supporto Listone'!B165)&gt;0,"Ale",""))))))))))</x:f>
      </x:c>
      <x:c r="K165" s="493" t="str">
        <x:f>IF(COUNTIF(Asta!$B$4:$B$47,'_Supporto Listone'!B165)&gt;0,INDEX(Asta!$C$4:$C$47,MATCH('_Supporto Listone'!B165,Asta!$B$4:$B$47,0)),IF(COUNTIF(Asta!$D$4:$D$47,'_Supporto Listone'!B165)&gt;0,INDEX(Asta!$E$4:$E$47,MATCH('_Supporto Listone'!B165,Asta!$D$4:$D$47,0)),IF(COUNTIF(Asta!$F$4:$F$47,'_Supporto Listone'!B165)&gt;0,INDEX(Asta!$G$4:$G$47,MATCH('_Supporto Listone'!B165,Asta!$F$4:$F$47,0)),IF(COUNTIF(Asta!$H$4:$H$47,'_Supporto Listone'!B165)&gt;0,INDEX(Asta!$I$4:$I$47,MATCH('_Supporto Listone'!B165,Asta!$H$4:$H$47,0)),IF(COUNTIF(Asta!$J$4:$J$47,'_Supporto Listone'!B165)&gt;0,INDEX(Asta!$K$4:$K$47,MATCH('_Supporto Listone'!B165,Asta!$J$4:$J$47,0)),IF(COUNTIF(Asta!$L$4:$L$47,'_Supporto Listone'!B165)&gt;0,INDEX(Asta!$M$4:$M$47,MATCH('_Supporto Listone'!B165,Asta!$L$4:$L$47,0)),IF(COUNTIF(Asta!$N$4:$N$47,'_Supporto Listone'!B165)&gt;0,INDEX(Asta!$O$4:$O$47,MATCH('_Supporto Listone'!B165,Asta!$N$4:$N$47,0)),IF(COUNTIF(Asta!$P$4:$P$47,'_Supporto Listone'!B165)&gt;0,INDEX(Asta!$Q$4:$Q$47,MATCH('_Supporto Listone'!B165,Asta!$P$4:$P$47,0)),IF(COUNTIF(Asta!$R$4:$R$47,'_Supporto Listone'!B165)&gt;0,INDEX(Asta!$S$4:$S$47,MATCH('_Supporto Listone'!B165,Asta!$R$4:$R$47,0)),IF(COUNTIF(Asta!$T$4:$T$47,'_Supporto Listone'!B165)&gt;0,INDEX(Asta!$U$4:$U$47,MATCH('_Supporto Listone'!B165,Asta!$T$4:$T$47,0)),""))))))))))</x:f>
      </x:c>
    </x:row>
    <x:row r="166">
      <x:c r="A166" s="432" t="str">
        <x:f>IF($J166&lt;&gt;"",REGEXREPLACE(TO_TEXT('_Supporto Listone'!A166),"(.)","$1"&amp;UNICHAR(822)),'_Supporto Listone'!A166)</x:f>
        <x:v>D</x:v>
      </x:c>
      <x:c r="B166" s="433" t="str">
        <x:f>IF($J166&lt;&gt;"",REGEXREPLACE(TO_TEXT('_Supporto Listone'!B166),"(.)","$1"&amp;UNICHAR(822)),'_Supporto Listone'!B166)</x:f>
        <x:v>Gatti</x:v>
      </x:c>
      <x:c r="C166" s="433" t="str">
        <x:f>IF($J166&lt;&gt;"",REGEXREPLACE(TO_TEXT('_Supporto Listone'!C166),"(.)","$1"&amp;UNICHAR(822)),'_Supporto Listone'!C166)</x:f>
        <x:v>Juventus</x:v>
      </x:c>
      <x:c r="D166" s="433" t="str">
        <x:f>IF($J166&lt;&gt;"",REGEXREPLACE(TO_TEXT('_Supporto Listone'!D166),"(.)","$1"&amp;UNICHAR(822)),'_Supporto Listone'!D166)</x:f>
        <x:v>Dc</x:v>
      </x:c>
      <x:c r="E166" s="433" t="str">
        <x:f>IF($J166&lt;&gt;"",REGEXREPLACE(TO_TEXT('_Supporto Listone'!E166),"(.)","$1"&amp;UNICHAR(822)),'_Supporto Listone'!E166)</x:f>
        <x:v>Riserva / rotazione</x:v>
      </x:c>
      <x:c r="F166" s="462" t="n">
        <x:f>IF($J166&lt;&gt;"",REGEXREPLACE(TO_TEXT('_Supporto Listone'!F166),"(.)","$1"&amp;UNICHAR(822)),'_Supporto Listone'!F166)</x:f>
        <x:v>4</x:v>
      </x:c>
      <x:c r="G166" s="462" t="n">
        <x:f>IF($J166&lt;&gt;"",REGEXREPLACE(TO_TEXT('_Supporto Listone'!G166),"(.)","$1"&amp;UNICHAR(822)),'_Supporto Listone'!G166)</x:f>
        <x:v>10</x:v>
      </x:c>
      <x:c r="H166" s="462" t="n">
        <x:f>IF($J166&lt;&gt;"",REGEXREPLACE(TO_TEXT('_Supporto Listone'!H166),"(.)","$1"&amp;UNICHAR(822)),'_Supporto Listone'!H166)</x:f>
        <x:v>5</x:v>
      </x:c>
      <x:c r="I166" s="434"/>
      <x:c r="J166" s="433" t="str">
        <x:f>IF(COUNTIF(Asta!$B$4:$B$47,'_Supporto Listone'!B166)&gt;0,"Simone",IF(COUNTIF(Asta!$D$4:$D$47,'_Supporto Listone'!B166)&gt;0,"Giacomo",IF(COUNTIF(Asta!$F$4:$F$47,'_Supporto Listone'!B166)&gt;0,"Niko",IF(COUNTIF(Asta!$H$4:$H$47,'_Supporto Listone'!B166)&gt;0,"Quici",IF(COUNTIF(Asta!$J$4:$J$47,'_Supporto Listone'!B166)&gt;0,"Fratello Quici",IF(COUNTIF(Asta!$L$4:$L$47,'_Supporto Listone'!B166)&gt;0,"Nicolò",IF(COUNTIF(Asta!$N$4:$N$47,'_Supporto Listone'!B166)&gt;0,"Vi",IF(COUNTIF(Asta!$P$4:$P$47,'_Supporto Listone'!B166)&gt;0,"Lore",IF(COUNTIF(Asta!$R$4:$R$47,'_Supporto Listone'!B166)&gt;0,"Robbo",IF(COUNTIF(Asta!$T$4:$T$47,'_Supporto Listone'!B166)&gt;0,"Ale",""))))))))))</x:f>
      </x:c>
      <x:c r="K166" s="493" t="str">
        <x:f>IF(COUNTIF(Asta!$B$4:$B$47,'_Supporto Listone'!B166)&gt;0,INDEX(Asta!$C$4:$C$47,MATCH('_Supporto Listone'!B166,Asta!$B$4:$B$47,0)),IF(COUNTIF(Asta!$D$4:$D$47,'_Supporto Listone'!B166)&gt;0,INDEX(Asta!$E$4:$E$47,MATCH('_Supporto Listone'!B166,Asta!$D$4:$D$47,0)),IF(COUNTIF(Asta!$F$4:$F$47,'_Supporto Listone'!B166)&gt;0,INDEX(Asta!$G$4:$G$47,MATCH('_Supporto Listone'!B166,Asta!$F$4:$F$47,0)),IF(COUNTIF(Asta!$H$4:$H$47,'_Supporto Listone'!B166)&gt;0,INDEX(Asta!$I$4:$I$47,MATCH('_Supporto Listone'!B166,Asta!$H$4:$H$47,0)),IF(COUNTIF(Asta!$J$4:$J$47,'_Supporto Listone'!B166)&gt;0,INDEX(Asta!$K$4:$K$47,MATCH('_Supporto Listone'!B166,Asta!$J$4:$J$47,0)),IF(COUNTIF(Asta!$L$4:$L$47,'_Supporto Listone'!B166)&gt;0,INDEX(Asta!$M$4:$M$47,MATCH('_Supporto Listone'!B166,Asta!$L$4:$L$47,0)),IF(COUNTIF(Asta!$N$4:$N$47,'_Supporto Listone'!B166)&gt;0,INDEX(Asta!$O$4:$O$47,MATCH('_Supporto Listone'!B166,Asta!$N$4:$N$47,0)),IF(COUNTIF(Asta!$P$4:$P$47,'_Supporto Listone'!B166)&gt;0,INDEX(Asta!$Q$4:$Q$47,MATCH('_Supporto Listone'!B166,Asta!$P$4:$P$47,0)),IF(COUNTIF(Asta!$R$4:$R$47,'_Supporto Listone'!B166)&gt;0,INDEX(Asta!$S$4:$S$47,MATCH('_Supporto Listone'!B166,Asta!$R$4:$R$47,0)),IF(COUNTIF(Asta!$T$4:$T$47,'_Supporto Listone'!B166)&gt;0,INDEX(Asta!$U$4:$U$47,MATCH('_Supporto Listone'!B166,Asta!$T$4:$T$47,0)),""))))))))))</x:f>
      </x:c>
    </x:row>
    <x:row r="167">
      <x:c r="A167" s="432" t="str">
        <x:f>IF($J167&lt;&gt;"",REGEXREPLACE(TO_TEXT('_Supporto Listone'!A167),"(.)","$1"&amp;UNICHAR(822)),'_Supporto Listone'!A167)</x:f>
        <x:v>D</x:v>
      </x:c>
      <x:c r="B167" s="433" t="str">
        <x:f>IF($J167&lt;&gt;"",REGEXREPLACE(TO_TEXT('_Supporto Listone'!B167),"(.)","$1"&amp;UNICHAR(822)),'_Supporto Listone'!B167)</x:f>
        <x:v>Siebert</x:v>
      </x:c>
      <x:c r="C167" s="433" t="str">
        <x:f>IF($J167&lt;&gt;"",REGEXREPLACE(TO_TEXT('_Supporto Listone'!C167),"(.)","$1"&amp;UNICHAR(822)),'_Supporto Listone'!C167)</x:f>
        <x:v>Lecce</x:v>
      </x:c>
      <x:c r="D167" s="433" t="str">
        <x:f>IF($J167&lt;&gt;"",REGEXREPLACE(TO_TEXT('_Supporto Listone'!D167),"(.)","$1"&amp;UNICHAR(822)),'_Supporto Listone'!D167)</x:f>
        <x:v>Dc</x:v>
      </x:c>
      <x:c r="E167" s="433" t="str">
        <x:f>IF($J167&lt;&gt;"",REGEXREPLACE(TO_TEXT('_Supporto Listone'!E167),"(.)","$1"&amp;UNICHAR(822)),'_Supporto Listone'!E167)</x:f>
        <x:v>Riserva / rotazione</x:v>
      </x:c>
      <x:c r="F167" s="462" t="n">
        <x:f>IF($J167&lt;&gt;"",REGEXREPLACE(TO_TEXT('_Supporto Listone'!F167),"(.)","$1"&amp;UNICHAR(822)),'_Supporto Listone'!F167)</x:f>
        <x:v>4</x:v>
      </x:c>
      <x:c r="G167" s="462" t="n">
        <x:f>IF($J167&lt;&gt;"",REGEXREPLACE(TO_TEXT('_Supporto Listone'!G167),"(.)","$1"&amp;UNICHAR(822)),'_Supporto Listone'!G167)</x:f>
        <x:v>12</x:v>
      </x:c>
      <x:c r="H167" s="462" t="n">
        <x:f>IF($J167&lt;&gt;"",REGEXREPLACE(TO_TEXT('_Supporto Listone'!H167),"(.)","$1"&amp;UNICHAR(822)),'_Supporto Listone'!H167)</x:f>
        <x:v>6</x:v>
      </x:c>
      <x:c r="I167" s="434"/>
      <x:c r="J167" s="433" t="str">
        <x:f>IF(COUNTIF(Asta!$B$4:$B$47,'_Supporto Listone'!B167)&gt;0,"Simone",IF(COUNTIF(Asta!$D$4:$D$47,'_Supporto Listone'!B167)&gt;0,"Giacomo",IF(COUNTIF(Asta!$F$4:$F$47,'_Supporto Listone'!B167)&gt;0,"Niko",IF(COUNTIF(Asta!$H$4:$H$47,'_Supporto Listone'!B167)&gt;0,"Quici",IF(COUNTIF(Asta!$J$4:$J$47,'_Supporto Listone'!B167)&gt;0,"Fratello Quici",IF(COUNTIF(Asta!$L$4:$L$47,'_Supporto Listone'!B167)&gt;0,"Nicolò",IF(COUNTIF(Asta!$N$4:$N$47,'_Supporto Listone'!B167)&gt;0,"Vi",IF(COUNTIF(Asta!$P$4:$P$47,'_Supporto Listone'!B167)&gt;0,"Lore",IF(COUNTIF(Asta!$R$4:$R$47,'_Supporto Listone'!B167)&gt;0,"Robbo",IF(COUNTIF(Asta!$T$4:$T$47,'_Supporto Listone'!B167)&gt;0,"Ale",""))))))))))</x:f>
      </x:c>
      <x:c r="K167" s="493" t="str">
        <x:f>IF(COUNTIF(Asta!$B$4:$B$47,'_Supporto Listone'!B167)&gt;0,INDEX(Asta!$C$4:$C$47,MATCH('_Supporto Listone'!B167,Asta!$B$4:$B$47,0)),IF(COUNTIF(Asta!$D$4:$D$47,'_Supporto Listone'!B167)&gt;0,INDEX(Asta!$E$4:$E$47,MATCH('_Supporto Listone'!B167,Asta!$D$4:$D$47,0)),IF(COUNTIF(Asta!$F$4:$F$47,'_Supporto Listone'!B167)&gt;0,INDEX(Asta!$G$4:$G$47,MATCH('_Supporto Listone'!B167,Asta!$F$4:$F$47,0)),IF(COUNTIF(Asta!$H$4:$H$47,'_Supporto Listone'!B167)&gt;0,INDEX(Asta!$I$4:$I$47,MATCH('_Supporto Listone'!B167,Asta!$H$4:$H$47,0)),IF(COUNTIF(Asta!$J$4:$J$47,'_Supporto Listone'!B167)&gt;0,INDEX(Asta!$K$4:$K$47,MATCH('_Supporto Listone'!B167,Asta!$J$4:$J$47,0)),IF(COUNTIF(Asta!$L$4:$L$47,'_Supporto Listone'!B167)&gt;0,INDEX(Asta!$M$4:$M$47,MATCH('_Supporto Listone'!B167,Asta!$L$4:$L$47,0)),IF(COUNTIF(Asta!$N$4:$N$47,'_Supporto Listone'!B167)&gt;0,INDEX(Asta!$O$4:$O$47,MATCH('_Supporto Listone'!B167,Asta!$N$4:$N$47,0)),IF(COUNTIF(Asta!$P$4:$P$47,'_Supporto Listone'!B167)&gt;0,INDEX(Asta!$Q$4:$Q$47,MATCH('_Supporto Listone'!B167,Asta!$P$4:$P$47,0)),IF(COUNTIF(Asta!$R$4:$R$47,'_Supporto Listone'!B167)&gt;0,INDEX(Asta!$S$4:$S$47,MATCH('_Supporto Listone'!B167,Asta!$R$4:$R$47,0)),IF(COUNTIF(Asta!$T$4:$T$47,'_Supporto Listone'!B167)&gt;0,INDEX(Asta!$U$4:$U$47,MATCH('_Supporto Listone'!B167,Asta!$T$4:$T$47,0)),""))))))))))</x:f>
      </x:c>
    </x:row>
    <x:row r="168">
      <x:c r="A168" s="432" t="str">
        <x:f>IF($J168&lt;&gt;"",REGEXREPLACE(TO_TEXT('_Supporto Listone'!A168),"(.)","$1"&amp;UNICHAR(822)),'_Supporto Listone'!A168)</x:f>
        <x:v>D</x:v>
      </x:c>
      <x:c r="B168" s="433" t="str">
        <x:f>IF($J168&lt;&gt;"",REGEXREPLACE(TO_TEXT('_Supporto Listone'!B168),"(.)","$1"&amp;UNICHAR(822)),'_Supporto Listone'!B168)</x:f>
        <x:v>Birindelli</x:v>
      </x:c>
      <x:c r="C168" s="433" t="str">
        <x:f>IF($J168&lt;&gt;"",REGEXREPLACE(TO_TEXT('_Supporto Listone'!C168),"(.)","$1"&amp;UNICHAR(822)),'_Supporto Listone'!C168)</x:f>
        <x:v>Monza</x:v>
      </x:c>
      <x:c r="D168" s="433" t="str">
        <x:f>IF($J168&lt;&gt;"",REGEXREPLACE(TO_TEXT('_Supporto Listone'!D168),"(.)","$1"&amp;UNICHAR(822)),'_Supporto Listone'!D168)</x:f>
        <x:v>Dd;Ds;E</x:v>
      </x:c>
      <x:c r="E168" s="433" t="str">
        <x:f>IF($J168&lt;&gt;"",REGEXREPLACE(TO_TEXT('_Supporto Listone'!E168),"(.)","$1"&amp;UNICHAR(822)),'_Supporto Listone'!E168)</x:f>
        <x:v>Titolare / ballottaggio</x:v>
      </x:c>
      <x:c r="F168" s="462" t="n">
        <x:f>IF($J168&lt;&gt;"",REGEXREPLACE(TO_TEXT('_Supporto Listone'!F168),"(.)","$1"&amp;UNICHAR(822)),'_Supporto Listone'!F168)</x:f>
        <x:v>4</x:v>
      </x:c>
      <x:c r="G168" s="462" t="n">
        <x:f>IF($J168&lt;&gt;"",REGEXREPLACE(TO_TEXT('_Supporto Listone'!G168),"(.)","$1"&amp;UNICHAR(822)),'_Supporto Listone'!G168)</x:f>
        <x:v>12</x:v>
      </x:c>
      <x:c r="H168" s="462" t="n">
        <x:f>IF($J168&lt;&gt;"",REGEXREPLACE(TO_TEXT('_Supporto Listone'!H168),"(.)","$1"&amp;UNICHAR(822)),'_Supporto Listone'!H168)</x:f>
        <x:v>6</x:v>
      </x:c>
      <x:c r="I168" s="434"/>
      <x:c r="J168" s="433" t="str">
        <x:f>IF(COUNTIF(Asta!$B$4:$B$47,'_Supporto Listone'!B168)&gt;0,"Simone",IF(COUNTIF(Asta!$D$4:$D$47,'_Supporto Listone'!B168)&gt;0,"Giacomo",IF(COUNTIF(Asta!$F$4:$F$47,'_Supporto Listone'!B168)&gt;0,"Niko",IF(COUNTIF(Asta!$H$4:$H$47,'_Supporto Listone'!B168)&gt;0,"Quici",IF(COUNTIF(Asta!$J$4:$J$47,'_Supporto Listone'!B168)&gt;0,"Fratello Quici",IF(COUNTIF(Asta!$L$4:$L$47,'_Supporto Listone'!B168)&gt;0,"Nicolò",IF(COUNTIF(Asta!$N$4:$N$47,'_Supporto Listone'!B168)&gt;0,"Vi",IF(COUNTIF(Asta!$P$4:$P$47,'_Supporto Listone'!B168)&gt;0,"Lore",IF(COUNTIF(Asta!$R$4:$R$47,'_Supporto Listone'!B168)&gt;0,"Robbo",IF(COUNTIF(Asta!$T$4:$T$47,'_Supporto Listone'!B168)&gt;0,"Ale",""))))))))))</x:f>
      </x:c>
      <x:c r="K168" s="493" t="str">
        <x:f>IF(COUNTIF(Asta!$B$4:$B$47,'_Supporto Listone'!B168)&gt;0,INDEX(Asta!$C$4:$C$47,MATCH('_Supporto Listone'!B168,Asta!$B$4:$B$47,0)),IF(COUNTIF(Asta!$D$4:$D$47,'_Supporto Listone'!B168)&gt;0,INDEX(Asta!$E$4:$E$47,MATCH('_Supporto Listone'!B168,Asta!$D$4:$D$47,0)),IF(COUNTIF(Asta!$F$4:$F$47,'_Supporto Listone'!B168)&gt;0,INDEX(Asta!$G$4:$G$47,MATCH('_Supporto Listone'!B168,Asta!$F$4:$F$47,0)),IF(COUNTIF(Asta!$H$4:$H$47,'_Supporto Listone'!B168)&gt;0,INDEX(Asta!$I$4:$I$47,MATCH('_Supporto Listone'!B168,Asta!$H$4:$H$47,0)),IF(COUNTIF(Asta!$J$4:$J$47,'_Supporto Listone'!B168)&gt;0,INDEX(Asta!$K$4:$K$47,MATCH('_Supporto Listone'!B168,Asta!$J$4:$J$47,0)),IF(COUNTIF(Asta!$L$4:$L$47,'_Supporto Listone'!B168)&gt;0,INDEX(Asta!$M$4:$M$47,MATCH('_Supporto Listone'!B168,Asta!$L$4:$L$47,0)),IF(COUNTIF(Asta!$N$4:$N$47,'_Supporto Listone'!B168)&gt;0,INDEX(Asta!$O$4:$O$47,MATCH('_Supporto Listone'!B168,Asta!$N$4:$N$47,0)),IF(COUNTIF(Asta!$P$4:$P$47,'_Supporto Listone'!B168)&gt;0,INDEX(Asta!$Q$4:$Q$47,MATCH('_Supporto Listone'!B168,Asta!$P$4:$P$47,0)),IF(COUNTIF(Asta!$R$4:$R$47,'_Supporto Listone'!B168)&gt;0,INDEX(Asta!$S$4:$S$47,MATCH('_Supporto Listone'!B168,Asta!$R$4:$R$47,0)),IF(COUNTIF(Asta!$T$4:$T$47,'_Supporto Listone'!B168)&gt;0,INDEX(Asta!$U$4:$U$47,MATCH('_Supporto Listone'!B168,Asta!$T$4:$T$47,0)),""))))))))))</x:f>
      </x:c>
    </x:row>
    <x:row r="169">
      <x:c r="A169" s="432" t="str">
        <x:f>IF($J169&lt;&gt;"",REGEXREPLACE(TO_TEXT('_Supporto Listone'!A169),"(.)","$1"&amp;UNICHAR(822)),'_Supporto Listone'!A169)</x:f>
        <x:v>D</x:v>
      </x:c>
      <x:c r="B169" s="433" t="str">
        <x:f>IF($J169&lt;&gt;"",REGEXREPLACE(TO_TEXT('_Supporto Listone'!B169),"(.)","$1"&amp;UNICHAR(822)),'_Supporto Listone'!B169)</x:f>
        <x:v>Delli Carri</x:v>
      </x:c>
      <x:c r="C169" s="433" t="str">
        <x:f>IF($J169&lt;&gt;"",REGEXREPLACE(TO_TEXT('_Supporto Listone'!C169),"(.)","$1"&amp;UNICHAR(822)),'_Supporto Listone'!C169)</x:f>
        <x:v>Monza</x:v>
      </x:c>
      <x:c r="D169" s="433" t="str">
        <x:f>IF($J169&lt;&gt;"",REGEXREPLACE(TO_TEXT('_Supporto Listone'!D169),"(.)","$1"&amp;UNICHAR(822)),'_Supporto Listone'!D169)</x:f>
        <x:v>Dc</x:v>
      </x:c>
      <x:c r="E169" s="433" t="str">
        <x:f>IF($J169&lt;&gt;"",REGEXREPLACE(TO_TEXT('_Supporto Listone'!E169),"(.)","$1"&amp;UNICHAR(822)),'_Supporto Listone'!E169)</x:f>
        <x:v>Riserva / rotazione</x:v>
      </x:c>
      <x:c r="F169" s="462" t="n">
        <x:f>IF($J169&lt;&gt;"",REGEXREPLACE(TO_TEXT('_Supporto Listone'!F169),"(.)","$1"&amp;UNICHAR(822)),'_Supporto Listone'!F169)</x:f>
        <x:v>4</x:v>
      </x:c>
      <x:c r="G169" s="462" t="n">
        <x:f>IF($J169&lt;&gt;"",REGEXREPLACE(TO_TEXT('_Supporto Listone'!G169),"(.)","$1"&amp;UNICHAR(822)),'_Supporto Listone'!G169)</x:f>
        <x:v>11</x:v>
      </x:c>
      <x:c r="H169" s="462" t="n">
        <x:f>IF($J169&lt;&gt;"",REGEXREPLACE(TO_TEXT('_Supporto Listone'!H169),"(.)","$1"&amp;UNICHAR(822)),'_Supporto Listone'!H169)</x:f>
        <x:v>6</x:v>
      </x:c>
      <x:c r="I169" s="434"/>
      <x:c r="J169" s="433" t="str">
        <x:f>IF(COUNTIF(Asta!$B$4:$B$47,'_Supporto Listone'!B169)&gt;0,"Simone",IF(COUNTIF(Asta!$D$4:$D$47,'_Supporto Listone'!B169)&gt;0,"Giacomo",IF(COUNTIF(Asta!$F$4:$F$47,'_Supporto Listone'!B169)&gt;0,"Niko",IF(COUNTIF(Asta!$H$4:$H$47,'_Supporto Listone'!B169)&gt;0,"Quici",IF(COUNTIF(Asta!$J$4:$J$47,'_Supporto Listone'!B169)&gt;0,"Fratello Quici",IF(COUNTIF(Asta!$L$4:$L$47,'_Supporto Listone'!B169)&gt;0,"Nicolò",IF(COUNTIF(Asta!$N$4:$N$47,'_Supporto Listone'!B169)&gt;0,"Vi",IF(COUNTIF(Asta!$P$4:$P$47,'_Supporto Listone'!B169)&gt;0,"Lore",IF(COUNTIF(Asta!$R$4:$R$47,'_Supporto Listone'!B169)&gt;0,"Robbo",IF(COUNTIF(Asta!$T$4:$T$47,'_Supporto Listone'!B169)&gt;0,"Ale",""))))))))))</x:f>
      </x:c>
      <x:c r="K169" s="493" t="str">
        <x:f>IF(COUNTIF(Asta!$B$4:$B$47,'_Supporto Listone'!B169)&gt;0,INDEX(Asta!$C$4:$C$47,MATCH('_Supporto Listone'!B169,Asta!$B$4:$B$47,0)),IF(COUNTIF(Asta!$D$4:$D$47,'_Supporto Listone'!B169)&gt;0,INDEX(Asta!$E$4:$E$47,MATCH('_Supporto Listone'!B169,Asta!$D$4:$D$47,0)),IF(COUNTIF(Asta!$F$4:$F$47,'_Supporto Listone'!B169)&gt;0,INDEX(Asta!$G$4:$G$47,MATCH('_Supporto Listone'!B169,Asta!$F$4:$F$47,0)),IF(COUNTIF(Asta!$H$4:$H$47,'_Supporto Listone'!B169)&gt;0,INDEX(Asta!$I$4:$I$47,MATCH('_Supporto Listone'!B169,Asta!$H$4:$H$47,0)),IF(COUNTIF(Asta!$J$4:$J$47,'_Supporto Listone'!B169)&gt;0,INDEX(Asta!$K$4:$K$47,MATCH('_Supporto Listone'!B169,Asta!$J$4:$J$47,0)),IF(COUNTIF(Asta!$L$4:$L$47,'_Supporto Listone'!B169)&gt;0,INDEX(Asta!$M$4:$M$47,MATCH('_Supporto Listone'!B169,Asta!$L$4:$L$47,0)),IF(COUNTIF(Asta!$N$4:$N$47,'_Supporto Listone'!B169)&gt;0,INDEX(Asta!$O$4:$O$47,MATCH('_Supporto Listone'!B169,Asta!$N$4:$N$47,0)),IF(COUNTIF(Asta!$P$4:$P$47,'_Supporto Listone'!B169)&gt;0,INDEX(Asta!$Q$4:$Q$47,MATCH('_Supporto Listone'!B169,Asta!$P$4:$P$47,0)),IF(COUNTIF(Asta!$R$4:$R$47,'_Supporto Listone'!B169)&gt;0,INDEX(Asta!$S$4:$S$47,MATCH('_Supporto Listone'!B169,Asta!$R$4:$R$47,0)),IF(COUNTIF(Asta!$T$4:$T$47,'_Supporto Listone'!B169)&gt;0,INDEX(Asta!$U$4:$U$47,MATCH('_Supporto Listone'!B169,Asta!$T$4:$T$47,0)),""))))))))))</x:f>
      </x:c>
    </x:row>
    <x:row r="170">
      <x:c r="A170" s="432" t="str">
        <x:f>IF($J170&lt;&gt;"",REGEXREPLACE(TO_TEXT('_Supporto Listone'!A170),"(.)","$1"&amp;UNICHAR(822)),'_Supporto Listone'!A170)</x:f>
        <x:v>D</x:v>
      </x:c>
      <x:c r="B170" s="433" t="str">
        <x:f>IF($J170&lt;&gt;"",REGEXREPLACE(TO_TEXT('_Supporto Listone'!B170),"(.)","$1"&amp;UNICHAR(822)),'_Supporto Listone'!B170)</x:f>
        <x:v>Lucchesi</x:v>
      </x:c>
      <x:c r="C170" s="433" t="str">
        <x:f>IF($J170&lt;&gt;"",REGEXREPLACE(TO_TEXT('_Supporto Listone'!C170),"(.)","$1"&amp;UNICHAR(822)),'_Supporto Listone'!C170)</x:f>
        <x:v>Monza</x:v>
      </x:c>
      <x:c r="D170" s="433" t="str">
        <x:f>IF($J170&lt;&gt;"",REGEXREPLACE(TO_TEXT('_Supporto Listone'!D170),"(.)","$1"&amp;UNICHAR(822)),'_Supporto Listone'!D170)</x:f>
        <x:v>Dc</x:v>
      </x:c>
      <x:c r="E170" s="433" t="str">
        <x:f>IF($J170&lt;&gt;"",REGEXREPLACE(TO_TEXT('_Supporto Listone'!E170),"(.)","$1"&amp;UNICHAR(822)),'_Supporto Listone'!E170)</x:f>
        <x:v>Titolare</x:v>
      </x:c>
      <x:c r="F170" s="462" t="n">
        <x:f>IF($J170&lt;&gt;"",REGEXREPLACE(TO_TEXT('_Supporto Listone'!F170),"(.)","$1"&amp;UNICHAR(822)),'_Supporto Listone'!F170)</x:f>
        <x:v>4</x:v>
      </x:c>
      <x:c r="G170" s="462" t="n">
        <x:f>IF($J170&lt;&gt;"",REGEXREPLACE(TO_TEXT('_Supporto Listone'!G170),"(.)","$1"&amp;UNICHAR(822)),'_Supporto Listone'!G170)</x:f>
        <x:v>12</x:v>
      </x:c>
      <x:c r="H170" s="462" t="n">
        <x:f>IF($J170&lt;&gt;"",REGEXREPLACE(TO_TEXT('_Supporto Listone'!H170),"(.)","$1"&amp;UNICHAR(822)),'_Supporto Listone'!H170)</x:f>
        <x:v>6</x:v>
      </x:c>
      <x:c r="I170" s="434"/>
      <x:c r="J170" s="433" t="str">
        <x:f>IF(COUNTIF(Asta!$B$4:$B$47,'_Supporto Listone'!B170)&gt;0,"Simone",IF(COUNTIF(Asta!$D$4:$D$47,'_Supporto Listone'!B170)&gt;0,"Giacomo",IF(COUNTIF(Asta!$F$4:$F$47,'_Supporto Listone'!B170)&gt;0,"Niko",IF(COUNTIF(Asta!$H$4:$H$47,'_Supporto Listone'!B170)&gt;0,"Quici",IF(COUNTIF(Asta!$J$4:$J$47,'_Supporto Listone'!B170)&gt;0,"Fratello Quici",IF(COUNTIF(Asta!$L$4:$L$47,'_Supporto Listone'!B170)&gt;0,"Nicolò",IF(COUNTIF(Asta!$N$4:$N$47,'_Supporto Listone'!B170)&gt;0,"Vi",IF(COUNTIF(Asta!$P$4:$P$47,'_Supporto Listone'!B170)&gt;0,"Lore",IF(COUNTIF(Asta!$R$4:$R$47,'_Supporto Listone'!B170)&gt;0,"Robbo",IF(COUNTIF(Asta!$T$4:$T$47,'_Supporto Listone'!B170)&gt;0,"Ale",""))))))))))</x:f>
      </x:c>
      <x:c r="K170" s="493" t="str">
        <x:f>IF(COUNTIF(Asta!$B$4:$B$47,'_Supporto Listone'!B170)&gt;0,INDEX(Asta!$C$4:$C$47,MATCH('_Supporto Listone'!B170,Asta!$B$4:$B$47,0)),IF(COUNTIF(Asta!$D$4:$D$47,'_Supporto Listone'!B170)&gt;0,INDEX(Asta!$E$4:$E$47,MATCH('_Supporto Listone'!B170,Asta!$D$4:$D$47,0)),IF(COUNTIF(Asta!$F$4:$F$47,'_Supporto Listone'!B170)&gt;0,INDEX(Asta!$G$4:$G$47,MATCH('_Supporto Listone'!B170,Asta!$F$4:$F$47,0)),IF(COUNTIF(Asta!$H$4:$H$47,'_Supporto Listone'!B170)&gt;0,INDEX(Asta!$I$4:$I$47,MATCH('_Supporto Listone'!B170,Asta!$H$4:$H$47,0)),IF(COUNTIF(Asta!$J$4:$J$47,'_Supporto Listone'!B170)&gt;0,INDEX(Asta!$K$4:$K$47,MATCH('_Supporto Listone'!B170,Asta!$J$4:$J$47,0)),IF(COUNTIF(Asta!$L$4:$L$47,'_Supporto Listone'!B170)&gt;0,INDEX(Asta!$M$4:$M$47,MATCH('_Supporto Listone'!B170,Asta!$L$4:$L$47,0)),IF(COUNTIF(Asta!$N$4:$N$47,'_Supporto Listone'!B170)&gt;0,INDEX(Asta!$O$4:$O$47,MATCH('_Supporto Listone'!B170,Asta!$N$4:$N$47,0)),IF(COUNTIF(Asta!$P$4:$P$47,'_Supporto Listone'!B170)&gt;0,INDEX(Asta!$Q$4:$Q$47,MATCH('_Supporto Listone'!B170,Asta!$P$4:$P$47,0)),IF(COUNTIF(Asta!$R$4:$R$47,'_Supporto Listone'!B170)&gt;0,INDEX(Asta!$S$4:$S$47,MATCH('_Supporto Listone'!B170,Asta!$R$4:$R$47,0)),IF(COUNTIF(Asta!$T$4:$T$47,'_Supporto Listone'!B170)&gt;0,INDEX(Asta!$U$4:$U$47,MATCH('_Supporto Listone'!B170,Asta!$T$4:$T$47,0)),""))))))))))</x:f>
      </x:c>
    </x:row>
    <x:row r="171">
      <x:c r="A171" s="432" t="str">
        <x:f>IF($J171&lt;&gt;"",REGEXREPLACE(TO_TEXT('_Supporto Listone'!A171),"(.)","$1"&amp;UNICHAR(822)),'_Supporto Listone'!A171)</x:f>
        <x:v>D</x:v>
      </x:c>
      <x:c r="B171" s="433" t="str">
        <x:f>IF($J171&lt;&gt;"",REGEXREPLACE(TO_TEXT('_Supporto Listone'!B171),"(.)","$1"&amp;UNICHAR(822)),'_Supporto Listone'!B171)</x:f>
        <x:v>Valenti</x:v>
      </x:c>
      <x:c r="C171" s="433" t="str">
        <x:f>IF($J171&lt;&gt;"",REGEXREPLACE(TO_TEXT('_Supporto Listone'!C171),"(.)","$1"&amp;UNICHAR(822)),'_Supporto Listone'!C171)</x:f>
        <x:v>Parma</x:v>
      </x:c>
      <x:c r="D171" s="433" t="str">
        <x:f>IF($J171&lt;&gt;"",REGEXREPLACE(TO_TEXT('_Supporto Listone'!D171),"(.)","$1"&amp;UNICHAR(822)),'_Supporto Listone'!D171)</x:f>
        <x:v>Dc</x:v>
      </x:c>
      <x:c r="E171" s="433" t="str">
        <x:f>IF($J171&lt;&gt;"",REGEXREPLACE(TO_TEXT('_Supporto Listone'!E171),"(.)","$1"&amp;UNICHAR(822)),'_Supporto Listone'!E171)</x:f>
        <x:v>Riserva / rotazione</x:v>
      </x:c>
      <x:c r="F171" s="462" t="n">
        <x:f>IF($J171&lt;&gt;"",REGEXREPLACE(TO_TEXT('_Supporto Listone'!F171),"(.)","$1"&amp;UNICHAR(822)),'_Supporto Listone'!F171)</x:f>
        <x:v>4</x:v>
      </x:c>
      <x:c r="G171" s="462" t="n">
        <x:f>IF($J171&lt;&gt;"",REGEXREPLACE(TO_TEXT('_Supporto Listone'!G171),"(.)","$1"&amp;UNICHAR(822)),'_Supporto Listone'!G171)</x:f>
        <x:v>10</x:v>
      </x:c>
      <x:c r="H171" s="462" t="n">
        <x:f>IF($J171&lt;&gt;"",REGEXREPLACE(TO_TEXT('_Supporto Listone'!H171),"(.)","$1"&amp;UNICHAR(822)),'_Supporto Listone'!H171)</x:f>
        <x:v>5</x:v>
      </x:c>
      <x:c r="I171" s="434"/>
      <x:c r="J171" s="433" t="str">
        <x:f>IF(COUNTIF(Asta!$B$4:$B$47,'_Supporto Listone'!B171)&gt;0,"Simone",IF(COUNTIF(Asta!$D$4:$D$47,'_Supporto Listone'!B171)&gt;0,"Giacomo",IF(COUNTIF(Asta!$F$4:$F$47,'_Supporto Listone'!B171)&gt;0,"Niko",IF(COUNTIF(Asta!$H$4:$H$47,'_Supporto Listone'!B171)&gt;0,"Quici",IF(COUNTIF(Asta!$J$4:$J$47,'_Supporto Listone'!B171)&gt;0,"Fratello Quici",IF(COUNTIF(Asta!$L$4:$L$47,'_Supporto Listone'!B171)&gt;0,"Nicolò",IF(COUNTIF(Asta!$N$4:$N$47,'_Supporto Listone'!B171)&gt;0,"Vi",IF(COUNTIF(Asta!$P$4:$P$47,'_Supporto Listone'!B171)&gt;0,"Lore",IF(COUNTIF(Asta!$R$4:$R$47,'_Supporto Listone'!B171)&gt;0,"Robbo",IF(COUNTIF(Asta!$T$4:$T$47,'_Supporto Listone'!B171)&gt;0,"Ale",""))))))))))</x:f>
      </x:c>
      <x:c r="K171" s="493" t="str">
        <x:f>IF(COUNTIF(Asta!$B$4:$B$47,'_Supporto Listone'!B171)&gt;0,INDEX(Asta!$C$4:$C$47,MATCH('_Supporto Listone'!B171,Asta!$B$4:$B$47,0)),IF(COUNTIF(Asta!$D$4:$D$47,'_Supporto Listone'!B171)&gt;0,INDEX(Asta!$E$4:$E$47,MATCH('_Supporto Listone'!B171,Asta!$D$4:$D$47,0)),IF(COUNTIF(Asta!$F$4:$F$47,'_Supporto Listone'!B171)&gt;0,INDEX(Asta!$G$4:$G$47,MATCH('_Supporto Listone'!B171,Asta!$F$4:$F$47,0)),IF(COUNTIF(Asta!$H$4:$H$47,'_Supporto Listone'!B171)&gt;0,INDEX(Asta!$I$4:$I$47,MATCH('_Supporto Listone'!B171,Asta!$H$4:$H$47,0)),IF(COUNTIF(Asta!$J$4:$J$47,'_Supporto Listone'!B171)&gt;0,INDEX(Asta!$K$4:$K$47,MATCH('_Supporto Listone'!B171,Asta!$J$4:$J$47,0)),IF(COUNTIF(Asta!$L$4:$L$47,'_Supporto Listone'!B171)&gt;0,INDEX(Asta!$M$4:$M$47,MATCH('_Supporto Listone'!B171,Asta!$L$4:$L$47,0)),IF(COUNTIF(Asta!$N$4:$N$47,'_Supporto Listone'!B171)&gt;0,INDEX(Asta!$O$4:$O$47,MATCH('_Supporto Listone'!B171,Asta!$N$4:$N$47,0)),IF(COUNTIF(Asta!$P$4:$P$47,'_Supporto Listone'!B171)&gt;0,INDEX(Asta!$Q$4:$Q$47,MATCH('_Supporto Listone'!B171,Asta!$P$4:$P$47,0)),IF(COUNTIF(Asta!$R$4:$R$47,'_Supporto Listone'!B171)&gt;0,INDEX(Asta!$S$4:$S$47,MATCH('_Supporto Listone'!B171,Asta!$R$4:$R$47,0)),IF(COUNTIF(Asta!$T$4:$T$47,'_Supporto Listone'!B171)&gt;0,INDEX(Asta!$U$4:$U$47,MATCH('_Supporto Listone'!B171,Asta!$T$4:$T$47,0)),""))))))))))</x:f>
      </x:c>
    </x:row>
    <x:row r="172">
      <x:c r="A172" s="432" t="str">
        <x:f>IF($J172&lt;&gt;"",REGEXREPLACE(TO_TEXT('_Supporto Listone'!A172),"(.)","$1"&amp;UNICHAR(822)),'_Supporto Listone'!A172)</x:f>
        <x:v>D</x:v>
      </x:c>
      <x:c r="B172" s="433" t="str">
        <x:f>IF($J172&lt;&gt;"",REGEXREPLACE(TO_TEXT('_Supporto Listone'!B172),"(.)","$1"&amp;UNICHAR(822)),'_Supporto Listone'!B172)</x:f>
        <x:v>Ghilardi</x:v>
      </x:c>
      <x:c r="C172" s="433" t="str">
        <x:f>IF($J172&lt;&gt;"",REGEXREPLACE(TO_TEXT('_Supporto Listone'!C172),"(.)","$1"&amp;UNICHAR(822)),'_Supporto Listone'!C172)</x:f>
        <x:v>Roma</x:v>
      </x:c>
      <x:c r="D172" s="433" t="str">
        <x:f>IF($J172&lt;&gt;"",REGEXREPLACE(TO_TEXT('_Supporto Listone'!D172),"(.)","$1"&amp;UNICHAR(822)),'_Supporto Listone'!D172)</x:f>
        <x:v>Dc</x:v>
      </x:c>
      <x:c r="E172" s="433" t="str">
        <x:f>IF($J172&lt;&gt;"",REGEXREPLACE(TO_TEXT('_Supporto Listone'!E172),"(.)","$1"&amp;UNICHAR(822)),'_Supporto Listone'!E172)</x:f>
        <x:v>Riserva / rotazione</x:v>
      </x:c>
      <x:c r="F172" s="462" t="n">
        <x:f>IF($J172&lt;&gt;"",REGEXREPLACE(TO_TEXT('_Supporto Listone'!F172),"(.)","$1"&amp;UNICHAR(822)),'_Supporto Listone'!F172)</x:f>
        <x:v>4</x:v>
      </x:c>
      <x:c r="G172" s="462" t="n">
        <x:f>IF($J172&lt;&gt;"",REGEXREPLACE(TO_TEXT('_Supporto Listone'!G172),"(.)","$1"&amp;UNICHAR(822)),'_Supporto Listone'!G172)</x:f>
        <x:v>10</x:v>
      </x:c>
      <x:c r="H172" s="462" t="n">
        <x:f>IF($J172&lt;&gt;"",REGEXREPLACE(TO_TEXT('_Supporto Listone'!H172),"(.)","$1"&amp;UNICHAR(822)),'_Supporto Listone'!H172)</x:f>
        <x:v>5</x:v>
      </x:c>
      <x:c r="I172" s="434"/>
      <x:c r="J172" s="433" t="str">
        <x:f>IF(COUNTIF(Asta!$B$4:$B$47,'_Supporto Listone'!B172)&gt;0,"Simone",IF(COUNTIF(Asta!$D$4:$D$47,'_Supporto Listone'!B172)&gt;0,"Giacomo",IF(COUNTIF(Asta!$F$4:$F$47,'_Supporto Listone'!B172)&gt;0,"Niko",IF(COUNTIF(Asta!$H$4:$H$47,'_Supporto Listone'!B172)&gt;0,"Quici",IF(COUNTIF(Asta!$J$4:$J$47,'_Supporto Listone'!B172)&gt;0,"Fratello Quici",IF(COUNTIF(Asta!$L$4:$L$47,'_Supporto Listone'!B172)&gt;0,"Nicolò",IF(COUNTIF(Asta!$N$4:$N$47,'_Supporto Listone'!B172)&gt;0,"Vi",IF(COUNTIF(Asta!$P$4:$P$47,'_Supporto Listone'!B172)&gt;0,"Lore",IF(COUNTIF(Asta!$R$4:$R$47,'_Supporto Listone'!B172)&gt;0,"Robbo",IF(COUNTIF(Asta!$T$4:$T$47,'_Supporto Listone'!B172)&gt;0,"Ale",""))))))))))</x:f>
      </x:c>
      <x:c r="K172" s="493" t="str">
        <x:f>IF(COUNTIF(Asta!$B$4:$B$47,'_Supporto Listone'!B172)&gt;0,INDEX(Asta!$C$4:$C$47,MATCH('_Supporto Listone'!B172,Asta!$B$4:$B$47,0)),IF(COUNTIF(Asta!$D$4:$D$47,'_Supporto Listone'!B172)&gt;0,INDEX(Asta!$E$4:$E$47,MATCH('_Supporto Listone'!B172,Asta!$D$4:$D$47,0)),IF(COUNTIF(Asta!$F$4:$F$47,'_Supporto Listone'!B172)&gt;0,INDEX(Asta!$G$4:$G$47,MATCH('_Supporto Listone'!B172,Asta!$F$4:$F$47,0)),IF(COUNTIF(Asta!$H$4:$H$47,'_Supporto Listone'!B172)&gt;0,INDEX(Asta!$I$4:$I$47,MATCH('_Supporto Listone'!B172,Asta!$H$4:$H$47,0)),IF(COUNTIF(Asta!$J$4:$J$47,'_Supporto Listone'!B172)&gt;0,INDEX(Asta!$K$4:$K$47,MATCH('_Supporto Listone'!B172,Asta!$J$4:$J$47,0)),IF(COUNTIF(Asta!$L$4:$L$47,'_Supporto Listone'!B172)&gt;0,INDEX(Asta!$M$4:$M$47,MATCH('_Supporto Listone'!B172,Asta!$L$4:$L$47,0)),IF(COUNTIF(Asta!$N$4:$N$47,'_Supporto Listone'!B172)&gt;0,INDEX(Asta!$O$4:$O$47,MATCH('_Supporto Listone'!B172,Asta!$N$4:$N$47,0)),IF(COUNTIF(Asta!$P$4:$P$47,'_Supporto Listone'!B172)&gt;0,INDEX(Asta!$Q$4:$Q$47,MATCH('_Supporto Listone'!B172,Asta!$P$4:$P$47,0)),IF(COUNTIF(Asta!$R$4:$R$47,'_Supporto Listone'!B172)&gt;0,INDEX(Asta!$S$4:$S$47,MATCH('_Supporto Listone'!B172,Asta!$R$4:$R$47,0)),IF(COUNTIF(Asta!$T$4:$T$47,'_Supporto Listone'!B172)&gt;0,INDEX(Asta!$U$4:$U$47,MATCH('_Supporto Listone'!B172,Asta!$T$4:$T$47,0)),""))))))))))</x:f>
      </x:c>
    </x:row>
    <x:row r="173">
      <x:c r="A173" s="432" t="str">
        <x:f>IF($J173&lt;&gt;"",REGEXREPLACE(TO_TEXT('_Supporto Listone'!A173),"(.)","$1"&amp;UNICHAR(822)),'_Supporto Listone'!A173)</x:f>
        <x:v>D</x:v>
      </x:c>
      <x:c r="B173" s="433" t="str">
        <x:f>IF($J173&lt;&gt;"",REGEXREPLACE(TO_TEXT('_Supporto Listone'!B173),"(.)","$1"&amp;UNICHAR(822)),'_Supporto Listone'!B173)</x:f>
        <x:v>Doig</x:v>
      </x:c>
      <x:c r="C173" s="433" t="str">
        <x:f>IF($J173&lt;&gt;"",REGEXREPLACE(TO_TEXT('_Supporto Listone'!C173),"(.)","$1"&amp;UNICHAR(822)),'_Supporto Listone'!C173)</x:f>
        <x:v>Sassuolo</x:v>
      </x:c>
      <x:c r="D173" s="433" t="str">
        <x:f>IF($J173&lt;&gt;"",REGEXREPLACE(TO_TEXT('_Supporto Listone'!D173),"(.)","$1"&amp;UNICHAR(822)),'_Supporto Listone'!D173)</x:f>
        <x:v>Ds;E</x:v>
      </x:c>
      <x:c r="E173" s="433" t="str">
        <x:f>IF($J173&lt;&gt;"",REGEXREPLACE(TO_TEXT('_Supporto Listone'!E173),"(.)","$1"&amp;UNICHAR(822)),'_Supporto Listone'!E173)</x:f>
        <x:v>Ballottaggio</x:v>
      </x:c>
      <x:c r="F173" s="462" t="n">
        <x:f>IF($J173&lt;&gt;"",REGEXREPLACE(TO_TEXT('_Supporto Listone'!F173),"(.)","$1"&amp;UNICHAR(822)),'_Supporto Listone'!F173)</x:f>
        <x:v>4</x:v>
      </x:c>
      <x:c r="G173" s="462" t="n">
        <x:f>IF($J173&lt;&gt;"",REGEXREPLACE(TO_TEXT('_Supporto Listone'!G173),"(.)","$1"&amp;UNICHAR(822)),'_Supporto Listone'!G173)</x:f>
        <x:v>13</x:v>
      </x:c>
      <x:c r="H173" s="462" t="n">
        <x:f>IF($J173&lt;&gt;"",REGEXREPLACE(TO_TEXT('_Supporto Listone'!H173),"(.)","$1"&amp;UNICHAR(822)),'_Supporto Listone'!H173)</x:f>
        <x:v>7</x:v>
      </x:c>
      <x:c r="I173" s="434"/>
      <x:c r="J173" s="433" t="str">
        <x:f>IF(COUNTIF(Asta!$B$4:$B$47,'_Supporto Listone'!B173)&gt;0,"Simone",IF(COUNTIF(Asta!$D$4:$D$47,'_Supporto Listone'!B173)&gt;0,"Giacomo",IF(COUNTIF(Asta!$F$4:$F$47,'_Supporto Listone'!B173)&gt;0,"Niko",IF(COUNTIF(Asta!$H$4:$H$47,'_Supporto Listone'!B173)&gt;0,"Quici",IF(COUNTIF(Asta!$J$4:$J$47,'_Supporto Listone'!B173)&gt;0,"Fratello Quici",IF(COUNTIF(Asta!$L$4:$L$47,'_Supporto Listone'!B173)&gt;0,"Nicolò",IF(COUNTIF(Asta!$N$4:$N$47,'_Supporto Listone'!B173)&gt;0,"Vi",IF(COUNTIF(Asta!$P$4:$P$47,'_Supporto Listone'!B173)&gt;0,"Lore",IF(COUNTIF(Asta!$R$4:$R$47,'_Supporto Listone'!B173)&gt;0,"Robbo",IF(COUNTIF(Asta!$T$4:$T$47,'_Supporto Listone'!B173)&gt;0,"Ale",""))))))))))</x:f>
      </x:c>
      <x:c r="K173" s="493" t="str">
        <x:f>IF(COUNTIF(Asta!$B$4:$B$47,'_Supporto Listone'!B173)&gt;0,INDEX(Asta!$C$4:$C$47,MATCH('_Supporto Listone'!B173,Asta!$B$4:$B$47,0)),IF(COUNTIF(Asta!$D$4:$D$47,'_Supporto Listone'!B173)&gt;0,INDEX(Asta!$E$4:$E$47,MATCH('_Supporto Listone'!B173,Asta!$D$4:$D$47,0)),IF(COUNTIF(Asta!$F$4:$F$47,'_Supporto Listone'!B173)&gt;0,INDEX(Asta!$G$4:$G$47,MATCH('_Supporto Listone'!B173,Asta!$F$4:$F$47,0)),IF(COUNTIF(Asta!$H$4:$H$47,'_Supporto Listone'!B173)&gt;0,INDEX(Asta!$I$4:$I$47,MATCH('_Supporto Listone'!B173,Asta!$H$4:$H$47,0)),IF(COUNTIF(Asta!$J$4:$J$47,'_Supporto Listone'!B173)&gt;0,INDEX(Asta!$K$4:$K$47,MATCH('_Supporto Listone'!B173,Asta!$J$4:$J$47,0)),IF(COUNTIF(Asta!$L$4:$L$47,'_Supporto Listone'!B173)&gt;0,INDEX(Asta!$M$4:$M$47,MATCH('_Supporto Listone'!B173,Asta!$L$4:$L$47,0)),IF(COUNTIF(Asta!$N$4:$N$47,'_Supporto Listone'!B173)&gt;0,INDEX(Asta!$O$4:$O$47,MATCH('_Supporto Listone'!B173,Asta!$N$4:$N$47,0)),IF(COUNTIF(Asta!$P$4:$P$47,'_Supporto Listone'!B173)&gt;0,INDEX(Asta!$Q$4:$Q$47,MATCH('_Supporto Listone'!B173,Asta!$P$4:$P$47,0)),IF(COUNTIF(Asta!$R$4:$R$47,'_Supporto Listone'!B173)&gt;0,INDEX(Asta!$S$4:$S$47,MATCH('_Supporto Listone'!B173,Asta!$R$4:$R$47,0)),IF(COUNTIF(Asta!$T$4:$T$47,'_Supporto Listone'!B173)&gt;0,INDEX(Asta!$U$4:$U$47,MATCH('_Supporto Listone'!B173,Asta!$T$4:$T$47,0)),""))))))))))</x:f>
      </x:c>
    </x:row>
    <x:row r="174">
      <x:c r="A174" s="432" t="str">
        <x:f>IF($J174&lt;&gt;"",REGEXREPLACE(TO_TEXT('_Supporto Listone'!A174),"(.)","$1"&amp;UNICHAR(822)),'_Supporto Listone'!A174)</x:f>
        <x:v>D</x:v>
      </x:c>
      <x:c r="B174" s="433" t="str">
        <x:f>IF($J174&lt;&gt;"",REGEXREPLACE(TO_TEXT('_Supporto Listone'!B174),"(.)","$1"&amp;UNICHAR(822)),'_Supporto Listone'!B174)</x:f>
        <x:v>Walukiewicz</x:v>
      </x:c>
      <x:c r="C174" s="433" t="str">
        <x:f>IF($J174&lt;&gt;"",REGEXREPLACE(TO_TEXT('_Supporto Listone'!C174),"(.)","$1"&amp;UNICHAR(822)),'_Supporto Listone'!C174)</x:f>
        <x:v>Sassuolo</x:v>
      </x:c>
      <x:c r="D174" s="433" t="str">
        <x:f>IF($J174&lt;&gt;"",REGEXREPLACE(TO_TEXT('_Supporto Listone'!D174),"(.)","$1"&amp;UNICHAR(822)),'_Supporto Listone'!D174)</x:f>
        <x:v>Dd;Dc</x:v>
      </x:c>
      <x:c r="E174" s="433" t="str">
        <x:f>IF($J174&lt;&gt;"",REGEXREPLACE(TO_TEXT('_Supporto Listone'!E174),"(.)","$1"&amp;UNICHAR(822)),'_Supporto Listone'!E174)</x:f>
        <x:v>Riserva / rotazione</x:v>
      </x:c>
      <x:c r="F174" s="462" t="n">
        <x:f>IF($J174&lt;&gt;"",REGEXREPLACE(TO_TEXT('_Supporto Listone'!F174),"(.)","$1"&amp;UNICHAR(822)),'_Supporto Listone'!F174)</x:f>
        <x:v>4</x:v>
      </x:c>
      <x:c r="G174" s="462" t="n">
        <x:f>IF($J174&lt;&gt;"",REGEXREPLACE(TO_TEXT('_Supporto Listone'!G174),"(.)","$1"&amp;UNICHAR(822)),'_Supporto Listone'!G174)</x:f>
        <x:v>10</x:v>
      </x:c>
      <x:c r="H174" s="462" t="n">
        <x:f>IF($J174&lt;&gt;"",REGEXREPLACE(TO_TEXT('_Supporto Listone'!H174),"(.)","$1"&amp;UNICHAR(822)),'_Supporto Listone'!H174)</x:f>
        <x:v>5</x:v>
      </x:c>
      <x:c r="I174" s="434"/>
      <x:c r="J174" s="433" t="str">
        <x:f>IF(COUNTIF(Asta!$B$4:$B$47,'_Supporto Listone'!B174)&gt;0,"Simone",IF(COUNTIF(Asta!$D$4:$D$47,'_Supporto Listone'!B174)&gt;0,"Giacomo",IF(COUNTIF(Asta!$F$4:$F$47,'_Supporto Listone'!B174)&gt;0,"Niko",IF(COUNTIF(Asta!$H$4:$H$47,'_Supporto Listone'!B174)&gt;0,"Quici",IF(COUNTIF(Asta!$J$4:$J$47,'_Supporto Listone'!B174)&gt;0,"Fratello Quici",IF(COUNTIF(Asta!$L$4:$L$47,'_Supporto Listone'!B174)&gt;0,"Nicolò",IF(COUNTIF(Asta!$N$4:$N$47,'_Supporto Listone'!B174)&gt;0,"Vi",IF(COUNTIF(Asta!$P$4:$P$47,'_Supporto Listone'!B174)&gt;0,"Lore",IF(COUNTIF(Asta!$R$4:$R$47,'_Supporto Listone'!B174)&gt;0,"Robbo",IF(COUNTIF(Asta!$T$4:$T$47,'_Supporto Listone'!B174)&gt;0,"Ale",""))))))))))</x:f>
      </x:c>
      <x:c r="K174" s="493" t="str">
        <x:f>IF(COUNTIF(Asta!$B$4:$B$47,'_Supporto Listone'!B174)&gt;0,INDEX(Asta!$C$4:$C$47,MATCH('_Supporto Listone'!B174,Asta!$B$4:$B$47,0)),IF(COUNTIF(Asta!$D$4:$D$47,'_Supporto Listone'!B174)&gt;0,INDEX(Asta!$E$4:$E$47,MATCH('_Supporto Listone'!B174,Asta!$D$4:$D$47,0)),IF(COUNTIF(Asta!$F$4:$F$47,'_Supporto Listone'!B174)&gt;0,INDEX(Asta!$G$4:$G$47,MATCH('_Supporto Listone'!B174,Asta!$F$4:$F$47,0)),IF(COUNTIF(Asta!$H$4:$H$47,'_Supporto Listone'!B174)&gt;0,INDEX(Asta!$I$4:$I$47,MATCH('_Supporto Listone'!B174,Asta!$H$4:$H$47,0)),IF(COUNTIF(Asta!$J$4:$J$47,'_Supporto Listone'!B174)&gt;0,INDEX(Asta!$K$4:$K$47,MATCH('_Supporto Listone'!B174,Asta!$J$4:$J$47,0)),IF(COUNTIF(Asta!$L$4:$L$47,'_Supporto Listone'!B174)&gt;0,INDEX(Asta!$M$4:$M$47,MATCH('_Supporto Listone'!B174,Asta!$L$4:$L$47,0)),IF(COUNTIF(Asta!$N$4:$N$47,'_Supporto Listone'!B174)&gt;0,INDEX(Asta!$O$4:$O$47,MATCH('_Supporto Listone'!B174,Asta!$N$4:$N$47,0)),IF(COUNTIF(Asta!$P$4:$P$47,'_Supporto Listone'!B174)&gt;0,INDEX(Asta!$Q$4:$Q$47,MATCH('_Supporto Listone'!B174,Asta!$P$4:$P$47,0)),IF(COUNTIF(Asta!$R$4:$R$47,'_Supporto Listone'!B174)&gt;0,INDEX(Asta!$S$4:$S$47,MATCH('_Supporto Listone'!B174,Asta!$R$4:$R$47,0)),IF(COUNTIF(Asta!$T$4:$T$47,'_Supporto Listone'!B174)&gt;0,INDEX(Asta!$U$4:$U$47,MATCH('_Supporto Listone'!B174,Asta!$T$4:$T$47,0)),""))))))))))</x:f>
      </x:c>
    </x:row>
    <x:row r="175">
      <x:c r="A175" s="432" t="str">
        <x:f>IF($J175&lt;&gt;"",REGEXREPLACE(TO_TEXT('_Supporto Listone'!A175),"(.)","$1"&amp;UNICHAR(822)),'_Supporto Listone'!A175)</x:f>
        <x:v>D</x:v>
      </x:c>
      <x:c r="B175" s="433" t="str">
        <x:f>IF($J175&lt;&gt;"",REGEXREPLACE(TO_TEXT('_Supporto Listone'!B175),"(.)","$1"&amp;UNICHAR(822)),'_Supporto Listone'!B175)</x:f>
        <x:v>Comert</x:v>
      </x:c>
      <x:c r="C175" s="433" t="str">
        <x:f>IF($J175&lt;&gt;"",REGEXREPLACE(TO_TEXT('_Supporto Listone'!C175),"(.)","$1"&amp;UNICHAR(822)),'_Supporto Listone'!C175)</x:f>
        <x:v>Torino</x:v>
      </x:c>
      <x:c r="D175" s="433" t="str">
        <x:f>IF($J175&lt;&gt;"",REGEXREPLACE(TO_TEXT('_Supporto Listone'!D175),"(.)","$1"&amp;UNICHAR(822)),'_Supporto Listone'!D175)</x:f>
        <x:v>Dc</x:v>
      </x:c>
      <x:c r="E175" s="433" t="str">
        <x:f>IF($J175&lt;&gt;"",REGEXREPLACE(TO_TEXT('_Supporto Listone'!E175),"(.)","$1"&amp;UNICHAR(822)),'_Supporto Listone'!E175)</x:f>
        <x:v>Titolare</x:v>
      </x:c>
      <x:c r="F175" s="462" t="n">
        <x:f>IF($J175&lt;&gt;"",REGEXREPLACE(TO_TEXT('_Supporto Listone'!F175),"(.)","$1"&amp;UNICHAR(822)),'_Supporto Listone'!F175)</x:f>
        <x:v>4</x:v>
      </x:c>
      <x:c r="G175" s="462" t="n">
        <x:f>IF($J175&lt;&gt;"",REGEXREPLACE(TO_TEXT('_Supporto Listone'!G175),"(.)","$1"&amp;UNICHAR(822)),'_Supporto Listone'!G175)</x:f>
        <x:v>10</x:v>
      </x:c>
      <x:c r="H175" s="462" t="n">
        <x:f>IF($J175&lt;&gt;"",REGEXREPLACE(TO_TEXT('_Supporto Listone'!H175),"(.)","$1"&amp;UNICHAR(822)),'_Supporto Listone'!H175)</x:f>
        <x:v>5</x:v>
      </x:c>
      <x:c r="I175" s="434"/>
      <x:c r="J175" s="433" t="str">
        <x:f>IF(COUNTIF(Asta!$B$4:$B$47,'_Supporto Listone'!B175)&gt;0,"Simone",IF(COUNTIF(Asta!$D$4:$D$47,'_Supporto Listone'!B175)&gt;0,"Giacomo",IF(COUNTIF(Asta!$F$4:$F$47,'_Supporto Listone'!B175)&gt;0,"Niko",IF(COUNTIF(Asta!$H$4:$H$47,'_Supporto Listone'!B175)&gt;0,"Quici",IF(COUNTIF(Asta!$J$4:$J$47,'_Supporto Listone'!B175)&gt;0,"Fratello Quici",IF(COUNTIF(Asta!$L$4:$L$47,'_Supporto Listone'!B175)&gt;0,"Nicolò",IF(COUNTIF(Asta!$N$4:$N$47,'_Supporto Listone'!B175)&gt;0,"Vi",IF(COUNTIF(Asta!$P$4:$P$47,'_Supporto Listone'!B175)&gt;0,"Lore",IF(COUNTIF(Asta!$R$4:$R$47,'_Supporto Listone'!B175)&gt;0,"Robbo",IF(COUNTIF(Asta!$T$4:$T$47,'_Supporto Listone'!B175)&gt;0,"Ale",""))))))))))</x:f>
      </x:c>
      <x:c r="K175" s="493" t="str">
        <x:f>IF(COUNTIF(Asta!$B$4:$B$47,'_Supporto Listone'!B175)&gt;0,INDEX(Asta!$C$4:$C$47,MATCH('_Supporto Listone'!B175,Asta!$B$4:$B$47,0)),IF(COUNTIF(Asta!$D$4:$D$47,'_Supporto Listone'!B175)&gt;0,INDEX(Asta!$E$4:$E$47,MATCH('_Supporto Listone'!B175,Asta!$D$4:$D$47,0)),IF(COUNTIF(Asta!$F$4:$F$47,'_Supporto Listone'!B175)&gt;0,INDEX(Asta!$G$4:$G$47,MATCH('_Supporto Listone'!B175,Asta!$F$4:$F$47,0)),IF(COUNTIF(Asta!$H$4:$H$47,'_Supporto Listone'!B175)&gt;0,INDEX(Asta!$I$4:$I$47,MATCH('_Supporto Listone'!B175,Asta!$H$4:$H$47,0)),IF(COUNTIF(Asta!$J$4:$J$47,'_Supporto Listone'!B175)&gt;0,INDEX(Asta!$K$4:$K$47,MATCH('_Supporto Listone'!B175,Asta!$J$4:$J$47,0)),IF(COUNTIF(Asta!$L$4:$L$47,'_Supporto Listone'!B175)&gt;0,INDEX(Asta!$M$4:$M$47,MATCH('_Supporto Listone'!B175,Asta!$L$4:$L$47,0)),IF(COUNTIF(Asta!$N$4:$N$47,'_Supporto Listone'!B175)&gt;0,INDEX(Asta!$O$4:$O$47,MATCH('_Supporto Listone'!B175,Asta!$N$4:$N$47,0)),IF(COUNTIF(Asta!$P$4:$P$47,'_Supporto Listone'!B175)&gt;0,INDEX(Asta!$Q$4:$Q$47,MATCH('_Supporto Listone'!B175,Asta!$P$4:$P$47,0)),IF(COUNTIF(Asta!$R$4:$R$47,'_Supporto Listone'!B175)&gt;0,INDEX(Asta!$S$4:$S$47,MATCH('_Supporto Listone'!B175,Asta!$R$4:$R$47,0)),IF(COUNTIF(Asta!$T$4:$T$47,'_Supporto Listone'!B175)&gt;0,INDEX(Asta!$U$4:$U$47,MATCH('_Supporto Listone'!B175,Asta!$T$4:$T$47,0)),""))))))))))</x:f>
      </x:c>
    </x:row>
    <x:row r="176">
      <x:c r="A176" s="432" t="str">
        <x:f>IF($J176&lt;&gt;"",REGEXREPLACE(TO_TEXT('_Supporto Listone'!A176),"(.)","$1"&amp;UNICHAR(822)),'_Supporto Listone'!A176)</x:f>
        <x:v>D</x:v>
      </x:c>
      <x:c r="B176" s="433" t="str">
        <x:f>IF($J176&lt;&gt;"",REGEXREPLACE(TO_TEXT('_Supporto Listone'!B176),"(.)","$1"&amp;UNICHAR(822)),'_Supporto Listone'!B176)</x:f>
        <x:v>Arizala</x:v>
      </x:c>
      <x:c r="C176" s="433" t="str">
        <x:f>IF($J176&lt;&gt;"",REGEXREPLACE(TO_TEXT('_Supporto Listone'!C176),"(.)","$1"&amp;UNICHAR(822)),'_Supporto Listone'!C176)</x:f>
        <x:v>Udinese</x:v>
      </x:c>
      <x:c r="D176" s="433" t="str">
        <x:f>IF($J176&lt;&gt;"",REGEXREPLACE(TO_TEXT('_Supporto Listone'!D176),"(.)","$1"&amp;UNICHAR(822)),'_Supporto Listone'!D176)</x:f>
        <x:v>Ds;E</x:v>
      </x:c>
      <x:c r="E176" s="433" t="str">
        <x:f>IF($J176&lt;&gt;"",REGEXREPLACE(TO_TEXT('_Supporto Listone'!E176),"(.)","$1"&amp;UNICHAR(822)),'_Supporto Listone'!E176)</x:f>
        <x:v>Riserva / rotazione</x:v>
      </x:c>
      <x:c r="F176" s="462" t="n">
        <x:f>IF($J176&lt;&gt;"",REGEXREPLACE(TO_TEXT('_Supporto Listone'!F176),"(.)","$1"&amp;UNICHAR(822)),'_Supporto Listone'!F176)</x:f>
        <x:v>4</x:v>
      </x:c>
      <x:c r="G176" s="462" t="n">
        <x:f>IF($J176&lt;&gt;"",REGEXREPLACE(TO_TEXT('_Supporto Listone'!G176),"(.)","$1"&amp;UNICHAR(822)),'_Supporto Listone'!G176)</x:f>
        <x:v>8</x:v>
      </x:c>
      <x:c r="H176" s="462" t="n">
        <x:f>IF($J176&lt;&gt;"",REGEXREPLACE(TO_TEXT('_Supporto Listone'!H176),"(.)","$1"&amp;UNICHAR(822)),'_Supporto Listone'!H176)</x:f>
        <x:v>4</x:v>
      </x:c>
      <x:c r="I176" s="434"/>
      <x:c r="J176" s="433" t="str">
        <x:f>IF(COUNTIF(Asta!$B$4:$B$47,'_Supporto Listone'!B176)&gt;0,"Simone",IF(COUNTIF(Asta!$D$4:$D$47,'_Supporto Listone'!B176)&gt;0,"Giacomo",IF(COUNTIF(Asta!$F$4:$F$47,'_Supporto Listone'!B176)&gt;0,"Niko",IF(COUNTIF(Asta!$H$4:$H$47,'_Supporto Listone'!B176)&gt;0,"Quici",IF(COUNTIF(Asta!$J$4:$J$47,'_Supporto Listone'!B176)&gt;0,"Fratello Quici",IF(COUNTIF(Asta!$L$4:$L$47,'_Supporto Listone'!B176)&gt;0,"Nicolò",IF(COUNTIF(Asta!$N$4:$N$47,'_Supporto Listone'!B176)&gt;0,"Vi",IF(COUNTIF(Asta!$P$4:$P$47,'_Supporto Listone'!B176)&gt;0,"Lore",IF(COUNTIF(Asta!$R$4:$R$47,'_Supporto Listone'!B176)&gt;0,"Robbo",IF(COUNTIF(Asta!$T$4:$T$47,'_Supporto Listone'!B176)&gt;0,"Ale",""))))))))))</x:f>
      </x:c>
      <x:c r="K176" s="493" t="str">
        <x:f>IF(COUNTIF(Asta!$B$4:$B$47,'_Supporto Listone'!B176)&gt;0,INDEX(Asta!$C$4:$C$47,MATCH('_Supporto Listone'!B176,Asta!$B$4:$B$47,0)),IF(COUNTIF(Asta!$D$4:$D$47,'_Supporto Listone'!B176)&gt;0,INDEX(Asta!$E$4:$E$47,MATCH('_Supporto Listone'!B176,Asta!$D$4:$D$47,0)),IF(COUNTIF(Asta!$F$4:$F$47,'_Supporto Listone'!B176)&gt;0,INDEX(Asta!$G$4:$G$47,MATCH('_Supporto Listone'!B176,Asta!$F$4:$F$47,0)),IF(COUNTIF(Asta!$H$4:$H$47,'_Supporto Listone'!B176)&gt;0,INDEX(Asta!$I$4:$I$47,MATCH('_Supporto Listone'!B176,Asta!$H$4:$H$47,0)),IF(COUNTIF(Asta!$J$4:$J$47,'_Supporto Listone'!B176)&gt;0,INDEX(Asta!$K$4:$K$47,MATCH('_Supporto Listone'!B176,Asta!$J$4:$J$47,0)),IF(COUNTIF(Asta!$L$4:$L$47,'_Supporto Listone'!B176)&gt;0,INDEX(Asta!$M$4:$M$47,MATCH('_Supporto Listone'!B176,Asta!$L$4:$L$47,0)),IF(COUNTIF(Asta!$N$4:$N$47,'_Supporto Listone'!B176)&gt;0,INDEX(Asta!$O$4:$O$47,MATCH('_Supporto Listone'!B176,Asta!$N$4:$N$47,0)),IF(COUNTIF(Asta!$P$4:$P$47,'_Supporto Listone'!B176)&gt;0,INDEX(Asta!$Q$4:$Q$47,MATCH('_Supporto Listone'!B176,Asta!$P$4:$P$47,0)),IF(COUNTIF(Asta!$R$4:$R$47,'_Supporto Listone'!B176)&gt;0,INDEX(Asta!$S$4:$S$47,MATCH('_Supporto Listone'!B176,Asta!$R$4:$R$47,0)),IF(COUNTIF(Asta!$T$4:$T$47,'_Supporto Listone'!B176)&gt;0,INDEX(Asta!$U$4:$U$47,MATCH('_Supporto Listone'!B176,Asta!$T$4:$T$47,0)),""))))))))))</x:f>
      </x:c>
    </x:row>
    <x:row r="177">
      <x:c r="A177" s="432" t="str">
        <x:f>IF($J177&lt;&gt;"",REGEXREPLACE(TO_TEXT('_Supporto Listone'!A177),"(.)","$1"&amp;UNICHAR(822)),'_Supporto Listone'!A177)</x:f>
        <x:v>D</x:v>
      </x:c>
      <x:c r="B177" s="433" t="str">
        <x:f>IF($J177&lt;&gt;"",REGEXREPLACE(TO_TEXT('_Supporto Listone'!B177),"(.)","$1"&amp;UNICHAR(822)),'_Supporto Listone'!B177)</x:f>
        <x:v>Bertola</x:v>
      </x:c>
      <x:c r="C177" s="433" t="str">
        <x:f>IF($J177&lt;&gt;"",REGEXREPLACE(TO_TEXT('_Supporto Listone'!C177),"(.)","$1"&amp;UNICHAR(822)),'_Supporto Listone'!C177)</x:f>
        <x:v>Udinese</x:v>
      </x:c>
      <x:c r="D177" s="433" t="str">
        <x:f>IF($J177&lt;&gt;"",REGEXREPLACE(TO_TEXT('_Supporto Listone'!D177),"(.)","$1"&amp;UNICHAR(822)),'_Supporto Listone'!D177)</x:f>
        <x:v>Dd;Ds;Dc</x:v>
      </x:c>
      <x:c r="E177" s="433" t="str">
        <x:f>IF($J177&lt;&gt;"",REGEXREPLACE(TO_TEXT('_Supporto Listone'!E177),"(.)","$1"&amp;UNICHAR(822)),'_Supporto Listone'!E177)</x:f>
        <x:v>Riserva / rotazione</x:v>
      </x:c>
      <x:c r="F177" s="462" t="n">
        <x:f>IF($J177&lt;&gt;"",REGEXREPLACE(TO_TEXT('_Supporto Listone'!F177),"(.)","$1"&amp;UNICHAR(822)),'_Supporto Listone'!F177)</x:f>
        <x:v>4</x:v>
      </x:c>
      <x:c r="G177" s="462" t="n">
        <x:f>IF($J177&lt;&gt;"",REGEXREPLACE(TO_TEXT('_Supporto Listone'!G177),"(.)","$1"&amp;UNICHAR(822)),'_Supporto Listone'!G177)</x:f>
        <x:v>10</x:v>
      </x:c>
      <x:c r="H177" s="462" t="n">
        <x:f>IF($J177&lt;&gt;"",REGEXREPLACE(TO_TEXT('_Supporto Listone'!H177),"(.)","$1"&amp;UNICHAR(822)),'_Supporto Listone'!H177)</x:f>
        <x:v>5</x:v>
      </x:c>
      <x:c r="I177" s="434"/>
      <x:c r="J177" s="433" t="str">
        <x:f>IF(COUNTIF(Asta!$B$4:$B$47,'_Supporto Listone'!B177)&gt;0,"Simone",IF(COUNTIF(Asta!$D$4:$D$47,'_Supporto Listone'!B177)&gt;0,"Giacomo",IF(COUNTIF(Asta!$F$4:$F$47,'_Supporto Listone'!B177)&gt;0,"Niko",IF(COUNTIF(Asta!$H$4:$H$47,'_Supporto Listone'!B177)&gt;0,"Quici",IF(COUNTIF(Asta!$J$4:$J$47,'_Supporto Listone'!B177)&gt;0,"Fratello Quici",IF(COUNTIF(Asta!$L$4:$L$47,'_Supporto Listone'!B177)&gt;0,"Nicolò",IF(COUNTIF(Asta!$N$4:$N$47,'_Supporto Listone'!B177)&gt;0,"Vi",IF(COUNTIF(Asta!$P$4:$P$47,'_Supporto Listone'!B177)&gt;0,"Lore",IF(COUNTIF(Asta!$R$4:$R$47,'_Supporto Listone'!B177)&gt;0,"Robbo",IF(COUNTIF(Asta!$T$4:$T$47,'_Supporto Listone'!B177)&gt;0,"Ale",""))))))))))</x:f>
      </x:c>
      <x:c r="K177" s="493" t="str">
        <x:f>IF(COUNTIF(Asta!$B$4:$B$47,'_Supporto Listone'!B177)&gt;0,INDEX(Asta!$C$4:$C$47,MATCH('_Supporto Listone'!B177,Asta!$B$4:$B$47,0)),IF(COUNTIF(Asta!$D$4:$D$47,'_Supporto Listone'!B177)&gt;0,INDEX(Asta!$E$4:$E$47,MATCH('_Supporto Listone'!B177,Asta!$D$4:$D$47,0)),IF(COUNTIF(Asta!$F$4:$F$47,'_Supporto Listone'!B177)&gt;0,INDEX(Asta!$G$4:$G$47,MATCH('_Supporto Listone'!B177,Asta!$F$4:$F$47,0)),IF(COUNTIF(Asta!$H$4:$H$47,'_Supporto Listone'!B177)&gt;0,INDEX(Asta!$I$4:$I$47,MATCH('_Supporto Listone'!B177,Asta!$H$4:$H$47,0)),IF(COUNTIF(Asta!$J$4:$J$47,'_Supporto Listone'!B177)&gt;0,INDEX(Asta!$K$4:$K$47,MATCH('_Supporto Listone'!B177,Asta!$J$4:$J$47,0)),IF(COUNTIF(Asta!$L$4:$L$47,'_Supporto Listone'!B177)&gt;0,INDEX(Asta!$M$4:$M$47,MATCH('_Supporto Listone'!B177,Asta!$L$4:$L$47,0)),IF(COUNTIF(Asta!$N$4:$N$47,'_Supporto Listone'!B177)&gt;0,INDEX(Asta!$O$4:$O$47,MATCH('_Supporto Listone'!B177,Asta!$N$4:$N$47,0)),IF(COUNTIF(Asta!$P$4:$P$47,'_Supporto Listone'!B177)&gt;0,INDEX(Asta!$Q$4:$Q$47,MATCH('_Supporto Listone'!B177,Asta!$P$4:$P$47,0)),IF(COUNTIF(Asta!$R$4:$R$47,'_Supporto Listone'!B177)&gt;0,INDEX(Asta!$S$4:$S$47,MATCH('_Supporto Listone'!B177,Asta!$R$4:$R$47,0)),IF(COUNTIF(Asta!$T$4:$T$47,'_Supporto Listone'!B177)&gt;0,INDEX(Asta!$U$4:$U$47,MATCH('_Supporto Listone'!B177,Asta!$T$4:$T$47,0)),""))))))))))</x:f>
      </x:c>
    </x:row>
    <x:row r="178">
      <x:c r="A178" s="432" t="str">
        <x:f>IF($J178&lt;&gt;"",REGEXREPLACE(TO_TEXT('_Supporto Listone'!A178),"(.)","$1"&amp;UNICHAR(822)),'_Supporto Listone'!A178)</x:f>
        <x:v>D</x:v>
      </x:c>
      <x:c r="B178" s="433" t="str">
        <x:f>IF($J178&lt;&gt;"",REGEXREPLACE(TO_TEXT('_Supporto Listone'!B178),"(.)","$1"&amp;UNICHAR(822)),'_Supporto Listone'!B178)</x:f>
        <x:v>Kabasele</x:v>
      </x:c>
      <x:c r="C178" s="433" t="str">
        <x:f>IF($J178&lt;&gt;"",REGEXREPLACE(TO_TEXT('_Supporto Listone'!C178),"(.)","$1"&amp;UNICHAR(822)),'_Supporto Listone'!C178)</x:f>
        <x:v>Udinese</x:v>
      </x:c>
      <x:c r="D178" s="433" t="str">
        <x:f>IF($J178&lt;&gt;"",REGEXREPLACE(TO_TEXT('_Supporto Listone'!D178),"(.)","$1"&amp;UNICHAR(822)),'_Supporto Listone'!D178)</x:f>
        <x:v>Dc</x:v>
      </x:c>
      <x:c r="E178" s="433" t="str">
        <x:f>IF($J178&lt;&gt;"",REGEXREPLACE(TO_TEXT('_Supporto Listone'!E178),"(.)","$1"&amp;UNICHAR(822)),'_Supporto Listone'!E178)</x:f>
        <x:v>Titolare</x:v>
      </x:c>
      <x:c r="F178" s="462" t="n">
        <x:f>IF($J178&lt;&gt;"",REGEXREPLACE(TO_TEXT('_Supporto Listone'!F178),"(.)","$1"&amp;UNICHAR(822)),'_Supporto Listone'!F178)</x:f>
        <x:v>4</x:v>
      </x:c>
      <x:c r="G178" s="462" t="n">
        <x:f>IF($J178&lt;&gt;"",REGEXREPLACE(TO_TEXT('_Supporto Listone'!G178),"(.)","$1"&amp;UNICHAR(822)),'_Supporto Listone'!G178)</x:f>
        <x:v>9</x:v>
      </x:c>
      <x:c r="H178" s="462" t="n">
        <x:f>IF($J178&lt;&gt;"",REGEXREPLACE(TO_TEXT('_Supporto Listone'!H178),"(.)","$1"&amp;UNICHAR(822)),'_Supporto Listone'!H178)</x:f>
        <x:v>5</x:v>
      </x:c>
      <x:c r="I178" s="434"/>
      <x:c r="J178" s="433" t="str">
        <x:f>IF(COUNTIF(Asta!$B$4:$B$47,'_Supporto Listone'!B178)&gt;0,"Simone",IF(COUNTIF(Asta!$D$4:$D$47,'_Supporto Listone'!B178)&gt;0,"Giacomo",IF(COUNTIF(Asta!$F$4:$F$47,'_Supporto Listone'!B178)&gt;0,"Niko",IF(COUNTIF(Asta!$H$4:$H$47,'_Supporto Listone'!B178)&gt;0,"Quici",IF(COUNTIF(Asta!$J$4:$J$47,'_Supporto Listone'!B178)&gt;0,"Fratello Quici",IF(COUNTIF(Asta!$L$4:$L$47,'_Supporto Listone'!B178)&gt;0,"Nicolò",IF(COUNTIF(Asta!$N$4:$N$47,'_Supporto Listone'!B178)&gt;0,"Vi",IF(COUNTIF(Asta!$P$4:$P$47,'_Supporto Listone'!B178)&gt;0,"Lore",IF(COUNTIF(Asta!$R$4:$R$47,'_Supporto Listone'!B178)&gt;0,"Robbo",IF(COUNTIF(Asta!$T$4:$T$47,'_Supporto Listone'!B178)&gt;0,"Ale",""))))))))))</x:f>
      </x:c>
      <x:c r="K178" s="493" t="str">
        <x:f>IF(COUNTIF(Asta!$B$4:$B$47,'_Supporto Listone'!B178)&gt;0,INDEX(Asta!$C$4:$C$47,MATCH('_Supporto Listone'!B178,Asta!$B$4:$B$47,0)),IF(COUNTIF(Asta!$D$4:$D$47,'_Supporto Listone'!B178)&gt;0,INDEX(Asta!$E$4:$E$47,MATCH('_Supporto Listone'!B178,Asta!$D$4:$D$47,0)),IF(COUNTIF(Asta!$F$4:$F$47,'_Supporto Listone'!B178)&gt;0,INDEX(Asta!$G$4:$G$47,MATCH('_Supporto Listone'!B178,Asta!$F$4:$F$47,0)),IF(COUNTIF(Asta!$H$4:$H$47,'_Supporto Listone'!B178)&gt;0,INDEX(Asta!$I$4:$I$47,MATCH('_Supporto Listone'!B178,Asta!$H$4:$H$47,0)),IF(COUNTIF(Asta!$J$4:$J$47,'_Supporto Listone'!B178)&gt;0,INDEX(Asta!$K$4:$K$47,MATCH('_Supporto Listone'!B178,Asta!$J$4:$J$47,0)),IF(COUNTIF(Asta!$L$4:$L$47,'_Supporto Listone'!B178)&gt;0,INDEX(Asta!$M$4:$M$47,MATCH('_Supporto Listone'!B178,Asta!$L$4:$L$47,0)),IF(COUNTIF(Asta!$N$4:$N$47,'_Supporto Listone'!B178)&gt;0,INDEX(Asta!$O$4:$O$47,MATCH('_Supporto Listone'!B178,Asta!$N$4:$N$47,0)),IF(COUNTIF(Asta!$P$4:$P$47,'_Supporto Listone'!B178)&gt;0,INDEX(Asta!$Q$4:$Q$47,MATCH('_Supporto Listone'!B178,Asta!$P$4:$P$47,0)),IF(COUNTIF(Asta!$R$4:$R$47,'_Supporto Listone'!B178)&gt;0,INDEX(Asta!$S$4:$S$47,MATCH('_Supporto Listone'!B178,Asta!$R$4:$R$47,0)),IF(COUNTIF(Asta!$T$4:$T$47,'_Supporto Listone'!B178)&gt;0,INDEX(Asta!$U$4:$U$47,MATCH('_Supporto Listone'!B178,Asta!$T$4:$T$47,0)),""))))))))))</x:f>
      </x:c>
    </x:row>
    <x:row r="179">
      <x:c r="A179" s="432" t="str">
        <x:f>IF($J179&lt;&gt;"",REGEXREPLACE(TO_TEXT('_Supporto Listone'!A179),"(.)","$1"&amp;UNICHAR(822)),'_Supporto Listone'!A179)</x:f>
        <x:v>D</x:v>
      </x:c>
      <x:c r="B179" s="433" t="str">
        <x:f>IF($J179&lt;&gt;"",REGEXREPLACE(TO_TEXT('_Supporto Listone'!B179),"(.)","$1"&amp;UNICHAR(822)),'_Supporto Listone'!B179)</x:f>
        <x:v>Zanoli</x:v>
      </x:c>
      <x:c r="C179" s="433" t="str">
        <x:f>IF($J179&lt;&gt;"",REGEXREPLACE(TO_TEXT('_Supporto Listone'!C179),"(.)","$1"&amp;UNICHAR(822)),'_Supporto Listone'!C179)</x:f>
        <x:v>Udinese</x:v>
      </x:c>
      <x:c r="D179" s="433" t="str">
        <x:f>IF($J179&lt;&gt;"",REGEXREPLACE(TO_TEXT('_Supporto Listone'!D179),"(.)","$1"&amp;UNICHAR(822)),'_Supporto Listone'!D179)</x:f>
        <x:v>Dd;E</x:v>
      </x:c>
      <x:c r="E179" s="433" t="str">
        <x:f>IF($J179&lt;&gt;"",REGEXREPLACE(TO_TEXT('_Supporto Listone'!E179),"(.)","$1"&amp;UNICHAR(822)),'_Supporto Listone'!E179)</x:f>
        <x:v>Riserva / rotazione</x:v>
      </x:c>
      <x:c r="F179" s="462" t="n">
        <x:f>IF($J179&lt;&gt;"",REGEXREPLACE(TO_TEXT('_Supporto Listone'!F179),"(.)","$1"&amp;UNICHAR(822)),'_Supporto Listone'!F179)</x:f>
        <x:v>4</x:v>
      </x:c>
      <x:c r="G179" s="462" t="n">
        <x:f>IF($J179&lt;&gt;"",REGEXREPLACE(TO_TEXT('_Supporto Listone'!G179),"(.)","$1"&amp;UNICHAR(822)),'_Supporto Listone'!G179)</x:f>
        <x:v>10</x:v>
      </x:c>
      <x:c r="H179" s="462" t="n">
        <x:f>IF($J179&lt;&gt;"",REGEXREPLACE(TO_TEXT('_Supporto Listone'!H179),"(.)","$1"&amp;UNICHAR(822)),'_Supporto Listone'!H179)</x:f>
        <x:v>5</x:v>
      </x:c>
      <x:c r="I179" s="434"/>
      <x:c r="J179" s="433" t="str">
        <x:f>IF(COUNTIF(Asta!$B$4:$B$47,'_Supporto Listone'!B179)&gt;0,"Simone",IF(COUNTIF(Asta!$D$4:$D$47,'_Supporto Listone'!B179)&gt;0,"Giacomo",IF(COUNTIF(Asta!$F$4:$F$47,'_Supporto Listone'!B179)&gt;0,"Niko",IF(COUNTIF(Asta!$H$4:$H$47,'_Supporto Listone'!B179)&gt;0,"Quici",IF(COUNTIF(Asta!$J$4:$J$47,'_Supporto Listone'!B179)&gt;0,"Fratello Quici",IF(COUNTIF(Asta!$L$4:$L$47,'_Supporto Listone'!B179)&gt;0,"Nicolò",IF(COUNTIF(Asta!$N$4:$N$47,'_Supporto Listone'!B179)&gt;0,"Vi",IF(COUNTIF(Asta!$P$4:$P$47,'_Supporto Listone'!B179)&gt;0,"Lore",IF(COUNTIF(Asta!$R$4:$R$47,'_Supporto Listone'!B179)&gt;0,"Robbo",IF(COUNTIF(Asta!$T$4:$T$47,'_Supporto Listone'!B179)&gt;0,"Ale",""))))))))))</x:f>
      </x:c>
      <x:c r="K179" s="493" t="str">
        <x:f>IF(COUNTIF(Asta!$B$4:$B$47,'_Supporto Listone'!B179)&gt;0,INDEX(Asta!$C$4:$C$47,MATCH('_Supporto Listone'!B179,Asta!$B$4:$B$47,0)),IF(COUNTIF(Asta!$D$4:$D$47,'_Supporto Listone'!B179)&gt;0,INDEX(Asta!$E$4:$E$47,MATCH('_Supporto Listone'!B179,Asta!$D$4:$D$47,0)),IF(COUNTIF(Asta!$F$4:$F$47,'_Supporto Listone'!B179)&gt;0,INDEX(Asta!$G$4:$G$47,MATCH('_Supporto Listone'!B179,Asta!$F$4:$F$47,0)),IF(COUNTIF(Asta!$H$4:$H$47,'_Supporto Listone'!B179)&gt;0,INDEX(Asta!$I$4:$I$47,MATCH('_Supporto Listone'!B179,Asta!$H$4:$H$47,0)),IF(COUNTIF(Asta!$J$4:$J$47,'_Supporto Listone'!B179)&gt;0,INDEX(Asta!$K$4:$K$47,MATCH('_Supporto Listone'!B179,Asta!$J$4:$J$47,0)),IF(COUNTIF(Asta!$L$4:$L$47,'_Supporto Listone'!B179)&gt;0,INDEX(Asta!$M$4:$M$47,MATCH('_Supporto Listone'!B179,Asta!$L$4:$L$47,0)),IF(COUNTIF(Asta!$N$4:$N$47,'_Supporto Listone'!B179)&gt;0,INDEX(Asta!$O$4:$O$47,MATCH('_Supporto Listone'!B179,Asta!$N$4:$N$47,0)),IF(COUNTIF(Asta!$P$4:$P$47,'_Supporto Listone'!B179)&gt;0,INDEX(Asta!$Q$4:$Q$47,MATCH('_Supporto Listone'!B179,Asta!$P$4:$P$47,0)),IF(COUNTIF(Asta!$R$4:$R$47,'_Supporto Listone'!B179)&gt;0,INDEX(Asta!$S$4:$S$47,MATCH('_Supporto Listone'!B179,Asta!$R$4:$R$47,0)),IF(COUNTIF(Asta!$T$4:$T$47,'_Supporto Listone'!B179)&gt;0,INDEX(Asta!$U$4:$U$47,MATCH('_Supporto Listone'!B179,Asta!$T$4:$T$47,0)),""))))))))))</x:f>
      </x:c>
    </x:row>
    <x:row r="180">
      <x:c r="A180" s="432" t="str">
        <x:f>IF($J180&lt;&gt;"",REGEXREPLACE(TO_TEXT('_Supporto Listone'!A180),"(.)","$1"&amp;UNICHAR(822)),'_Supporto Listone'!A180)</x:f>
        <x:v>D</x:v>
      </x:c>
      <x:c r="B180" s="433" t="str">
        <x:f>IF($J180&lt;&gt;"",REGEXREPLACE(TO_TEXT('_Supporto Listone'!B180),"(.)","$1"&amp;UNICHAR(822)),'_Supporto Listone'!B180)</x:f>
        <x:v>Correia T.</x:v>
      </x:c>
      <x:c r="C180" s="433" t="str">
        <x:f>IF($J180&lt;&gt;"",REGEXREPLACE(TO_TEXT('_Supporto Listone'!C180),"(.)","$1"&amp;UNICHAR(822)),'_Supporto Listone'!C180)</x:f>
        <x:v>Venezia</x:v>
      </x:c>
      <x:c r="D180" s="433" t="str">
        <x:f>IF($J180&lt;&gt;"",REGEXREPLACE(TO_TEXT('_Supporto Listone'!D180),"(.)","$1"&amp;UNICHAR(822)),'_Supporto Listone'!D180)</x:f>
        <x:v>Dd;E</x:v>
      </x:c>
      <x:c r="E180" s="433" t="str">
        <x:f>IF($J180&lt;&gt;"",REGEXREPLACE(TO_TEXT('_Supporto Listone'!E180),"(.)","$1"&amp;UNICHAR(822)),'_Supporto Listone'!E180)</x:f>
        <x:v>Ballottaggio</x:v>
      </x:c>
      <x:c r="F180" s="462" t="n">
        <x:f>IF($J180&lt;&gt;"",REGEXREPLACE(TO_TEXT('_Supporto Listone'!F180),"(.)","$1"&amp;UNICHAR(822)),'_Supporto Listone'!F180)</x:f>
        <x:v>4</x:v>
      </x:c>
      <x:c r="G180" s="462" t="n">
        <x:f>IF($J180&lt;&gt;"",REGEXREPLACE(TO_TEXT('_Supporto Listone'!G180),"(.)","$1"&amp;UNICHAR(822)),'_Supporto Listone'!G180)</x:f>
        <x:v>12</x:v>
      </x:c>
      <x:c r="H180" s="462" t="n">
        <x:f>IF($J180&lt;&gt;"",REGEXREPLACE(TO_TEXT('_Supporto Listone'!H180),"(.)","$1"&amp;UNICHAR(822)),'_Supporto Listone'!H180)</x:f>
        <x:v>6</x:v>
      </x:c>
      <x:c r="I180" s="434"/>
      <x:c r="J180" s="433" t="str">
        <x:f>IF(COUNTIF(Asta!$B$4:$B$47,'_Supporto Listone'!B180)&gt;0,"Simone",IF(COUNTIF(Asta!$D$4:$D$47,'_Supporto Listone'!B180)&gt;0,"Giacomo",IF(COUNTIF(Asta!$F$4:$F$47,'_Supporto Listone'!B180)&gt;0,"Niko",IF(COUNTIF(Asta!$H$4:$H$47,'_Supporto Listone'!B180)&gt;0,"Quici",IF(COUNTIF(Asta!$J$4:$J$47,'_Supporto Listone'!B180)&gt;0,"Fratello Quici",IF(COUNTIF(Asta!$L$4:$L$47,'_Supporto Listone'!B180)&gt;0,"Nicolò",IF(COUNTIF(Asta!$N$4:$N$47,'_Supporto Listone'!B180)&gt;0,"Vi",IF(COUNTIF(Asta!$P$4:$P$47,'_Supporto Listone'!B180)&gt;0,"Lore",IF(COUNTIF(Asta!$R$4:$R$47,'_Supporto Listone'!B180)&gt;0,"Robbo",IF(COUNTIF(Asta!$T$4:$T$47,'_Supporto Listone'!B180)&gt;0,"Ale",""))))))))))</x:f>
      </x:c>
      <x:c r="K180" s="493" t="str">
        <x:f>IF(COUNTIF(Asta!$B$4:$B$47,'_Supporto Listone'!B180)&gt;0,INDEX(Asta!$C$4:$C$47,MATCH('_Supporto Listone'!B180,Asta!$B$4:$B$47,0)),IF(COUNTIF(Asta!$D$4:$D$47,'_Supporto Listone'!B180)&gt;0,INDEX(Asta!$E$4:$E$47,MATCH('_Supporto Listone'!B180,Asta!$D$4:$D$47,0)),IF(COUNTIF(Asta!$F$4:$F$47,'_Supporto Listone'!B180)&gt;0,INDEX(Asta!$G$4:$G$47,MATCH('_Supporto Listone'!B180,Asta!$F$4:$F$47,0)),IF(COUNTIF(Asta!$H$4:$H$47,'_Supporto Listone'!B180)&gt;0,INDEX(Asta!$I$4:$I$47,MATCH('_Supporto Listone'!B180,Asta!$H$4:$H$47,0)),IF(COUNTIF(Asta!$J$4:$J$47,'_Supporto Listone'!B180)&gt;0,INDEX(Asta!$K$4:$K$47,MATCH('_Supporto Listone'!B180,Asta!$J$4:$J$47,0)),IF(COUNTIF(Asta!$L$4:$L$47,'_Supporto Listone'!B180)&gt;0,INDEX(Asta!$M$4:$M$47,MATCH('_Supporto Listone'!B180,Asta!$L$4:$L$47,0)),IF(COUNTIF(Asta!$N$4:$N$47,'_Supporto Listone'!B180)&gt;0,INDEX(Asta!$O$4:$O$47,MATCH('_Supporto Listone'!B180,Asta!$N$4:$N$47,0)),IF(COUNTIF(Asta!$P$4:$P$47,'_Supporto Listone'!B180)&gt;0,INDEX(Asta!$Q$4:$Q$47,MATCH('_Supporto Listone'!B180,Asta!$P$4:$P$47,0)),IF(COUNTIF(Asta!$R$4:$R$47,'_Supporto Listone'!B180)&gt;0,INDEX(Asta!$S$4:$S$47,MATCH('_Supporto Listone'!B180,Asta!$R$4:$R$47,0)),IF(COUNTIF(Asta!$T$4:$T$47,'_Supporto Listone'!B180)&gt;0,INDEX(Asta!$U$4:$U$47,MATCH('_Supporto Listone'!B180,Asta!$T$4:$T$47,0)),""))))))))))</x:f>
      </x:c>
    </x:row>
    <x:row r="181">
      <x:c r="A181" s="432" t="str">
        <x:f>IF($J181&lt;&gt;"",REGEXREPLACE(TO_TEXT('_Supporto Listone'!A181),"(.)","$1"&amp;UNICHAR(822)),'_Supporto Listone'!A181)</x:f>
        <x:v>D</x:v>
      </x:c>
      <x:c r="B181" s="433" t="str">
        <x:f>IF($J181&lt;&gt;"",REGEXREPLACE(TO_TEXT('_Supporto Listone'!B181),"(.)","$1"&amp;UNICHAR(822)),'_Supporto Listone'!B181)</x:f>
        <x:v>Halhal</x:v>
      </x:c>
      <x:c r="C181" s="433" t="str">
        <x:f>IF($J181&lt;&gt;"",REGEXREPLACE(TO_TEXT('_Supporto Listone'!C181),"(.)","$1"&amp;UNICHAR(822)),'_Supporto Listone'!C181)</x:f>
        <x:v>Venezia</x:v>
      </x:c>
      <x:c r="D181" s="433" t="str">
        <x:f>IF($J181&lt;&gt;"",REGEXREPLACE(TO_TEXT('_Supporto Listone'!D181),"(.)","$1"&amp;UNICHAR(822)),'_Supporto Listone'!D181)</x:f>
        <x:v>Dc</x:v>
      </x:c>
      <x:c r="E181" s="433" t="str">
        <x:f>IF($J181&lt;&gt;"",REGEXREPLACE(TO_TEXT('_Supporto Listone'!E181),"(.)","$1"&amp;UNICHAR(822)),'_Supporto Listone'!E181)</x:f>
        <x:v>Ballottaggio</x:v>
      </x:c>
      <x:c r="F181" s="462" t="n">
        <x:f>IF($J181&lt;&gt;"",REGEXREPLACE(TO_TEXT('_Supporto Listone'!F181),"(.)","$1"&amp;UNICHAR(822)),'_Supporto Listone'!F181)</x:f>
        <x:v>4</x:v>
      </x:c>
      <x:c r="G181" s="462" t="n">
        <x:f>IF($J181&lt;&gt;"",REGEXREPLACE(TO_TEXT('_Supporto Listone'!G181),"(.)","$1"&amp;UNICHAR(822)),'_Supporto Listone'!G181)</x:f>
        <x:v>10</x:v>
      </x:c>
      <x:c r="H181" s="462" t="n">
        <x:f>IF($J181&lt;&gt;"",REGEXREPLACE(TO_TEXT('_Supporto Listone'!H181),"(.)","$1"&amp;UNICHAR(822)),'_Supporto Listone'!H181)</x:f>
        <x:v>5</x:v>
      </x:c>
      <x:c r="I181" s="434"/>
      <x:c r="J181" s="433" t="str">
        <x:f>IF(COUNTIF(Asta!$B$4:$B$47,'_Supporto Listone'!B181)&gt;0,"Simone",IF(COUNTIF(Asta!$D$4:$D$47,'_Supporto Listone'!B181)&gt;0,"Giacomo",IF(COUNTIF(Asta!$F$4:$F$47,'_Supporto Listone'!B181)&gt;0,"Niko",IF(COUNTIF(Asta!$H$4:$H$47,'_Supporto Listone'!B181)&gt;0,"Quici",IF(COUNTIF(Asta!$J$4:$J$47,'_Supporto Listone'!B181)&gt;0,"Fratello Quici",IF(COUNTIF(Asta!$L$4:$L$47,'_Supporto Listone'!B181)&gt;0,"Nicolò",IF(COUNTIF(Asta!$N$4:$N$47,'_Supporto Listone'!B181)&gt;0,"Vi",IF(COUNTIF(Asta!$P$4:$P$47,'_Supporto Listone'!B181)&gt;0,"Lore",IF(COUNTIF(Asta!$R$4:$R$47,'_Supporto Listone'!B181)&gt;0,"Robbo",IF(COUNTIF(Asta!$T$4:$T$47,'_Supporto Listone'!B181)&gt;0,"Ale",""))))))))))</x:f>
      </x:c>
      <x:c r="K181" s="493" t="str">
        <x:f>IF(COUNTIF(Asta!$B$4:$B$47,'_Supporto Listone'!B181)&gt;0,INDEX(Asta!$C$4:$C$47,MATCH('_Supporto Listone'!B181,Asta!$B$4:$B$47,0)),IF(COUNTIF(Asta!$D$4:$D$47,'_Supporto Listone'!B181)&gt;0,INDEX(Asta!$E$4:$E$47,MATCH('_Supporto Listone'!B181,Asta!$D$4:$D$47,0)),IF(COUNTIF(Asta!$F$4:$F$47,'_Supporto Listone'!B181)&gt;0,INDEX(Asta!$G$4:$G$47,MATCH('_Supporto Listone'!B181,Asta!$F$4:$F$47,0)),IF(COUNTIF(Asta!$H$4:$H$47,'_Supporto Listone'!B181)&gt;0,INDEX(Asta!$I$4:$I$47,MATCH('_Supporto Listone'!B181,Asta!$H$4:$H$47,0)),IF(COUNTIF(Asta!$J$4:$J$47,'_Supporto Listone'!B181)&gt;0,INDEX(Asta!$K$4:$K$47,MATCH('_Supporto Listone'!B181,Asta!$J$4:$J$47,0)),IF(COUNTIF(Asta!$L$4:$L$47,'_Supporto Listone'!B181)&gt;0,INDEX(Asta!$M$4:$M$47,MATCH('_Supporto Listone'!B181,Asta!$L$4:$L$47,0)),IF(COUNTIF(Asta!$N$4:$N$47,'_Supporto Listone'!B181)&gt;0,INDEX(Asta!$O$4:$O$47,MATCH('_Supporto Listone'!B181,Asta!$N$4:$N$47,0)),IF(COUNTIF(Asta!$P$4:$P$47,'_Supporto Listone'!B181)&gt;0,INDEX(Asta!$Q$4:$Q$47,MATCH('_Supporto Listone'!B181,Asta!$P$4:$P$47,0)),IF(COUNTIF(Asta!$R$4:$R$47,'_Supporto Listone'!B181)&gt;0,INDEX(Asta!$S$4:$S$47,MATCH('_Supporto Listone'!B181,Asta!$R$4:$R$47,0)),IF(COUNTIF(Asta!$T$4:$T$47,'_Supporto Listone'!B181)&gt;0,INDEX(Asta!$U$4:$U$47,MATCH('_Supporto Listone'!B181,Asta!$T$4:$T$47,0)),""))))))))))</x:f>
      </x:c>
    </x:row>
    <x:row r="182">
      <x:c r="A182" s="432" t="str">
        <x:f>IF($J182&lt;&gt;"",REGEXREPLACE(TO_TEXT('_Supporto Listone'!A182),"(.)","$1"&amp;UNICHAR(822)),'_Supporto Listone'!A182)</x:f>
        <x:v>D</x:v>
      </x:c>
      <x:c r="B182" s="433" t="str">
        <x:f>IF($J182&lt;&gt;"",REGEXREPLACE(TO_TEXT('_Supporto Listone'!B182),"(.)","$1"&amp;UNICHAR(822)),'_Supporto Listone'!B182)</x:f>
        <x:v>Kossounou</x:v>
      </x:c>
      <x:c r="C182" s="433" t="str">
        <x:f>IF($J182&lt;&gt;"",REGEXREPLACE(TO_TEXT('_Supporto Listone'!C182),"(.)","$1"&amp;UNICHAR(822)),'_Supporto Listone'!C182)</x:f>
        <x:v>Atalanta</x:v>
      </x:c>
      <x:c r="D182" s="433" t="str">
        <x:f>IF($J182&lt;&gt;"",REGEXREPLACE(TO_TEXT('_Supporto Listone'!D182),"(.)","$1"&amp;UNICHAR(822)),'_Supporto Listone'!D182)</x:f>
        <x:v>Dd;Dc</x:v>
      </x:c>
      <x:c r="E182" s="433" t="str">
        <x:f>IF($J182&lt;&gt;"",REGEXREPLACE(TO_TEXT('_Supporto Listone'!E182),"(.)","$1"&amp;UNICHAR(822)),'_Supporto Listone'!E182)</x:f>
        <x:v>Riserva / rotazione</x:v>
      </x:c>
      <x:c r="F182" s="462" t="n">
        <x:f>IF($J182&lt;&gt;"",REGEXREPLACE(TO_TEXT('_Supporto Listone'!F182),"(.)","$1"&amp;UNICHAR(822)),'_Supporto Listone'!F182)</x:f>
        <x:v>3</x:v>
      </x:c>
      <x:c r="G182" s="462" t="n">
        <x:f>IF($J182&lt;&gt;"",REGEXREPLACE(TO_TEXT('_Supporto Listone'!G182),"(.)","$1"&amp;UNICHAR(822)),'_Supporto Listone'!G182)</x:f>
        <x:v>7</x:v>
      </x:c>
      <x:c r="H182" s="462" t="n">
        <x:f>IF($J182&lt;&gt;"",REGEXREPLACE(TO_TEXT('_Supporto Listone'!H182),"(.)","$1"&amp;UNICHAR(822)),'_Supporto Listone'!H182)</x:f>
        <x:v>4</x:v>
      </x:c>
      <x:c r="I182" s="434"/>
      <x:c r="J182" s="433" t="str">
        <x:f>IF(COUNTIF(Asta!$B$4:$B$47,'_Supporto Listone'!B182)&gt;0,"Simone",IF(COUNTIF(Asta!$D$4:$D$47,'_Supporto Listone'!B182)&gt;0,"Giacomo",IF(COUNTIF(Asta!$F$4:$F$47,'_Supporto Listone'!B182)&gt;0,"Niko",IF(COUNTIF(Asta!$H$4:$H$47,'_Supporto Listone'!B182)&gt;0,"Quici",IF(COUNTIF(Asta!$J$4:$J$47,'_Supporto Listone'!B182)&gt;0,"Fratello Quici",IF(COUNTIF(Asta!$L$4:$L$47,'_Supporto Listone'!B182)&gt;0,"Nicolò",IF(COUNTIF(Asta!$N$4:$N$47,'_Supporto Listone'!B182)&gt;0,"Vi",IF(COUNTIF(Asta!$P$4:$P$47,'_Supporto Listone'!B182)&gt;0,"Lore",IF(COUNTIF(Asta!$R$4:$R$47,'_Supporto Listone'!B182)&gt;0,"Robbo",IF(COUNTIF(Asta!$T$4:$T$47,'_Supporto Listone'!B182)&gt;0,"Ale",""))))))))))</x:f>
      </x:c>
      <x:c r="K182" s="493" t="str">
        <x:f>IF(COUNTIF(Asta!$B$4:$B$47,'_Supporto Listone'!B182)&gt;0,INDEX(Asta!$C$4:$C$47,MATCH('_Supporto Listone'!B182,Asta!$B$4:$B$47,0)),IF(COUNTIF(Asta!$D$4:$D$47,'_Supporto Listone'!B182)&gt;0,INDEX(Asta!$E$4:$E$47,MATCH('_Supporto Listone'!B182,Asta!$D$4:$D$47,0)),IF(COUNTIF(Asta!$F$4:$F$47,'_Supporto Listone'!B182)&gt;0,INDEX(Asta!$G$4:$G$47,MATCH('_Supporto Listone'!B182,Asta!$F$4:$F$47,0)),IF(COUNTIF(Asta!$H$4:$H$47,'_Supporto Listone'!B182)&gt;0,INDEX(Asta!$I$4:$I$47,MATCH('_Supporto Listone'!B182,Asta!$H$4:$H$47,0)),IF(COUNTIF(Asta!$J$4:$J$47,'_Supporto Listone'!B182)&gt;0,INDEX(Asta!$K$4:$K$47,MATCH('_Supporto Listone'!B182,Asta!$J$4:$J$47,0)),IF(COUNTIF(Asta!$L$4:$L$47,'_Supporto Listone'!B182)&gt;0,INDEX(Asta!$M$4:$M$47,MATCH('_Supporto Listone'!B182,Asta!$L$4:$L$47,0)),IF(COUNTIF(Asta!$N$4:$N$47,'_Supporto Listone'!B182)&gt;0,INDEX(Asta!$O$4:$O$47,MATCH('_Supporto Listone'!B182,Asta!$N$4:$N$47,0)),IF(COUNTIF(Asta!$P$4:$P$47,'_Supporto Listone'!B182)&gt;0,INDEX(Asta!$Q$4:$Q$47,MATCH('_Supporto Listone'!B182,Asta!$P$4:$P$47,0)),IF(COUNTIF(Asta!$R$4:$R$47,'_Supporto Listone'!B182)&gt;0,INDEX(Asta!$S$4:$S$47,MATCH('_Supporto Listone'!B182,Asta!$R$4:$R$47,0)),IF(COUNTIF(Asta!$T$4:$T$47,'_Supporto Listone'!B182)&gt;0,INDEX(Asta!$U$4:$U$47,MATCH('_Supporto Listone'!B182,Asta!$T$4:$T$47,0)),""))))))))))</x:f>
      </x:c>
    </x:row>
    <x:row r="183">
      <x:c r="A183" s="432" t="str">
        <x:f>IF($J183&lt;&gt;"",REGEXREPLACE(TO_TEXT('_Supporto Listone'!A183),"(.)","$1"&amp;UNICHAR(822)),'_Supporto Listone'!A183)</x:f>
        <x:v>D</x:v>
      </x:c>
      <x:c r="B183" s="433" t="str">
        <x:f>IF($J183&lt;&gt;"",REGEXREPLACE(TO_TEXT('_Supporto Listone'!B183),"(.)","$1"&amp;UNICHAR(822)),'_Supporto Listone'!B183)</x:f>
        <x:v>Casale</x:v>
      </x:c>
      <x:c r="C183" s="433" t="str">
        <x:f>IF($J183&lt;&gt;"",REGEXREPLACE(TO_TEXT('_Supporto Listone'!C183),"(.)","$1"&amp;UNICHAR(822)),'_Supporto Listone'!C183)</x:f>
        <x:v>Bologna</x:v>
      </x:c>
      <x:c r="D183" s="433" t="str">
        <x:f>IF($J183&lt;&gt;"",REGEXREPLACE(TO_TEXT('_Supporto Listone'!D183),"(.)","$1"&amp;UNICHAR(822)),'_Supporto Listone'!D183)</x:f>
        <x:v>Dc</x:v>
      </x:c>
      <x:c r="E183" s="433" t="str">
        <x:f>IF($J183&lt;&gt;"",REGEXREPLACE(TO_TEXT('_Supporto Listone'!E183),"(.)","$1"&amp;UNICHAR(822)),'_Supporto Listone'!E183)</x:f>
        <x:v>Riserva / rotazione</x:v>
      </x:c>
      <x:c r="F183" s="462" t="n">
        <x:f>IF($J183&lt;&gt;"",REGEXREPLACE(TO_TEXT('_Supporto Listone'!F183),"(.)","$1"&amp;UNICHAR(822)),'_Supporto Listone'!F183)</x:f>
        <x:v>3</x:v>
      </x:c>
      <x:c r="G183" s="462" t="n">
        <x:f>IF($J183&lt;&gt;"",REGEXREPLACE(TO_TEXT('_Supporto Listone'!G183),"(.)","$1"&amp;UNICHAR(822)),'_Supporto Listone'!G183)</x:f>
        <x:v>6</x:v>
      </x:c>
      <x:c r="H183" s="462" t="n">
        <x:f>IF($J183&lt;&gt;"",REGEXREPLACE(TO_TEXT('_Supporto Listone'!H183),"(.)","$1"&amp;UNICHAR(822)),'_Supporto Listone'!H183)</x:f>
        <x:v>3</x:v>
      </x:c>
      <x:c r="I183" s="434"/>
      <x:c r="J183" s="433" t="str">
        <x:f>IF(COUNTIF(Asta!$B$4:$B$47,'_Supporto Listone'!B183)&gt;0,"Simone",IF(COUNTIF(Asta!$D$4:$D$47,'_Supporto Listone'!B183)&gt;0,"Giacomo",IF(COUNTIF(Asta!$F$4:$F$47,'_Supporto Listone'!B183)&gt;0,"Niko",IF(COUNTIF(Asta!$H$4:$H$47,'_Supporto Listone'!B183)&gt;0,"Quici",IF(COUNTIF(Asta!$J$4:$J$47,'_Supporto Listone'!B183)&gt;0,"Fratello Quici",IF(COUNTIF(Asta!$L$4:$L$47,'_Supporto Listone'!B183)&gt;0,"Nicolò",IF(COUNTIF(Asta!$N$4:$N$47,'_Supporto Listone'!B183)&gt;0,"Vi",IF(COUNTIF(Asta!$P$4:$P$47,'_Supporto Listone'!B183)&gt;0,"Lore",IF(COUNTIF(Asta!$R$4:$R$47,'_Supporto Listone'!B183)&gt;0,"Robbo",IF(COUNTIF(Asta!$T$4:$T$47,'_Supporto Listone'!B183)&gt;0,"Ale",""))))))))))</x:f>
      </x:c>
      <x:c r="K183" s="493" t="str">
        <x:f>IF(COUNTIF(Asta!$B$4:$B$47,'_Supporto Listone'!B183)&gt;0,INDEX(Asta!$C$4:$C$47,MATCH('_Supporto Listone'!B183,Asta!$B$4:$B$47,0)),IF(COUNTIF(Asta!$D$4:$D$47,'_Supporto Listone'!B183)&gt;0,INDEX(Asta!$E$4:$E$47,MATCH('_Supporto Listone'!B183,Asta!$D$4:$D$47,0)),IF(COUNTIF(Asta!$F$4:$F$47,'_Supporto Listone'!B183)&gt;0,INDEX(Asta!$G$4:$G$47,MATCH('_Supporto Listone'!B183,Asta!$F$4:$F$47,0)),IF(COUNTIF(Asta!$H$4:$H$47,'_Supporto Listone'!B183)&gt;0,INDEX(Asta!$I$4:$I$47,MATCH('_Supporto Listone'!B183,Asta!$H$4:$H$47,0)),IF(COUNTIF(Asta!$J$4:$J$47,'_Supporto Listone'!B183)&gt;0,INDEX(Asta!$K$4:$K$47,MATCH('_Supporto Listone'!B183,Asta!$J$4:$J$47,0)),IF(COUNTIF(Asta!$L$4:$L$47,'_Supporto Listone'!B183)&gt;0,INDEX(Asta!$M$4:$M$47,MATCH('_Supporto Listone'!B183,Asta!$L$4:$L$47,0)),IF(COUNTIF(Asta!$N$4:$N$47,'_Supporto Listone'!B183)&gt;0,INDEX(Asta!$O$4:$O$47,MATCH('_Supporto Listone'!B183,Asta!$N$4:$N$47,0)),IF(COUNTIF(Asta!$P$4:$P$47,'_Supporto Listone'!B183)&gt;0,INDEX(Asta!$Q$4:$Q$47,MATCH('_Supporto Listone'!B183,Asta!$P$4:$P$47,0)),IF(COUNTIF(Asta!$R$4:$R$47,'_Supporto Listone'!B183)&gt;0,INDEX(Asta!$S$4:$S$47,MATCH('_Supporto Listone'!B183,Asta!$R$4:$R$47,0)),IF(COUNTIF(Asta!$T$4:$T$47,'_Supporto Listone'!B183)&gt;0,INDEX(Asta!$U$4:$U$47,MATCH('_Supporto Listone'!B183,Asta!$T$4:$T$47,0)),""))))))))))</x:f>
      </x:c>
    </x:row>
    <x:row r="184">
      <x:c r="A184" s="432" t="str">
        <x:f>IF($J184&lt;&gt;"",REGEXREPLACE(TO_TEXT('_Supporto Listone'!A184),"(.)","$1"&amp;UNICHAR(822)),'_Supporto Listone'!A184)</x:f>
        <x:v>D</x:v>
      </x:c>
      <x:c r="B184" s="433" t="str">
        <x:f>IF($J184&lt;&gt;"",REGEXREPLACE(TO_TEXT('_Supporto Listone'!B184),"(.)","$1"&amp;UNICHAR(822)),'_Supporto Listone'!B184)</x:f>
        <x:v>Idrissi R.</x:v>
      </x:c>
      <x:c r="C184" s="433" t="str">
        <x:f>IF($J184&lt;&gt;"",REGEXREPLACE(TO_TEXT('_Supporto Listone'!C184),"(.)","$1"&amp;UNICHAR(822)),'_Supporto Listone'!C184)</x:f>
        <x:v>Cagliari</x:v>
      </x:c>
      <x:c r="D184" s="433" t="str">
        <x:f>IF($J184&lt;&gt;"",REGEXREPLACE(TO_TEXT('_Supporto Listone'!D184),"(.)","$1"&amp;UNICHAR(822)),'_Supporto Listone'!D184)</x:f>
        <x:v>Ds;E</x:v>
      </x:c>
      <x:c r="E184" s="433" t="str">
        <x:f>IF($J184&lt;&gt;"",REGEXREPLACE(TO_TEXT('_Supporto Listone'!E184),"(.)","$1"&amp;UNICHAR(822)),'_Supporto Listone'!E184)</x:f>
        <x:v>Riserva / rotazione</x:v>
      </x:c>
      <x:c r="F184" s="462" t="n">
        <x:f>IF($J184&lt;&gt;"",REGEXREPLACE(TO_TEXT('_Supporto Listone'!F184),"(.)","$1"&amp;UNICHAR(822)),'_Supporto Listone'!F184)</x:f>
        <x:v>3</x:v>
      </x:c>
      <x:c r="G184" s="462" t="n">
        <x:f>IF($J184&lt;&gt;"",REGEXREPLACE(TO_TEXT('_Supporto Listone'!G184),"(.)","$1"&amp;UNICHAR(822)),'_Supporto Listone'!G184)</x:f>
        <x:v>7</x:v>
      </x:c>
      <x:c r="H184" s="462" t="n">
        <x:f>IF($J184&lt;&gt;"",REGEXREPLACE(TO_TEXT('_Supporto Listone'!H184),"(.)","$1"&amp;UNICHAR(822)),'_Supporto Listone'!H184)</x:f>
        <x:v>4</x:v>
      </x:c>
      <x:c r="I184" s="434"/>
      <x:c r="J184" s="433" t="str">
        <x:f>IF(COUNTIF(Asta!$B$4:$B$47,'_Supporto Listone'!B184)&gt;0,"Simone",IF(COUNTIF(Asta!$D$4:$D$47,'_Supporto Listone'!B184)&gt;0,"Giacomo",IF(COUNTIF(Asta!$F$4:$F$47,'_Supporto Listone'!B184)&gt;0,"Niko",IF(COUNTIF(Asta!$H$4:$H$47,'_Supporto Listone'!B184)&gt;0,"Quici",IF(COUNTIF(Asta!$J$4:$J$47,'_Supporto Listone'!B184)&gt;0,"Fratello Quici",IF(COUNTIF(Asta!$L$4:$L$47,'_Supporto Listone'!B184)&gt;0,"Nicolò",IF(COUNTIF(Asta!$N$4:$N$47,'_Supporto Listone'!B184)&gt;0,"Vi",IF(COUNTIF(Asta!$P$4:$P$47,'_Supporto Listone'!B184)&gt;0,"Lore",IF(COUNTIF(Asta!$R$4:$R$47,'_Supporto Listone'!B184)&gt;0,"Robbo",IF(COUNTIF(Asta!$T$4:$T$47,'_Supporto Listone'!B184)&gt;0,"Ale",""))))))))))</x:f>
      </x:c>
      <x:c r="K184" s="493" t="str">
        <x:f>IF(COUNTIF(Asta!$B$4:$B$47,'_Supporto Listone'!B184)&gt;0,INDEX(Asta!$C$4:$C$47,MATCH('_Supporto Listone'!B184,Asta!$B$4:$B$47,0)),IF(COUNTIF(Asta!$D$4:$D$47,'_Supporto Listone'!B184)&gt;0,INDEX(Asta!$E$4:$E$47,MATCH('_Supporto Listone'!B184,Asta!$D$4:$D$47,0)),IF(COUNTIF(Asta!$F$4:$F$47,'_Supporto Listone'!B184)&gt;0,INDEX(Asta!$G$4:$G$47,MATCH('_Supporto Listone'!B184,Asta!$F$4:$F$47,0)),IF(COUNTIF(Asta!$H$4:$H$47,'_Supporto Listone'!B184)&gt;0,INDEX(Asta!$I$4:$I$47,MATCH('_Supporto Listone'!B184,Asta!$H$4:$H$47,0)),IF(COUNTIF(Asta!$J$4:$J$47,'_Supporto Listone'!B184)&gt;0,INDEX(Asta!$K$4:$K$47,MATCH('_Supporto Listone'!B184,Asta!$J$4:$J$47,0)),IF(COUNTIF(Asta!$L$4:$L$47,'_Supporto Listone'!B184)&gt;0,INDEX(Asta!$M$4:$M$47,MATCH('_Supporto Listone'!B184,Asta!$L$4:$L$47,0)),IF(COUNTIF(Asta!$N$4:$N$47,'_Supporto Listone'!B184)&gt;0,INDEX(Asta!$O$4:$O$47,MATCH('_Supporto Listone'!B184,Asta!$N$4:$N$47,0)),IF(COUNTIF(Asta!$P$4:$P$47,'_Supporto Listone'!B184)&gt;0,INDEX(Asta!$Q$4:$Q$47,MATCH('_Supporto Listone'!B184,Asta!$P$4:$P$47,0)),IF(COUNTIF(Asta!$R$4:$R$47,'_Supporto Listone'!B184)&gt;0,INDEX(Asta!$S$4:$S$47,MATCH('_Supporto Listone'!B184,Asta!$R$4:$R$47,0)),IF(COUNTIF(Asta!$T$4:$T$47,'_Supporto Listone'!B184)&gt;0,INDEX(Asta!$U$4:$U$47,MATCH('_Supporto Listone'!B184,Asta!$T$4:$T$47,0)),""))))))))))</x:f>
      </x:c>
    </x:row>
    <x:row r="185">
      <x:c r="A185" s="432" t="str">
        <x:f>IF($J185&lt;&gt;"",REGEXREPLACE(TO_TEXT('_Supporto Listone'!A185),"(.)","$1"&amp;UNICHAR(822)),'_Supporto Listone'!A185)</x:f>
        <x:v>D</x:v>
      </x:c>
      <x:c r="B185" s="433" t="str">
        <x:f>IF($J185&lt;&gt;"",REGEXREPLACE(TO_TEXT('_Supporto Listone'!B185),"(.)","$1"&amp;UNICHAR(822)),'_Supporto Listone'!B185)</x:f>
        <x:v>Rodriguez Ju.</x:v>
      </x:c>
      <x:c r="C185" s="433" t="str">
        <x:f>IF($J185&lt;&gt;"",REGEXREPLACE(TO_TEXT('_Supporto Listone'!C185),"(.)","$1"&amp;UNICHAR(822)),'_Supporto Listone'!C185)</x:f>
        <x:v>Cagliari</x:v>
      </x:c>
      <x:c r="D185" s="433" t="str">
        <x:f>IF($J185&lt;&gt;"",REGEXREPLACE(TO_TEXT('_Supporto Listone'!D185),"(.)","$1"&amp;UNICHAR(822)),'_Supporto Listone'!D185)</x:f>
        <x:v>Ds;Dc</x:v>
      </x:c>
      <x:c r="E185" s="433" t="str">
        <x:f>IF($J185&lt;&gt;"",REGEXREPLACE(TO_TEXT('_Supporto Listone'!E185),"(.)","$1"&amp;UNICHAR(822)),'_Supporto Listone'!E185)</x:f>
        <x:v>Titolare</x:v>
      </x:c>
      <x:c r="F185" s="462" t="n">
        <x:f>IF($J185&lt;&gt;"",REGEXREPLACE(TO_TEXT('_Supporto Listone'!F185),"(.)","$1"&amp;UNICHAR(822)),'_Supporto Listone'!F185)</x:f>
        <x:v>3</x:v>
      </x:c>
      <x:c r="G185" s="462" t="n">
        <x:f>IF($J185&lt;&gt;"",REGEXREPLACE(TO_TEXT('_Supporto Listone'!G185),"(.)","$1"&amp;UNICHAR(822)),'_Supporto Listone'!G185)</x:f>
        <x:v>10</x:v>
      </x:c>
      <x:c r="H185" s="462" t="n">
        <x:f>IF($J185&lt;&gt;"",REGEXREPLACE(TO_TEXT('_Supporto Listone'!H185),"(.)","$1"&amp;UNICHAR(822)),'_Supporto Listone'!H185)</x:f>
        <x:v>5</x:v>
      </x:c>
      <x:c r="I185" s="434"/>
      <x:c r="J185" s="433" t="str">
        <x:f>IF(COUNTIF(Asta!$B$4:$B$47,'_Supporto Listone'!B185)&gt;0,"Simone",IF(COUNTIF(Asta!$D$4:$D$47,'_Supporto Listone'!B185)&gt;0,"Giacomo",IF(COUNTIF(Asta!$F$4:$F$47,'_Supporto Listone'!B185)&gt;0,"Niko",IF(COUNTIF(Asta!$H$4:$H$47,'_Supporto Listone'!B185)&gt;0,"Quici",IF(COUNTIF(Asta!$J$4:$J$47,'_Supporto Listone'!B185)&gt;0,"Fratello Quici",IF(COUNTIF(Asta!$L$4:$L$47,'_Supporto Listone'!B185)&gt;0,"Nicolò",IF(COUNTIF(Asta!$N$4:$N$47,'_Supporto Listone'!B185)&gt;0,"Vi",IF(COUNTIF(Asta!$P$4:$P$47,'_Supporto Listone'!B185)&gt;0,"Lore",IF(COUNTIF(Asta!$R$4:$R$47,'_Supporto Listone'!B185)&gt;0,"Robbo",IF(COUNTIF(Asta!$T$4:$T$47,'_Supporto Listone'!B185)&gt;0,"Ale",""))))))))))</x:f>
      </x:c>
      <x:c r="K185" s="493" t="str">
        <x:f>IF(COUNTIF(Asta!$B$4:$B$47,'_Supporto Listone'!B185)&gt;0,INDEX(Asta!$C$4:$C$47,MATCH('_Supporto Listone'!B185,Asta!$B$4:$B$47,0)),IF(COUNTIF(Asta!$D$4:$D$47,'_Supporto Listone'!B185)&gt;0,INDEX(Asta!$E$4:$E$47,MATCH('_Supporto Listone'!B185,Asta!$D$4:$D$47,0)),IF(COUNTIF(Asta!$F$4:$F$47,'_Supporto Listone'!B185)&gt;0,INDEX(Asta!$G$4:$G$47,MATCH('_Supporto Listone'!B185,Asta!$F$4:$F$47,0)),IF(COUNTIF(Asta!$H$4:$H$47,'_Supporto Listone'!B185)&gt;0,INDEX(Asta!$I$4:$I$47,MATCH('_Supporto Listone'!B185,Asta!$H$4:$H$47,0)),IF(COUNTIF(Asta!$J$4:$J$47,'_Supporto Listone'!B185)&gt;0,INDEX(Asta!$K$4:$K$47,MATCH('_Supporto Listone'!B185,Asta!$J$4:$J$47,0)),IF(COUNTIF(Asta!$L$4:$L$47,'_Supporto Listone'!B185)&gt;0,INDEX(Asta!$M$4:$M$47,MATCH('_Supporto Listone'!B185,Asta!$L$4:$L$47,0)),IF(COUNTIF(Asta!$N$4:$N$47,'_Supporto Listone'!B185)&gt;0,INDEX(Asta!$O$4:$O$47,MATCH('_Supporto Listone'!B185,Asta!$N$4:$N$47,0)),IF(COUNTIF(Asta!$P$4:$P$47,'_Supporto Listone'!B185)&gt;0,INDEX(Asta!$Q$4:$Q$47,MATCH('_Supporto Listone'!B185,Asta!$P$4:$P$47,0)),IF(COUNTIF(Asta!$R$4:$R$47,'_Supporto Listone'!B185)&gt;0,INDEX(Asta!$S$4:$S$47,MATCH('_Supporto Listone'!B185,Asta!$R$4:$R$47,0)),IF(COUNTIF(Asta!$T$4:$T$47,'_Supporto Listone'!B185)&gt;0,INDEX(Asta!$U$4:$U$47,MATCH('_Supporto Listone'!B185,Asta!$T$4:$T$47,0)),""))))))))))</x:f>
      </x:c>
    </x:row>
    <x:row r="186">
      <x:c r="A186" s="432" t="str">
        <x:f>IF($J186&lt;&gt;"",REGEXREPLACE(TO_TEXT('_Supporto Listone'!A186),"(.)","$1"&amp;UNICHAR(822)),'_Supporto Listone'!A186)</x:f>
        <x:v>D</x:v>
      </x:c>
      <x:c r="B186" s="433" t="str">
        <x:f>IF($J186&lt;&gt;"",REGEXREPLACE(TO_TEXT('_Supporto Listone'!B186),"(.)","$1"&amp;UNICHAR(822)),'_Supporto Listone'!B186)</x:f>
        <x:v>Joao Mario</x:v>
      </x:c>
      <x:c r="C186" s="433" t="str">
        <x:f>IF($J186&lt;&gt;"",REGEXREPLACE(TO_TEXT('_Supporto Listone'!C186),"(.)","$1"&amp;UNICHAR(822)),'_Supporto Listone'!C186)</x:f>
        <x:v>Fiorentina</x:v>
      </x:c>
      <x:c r="D186" s="433" t="str">
        <x:f>IF($J186&lt;&gt;"",REGEXREPLACE(TO_TEXT('_Supporto Listone'!D186),"(.)","$1"&amp;UNICHAR(822)),'_Supporto Listone'!D186)</x:f>
        <x:v>Dd;E</x:v>
      </x:c>
      <x:c r="E186" s="433" t="str">
        <x:f>IF($J186&lt;&gt;"",REGEXREPLACE(TO_TEXT('_Supporto Listone'!E186),"(.)","$1"&amp;UNICHAR(822)),'_Supporto Listone'!E186)</x:f>
        <x:v>Ballottaggio</x:v>
      </x:c>
      <x:c r="F186" s="462" t="n">
        <x:f>IF($J186&lt;&gt;"",REGEXREPLACE(TO_TEXT('_Supporto Listone'!F186),"(.)","$1"&amp;UNICHAR(822)),'_Supporto Listone'!F186)</x:f>
        <x:v>3</x:v>
      </x:c>
      <x:c r="G186" s="462" t="n">
        <x:f>IF($J186&lt;&gt;"",REGEXREPLACE(TO_TEXT('_Supporto Listone'!G186),"(.)","$1"&amp;UNICHAR(822)),'_Supporto Listone'!G186)</x:f>
        <x:v>7</x:v>
      </x:c>
      <x:c r="H186" s="462" t="n">
        <x:f>IF($J186&lt;&gt;"",REGEXREPLACE(TO_TEXT('_Supporto Listone'!H186),"(.)","$1"&amp;UNICHAR(822)),'_Supporto Listone'!H186)</x:f>
        <x:v>4</x:v>
      </x:c>
      <x:c r="I186" s="434"/>
      <x:c r="J186" s="433" t="str">
        <x:f>IF(COUNTIF(Asta!$B$4:$B$47,'_Supporto Listone'!B186)&gt;0,"Simone",IF(COUNTIF(Asta!$D$4:$D$47,'_Supporto Listone'!B186)&gt;0,"Giacomo",IF(COUNTIF(Asta!$F$4:$F$47,'_Supporto Listone'!B186)&gt;0,"Niko",IF(COUNTIF(Asta!$H$4:$H$47,'_Supporto Listone'!B186)&gt;0,"Quici",IF(COUNTIF(Asta!$J$4:$J$47,'_Supporto Listone'!B186)&gt;0,"Fratello Quici",IF(COUNTIF(Asta!$L$4:$L$47,'_Supporto Listone'!B186)&gt;0,"Nicolò",IF(COUNTIF(Asta!$N$4:$N$47,'_Supporto Listone'!B186)&gt;0,"Vi",IF(COUNTIF(Asta!$P$4:$P$47,'_Supporto Listone'!B186)&gt;0,"Lore",IF(COUNTIF(Asta!$R$4:$R$47,'_Supporto Listone'!B186)&gt;0,"Robbo",IF(COUNTIF(Asta!$T$4:$T$47,'_Supporto Listone'!B186)&gt;0,"Ale",""))))))))))</x:f>
      </x:c>
      <x:c r="K186" s="493" t="str">
        <x:f>IF(COUNTIF(Asta!$B$4:$B$47,'_Supporto Listone'!B186)&gt;0,INDEX(Asta!$C$4:$C$47,MATCH('_Supporto Listone'!B186,Asta!$B$4:$B$47,0)),IF(COUNTIF(Asta!$D$4:$D$47,'_Supporto Listone'!B186)&gt;0,INDEX(Asta!$E$4:$E$47,MATCH('_Supporto Listone'!B186,Asta!$D$4:$D$47,0)),IF(COUNTIF(Asta!$F$4:$F$47,'_Supporto Listone'!B186)&gt;0,INDEX(Asta!$G$4:$G$47,MATCH('_Supporto Listone'!B186,Asta!$F$4:$F$47,0)),IF(COUNTIF(Asta!$H$4:$H$47,'_Supporto Listone'!B186)&gt;0,INDEX(Asta!$I$4:$I$47,MATCH('_Supporto Listone'!B186,Asta!$H$4:$H$47,0)),IF(COUNTIF(Asta!$J$4:$J$47,'_Supporto Listone'!B186)&gt;0,INDEX(Asta!$K$4:$K$47,MATCH('_Supporto Listone'!B186,Asta!$J$4:$J$47,0)),IF(COUNTIF(Asta!$L$4:$L$47,'_Supporto Listone'!B186)&gt;0,INDEX(Asta!$M$4:$M$47,MATCH('_Supporto Listone'!B186,Asta!$L$4:$L$47,0)),IF(COUNTIF(Asta!$N$4:$N$47,'_Supporto Listone'!B186)&gt;0,INDEX(Asta!$O$4:$O$47,MATCH('_Supporto Listone'!B186,Asta!$N$4:$N$47,0)),IF(COUNTIF(Asta!$P$4:$P$47,'_Supporto Listone'!B186)&gt;0,INDEX(Asta!$Q$4:$Q$47,MATCH('_Supporto Listone'!B186,Asta!$P$4:$P$47,0)),IF(COUNTIF(Asta!$R$4:$R$47,'_Supporto Listone'!B186)&gt;0,INDEX(Asta!$S$4:$S$47,MATCH('_Supporto Listone'!B186,Asta!$R$4:$R$47,0)),IF(COUNTIF(Asta!$T$4:$T$47,'_Supporto Listone'!B186)&gt;0,INDEX(Asta!$U$4:$U$47,MATCH('_Supporto Listone'!B186,Asta!$T$4:$T$47,0)),""))))))))))</x:f>
      </x:c>
    </x:row>
    <x:row r="187">
      <x:c r="A187" s="432" t="str">
        <x:f>IF($J187&lt;&gt;"",REGEXREPLACE(TO_TEXT('_Supporto Listone'!A187),"(.)","$1"&amp;UNICHAR(822)),'_Supporto Listone'!A187)</x:f>
        <x:v>D</x:v>
      </x:c>
      <x:c r="B187" s="433" t="str">
        <x:f>IF($J187&lt;&gt;"",REGEXREPLACE(TO_TEXT('_Supporto Listone'!B187),"(.)","$1"&amp;UNICHAR(822)),'_Supporto Listone'!B187)</x:f>
        <x:v>Ranieri L.</x:v>
      </x:c>
      <x:c r="C187" s="433" t="str">
        <x:f>IF($J187&lt;&gt;"",REGEXREPLACE(TO_TEXT('_Supporto Listone'!C187),"(.)","$1"&amp;UNICHAR(822)),'_Supporto Listone'!C187)</x:f>
        <x:v>Fiorentina</x:v>
      </x:c>
      <x:c r="D187" s="433" t="str">
        <x:f>IF($J187&lt;&gt;"",REGEXREPLACE(TO_TEXT('_Supporto Listone'!D187),"(.)","$1"&amp;UNICHAR(822)),'_Supporto Listone'!D187)</x:f>
        <x:v>Ds;Dc</x:v>
      </x:c>
      <x:c r="E187" s="433" t="str">
        <x:f>IF($J187&lt;&gt;"",REGEXREPLACE(TO_TEXT('_Supporto Listone'!E187),"(.)","$1"&amp;UNICHAR(822)),'_Supporto Listone'!E187)</x:f>
        <x:v>Riserva / rotazione</x:v>
      </x:c>
      <x:c r="F187" s="462" t="n">
        <x:f>IF($J187&lt;&gt;"",REGEXREPLACE(TO_TEXT('_Supporto Listone'!F187),"(.)","$1"&amp;UNICHAR(822)),'_Supporto Listone'!F187)</x:f>
        <x:v>3</x:v>
      </x:c>
      <x:c r="G187" s="462" t="n">
        <x:f>IF($J187&lt;&gt;"",REGEXREPLACE(TO_TEXT('_Supporto Listone'!G187),"(.)","$1"&amp;UNICHAR(822)),'_Supporto Listone'!G187)</x:f>
        <x:v>7</x:v>
      </x:c>
      <x:c r="H187" s="462" t="n">
        <x:f>IF($J187&lt;&gt;"",REGEXREPLACE(TO_TEXT('_Supporto Listone'!H187),"(.)","$1"&amp;UNICHAR(822)),'_Supporto Listone'!H187)</x:f>
        <x:v>4</x:v>
      </x:c>
      <x:c r="I187" s="434"/>
      <x:c r="J187" s="433" t="str">
        <x:f>IF(COUNTIF(Asta!$B$4:$B$47,'_Supporto Listone'!B187)&gt;0,"Simone",IF(COUNTIF(Asta!$D$4:$D$47,'_Supporto Listone'!B187)&gt;0,"Giacomo",IF(COUNTIF(Asta!$F$4:$F$47,'_Supporto Listone'!B187)&gt;0,"Niko",IF(COUNTIF(Asta!$H$4:$H$47,'_Supporto Listone'!B187)&gt;0,"Quici",IF(COUNTIF(Asta!$J$4:$J$47,'_Supporto Listone'!B187)&gt;0,"Fratello Quici",IF(COUNTIF(Asta!$L$4:$L$47,'_Supporto Listone'!B187)&gt;0,"Nicolò",IF(COUNTIF(Asta!$N$4:$N$47,'_Supporto Listone'!B187)&gt;0,"Vi",IF(COUNTIF(Asta!$P$4:$P$47,'_Supporto Listone'!B187)&gt;0,"Lore",IF(COUNTIF(Asta!$R$4:$R$47,'_Supporto Listone'!B187)&gt;0,"Robbo",IF(COUNTIF(Asta!$T$4:$T$47,'_Supporto Listone'!B187)&gt;0,"Ale",""))))))))))</x:f>
      </x:c>
      <x:c r="K187" s="493" t="str">
        <x:f>IF(COUNTIF(Asta!$B$4:$B$47,'_Supporto Listone'!B187)&gt;0,INDEX(Asta!$C$4:$C$47,MATCH('_Supporto Listone'!B187,Asta!$B$4:$B$47,0)),IF(COUNTIF(Asta!$D$4:$D$47,'_Supporto Listone'!B187)&gt;0,INDEX(Asta!$E$4:$E$47,MATCH('_Supporto Listone'!B187,Asta!$D$4:$D$47,0)),IF(COUNTIF(Asta!$F$4:$F$47,'_Supporto Listone'!B187)&gt;0,INDEX(Asta!$G$4:$G$47,MATCH('_Supporto Listone'!B187,Asta!$F$4:$F$47,0)),IF(COUNTIF(Asta!$H$4:$H$47,'_Supporto Listone'!B187)&gt;0,INDEX(Asta!$I$4:$I$47,MATCH('_Supporto Listone'!B187,Asta!$H$4:$H$47,0)),IF(COUNTIF(Asta!$J$4:$J$47,'_Supporto Listone'!B187)&gt;0,INDEX(Asta!$K$4:$K$47,MATCH('_Supporto Listone'!B187,Asta!$J$4:$J$47,0)),IF(COUNTIF(Asta!$L$4:$L$47,'_Supporto Listone'!B187)&gt;0,INDEX(Asta!$M$4:$M$47,MATCH('_Supporto Listone'!B187,Asta!$L$4:$L$47,0)),IF(COUNTIF(Asta!$N$4:$N$47,'_Supporto Listone'!B187)&gt;0,INDEX(Asta!$O$4:$O$47,MATCH('_Supporto Listone'!B187,Asta!$N$4:$N$47,0)),IF(COUNTIF(Asta!$P$4:$P$47,'_Supporto Listone'!B187)&gt;0,INDEX(Asta!$Q$4:$Q$47,MATCH('_Supporto Listone'!B187,Asta!$P$4:$P$47,0)),IF(COUNTIF(Asta!$R$4:$R$47,'_Supporto Listone'!B187)&gt;0,INDEX(Asta!$S$4:$S$47,MATCH('_Supporto Listone'!B187,Asta!$R$4:$R$47,0)),IF(COUNTIF(Asta!$T$4:$T$47,'_Supporto Listone'!B187)&gt;0,INDEX(Asta!$U$4:$U$47,MATCH('_Supporto Listone'!B187,Asta!$T$4:$T$47,0)),""))))))))))</x:f>
      </x:c>
    </x:row>
    <x:row r="188">
      <x:c r="A188" s="432" t="str">
        <x:f>IF($J188&lt;&gt;"",REGEXREPLACE(TO_TEXT('_Supporto Listone'!A188),"(.)","$1"&amp;UNICHAR(822)),'_Supporto Listone'!A188)</x:f>
        <x:v>D</x:v>
      </x:c>
      <x:c r="B188" s="433" t="str">
        <x:f>IF($J188&lt;&gt;"",REGEXREPLACE(TO_TEXT('_Supporto Listone'!B188),"(.)","$1"&amp;UNICHAR(822)),'_Supporto Listone'!B188)</x:f>
        <x:v>Akpoguma</x:v>
      </x:c>
      <x:c r="C188" s="433" t="str">
        <x:f>IF($J188&lt;&gt;"",REGEXREPLACE(TO_TEXT('_Supporto Listone'!C188),"(.)","$1"&amp;UNICHAR(822)),'_Supporto Listone'!C188)</x:f>
        <x:v>Frosinone</x:v>
      </x:c>
      <x:c r="D188" s="433" t="str">
        <x:f>IF($J188&lt;&gt;"",REGEXREPLACE(TO_TEXT('_Supporto Listone'!D188),"(.)","$1"&amp;UNICHAR(822)),'_Supporto Listone'!D188)</x:f>
        <x:v>Dc</x:v>
      </x:c>
      <x:c r="E188" s="433" t="str">
        <x:f>IF($J188&lt;&gt;"",REGEXREPLACE(TO_TEXT('_Supporto Listone'!E188),"(.)","$1"&amp;UNICHAR(822)),'_Supporto Listone'!E188)</x:f>
        <x:v>Riserva / rotazione</x:v>
      </x:c>
      <x:c r="F188" s="462" t="n">
        <x:f>IF($J188&lt;&gt;"",REGEXREPLACE(TO_TEXT('_Supporto Listone'!F188),"(.)","$1"&amp;UNICHAR(822)),'_Supporto Listone'!F188)</x:f>
        <x:v>3</x:v>
      </x:c>
      <x:c r="G188" s="462" t="n">
        <x:f>IF($J188&lt;&gt;"",REGEXREPLACE(TO_TEXT('_Supporto Listone'!G188),"(.)","$1"&amp;UNICHAR(822)),'_Supporto Listone'!G188)</x:f>
        <x:v>7</x:v>
      </x:c>
      <x:c r="H188" s="462" t="n">
        <x:f>IF($J188&lt;&gt;"",REGEXREPLACE(TO_TEXT('_Supporto Listone'!H188),"(.)","$1"&amp;UNICHAR(822)),'_Supporto Listone'!H188)</x:f>
        <x:v>4</x:v>
      </x:c>
      <x:c r="I188" s="434"/>
      <x:c r="J188" s="433" t="str">
        <x:f>IF(COUNTIF(Asta!$B$4:$B$47,'_Supporto Listone'!B188)&gt;0,"Simone",IF(COUNTIF(Asta!$D$4:$D$47,'_Supporto Listone'!B188)&gt;0,"Giacomo",IF(COUNTIF(Asta!$F$4:$F$47,'_Supporto Listone'!B188)&gt;0,"Niko",IF(COUNTIF(Asta!$H$4:$H$47,'_Supporto Listone'!B188)&gt;0,"Quici",IF(COUNTIF(Asta!$J$4:$J$47,'_Supporto Listone'!B188)&gt;0,"Fratello Quici",IF(COUNTIF(Asta!$L$4:$L$47,'_Supporto Listone'!B188)&gt;0,"Nicolò",IF(COUNTIF(Asta!$N$4:$N$47,'_Supporto Listone'!B188)&gt;0,"Vi",IF(COUNTIF(Asta!$P$4:$P$47,'_Supporto Listone'!B188)&gt;0,"Lore",IF(COUNTIF(Asta!$R$4:$R$47,'_Supporto Listone'!B188)&gt;0,"Robbo",IF(COUNTIF(Asta!$T$4:$T$47,'_Supporto Listone'!B188)&gt;0,"Ale",""))))))))))</x:f>
      </x:c>
      <x:c r="K188" s="493" t="str">
        <x:f>IF(COUNTIF(Asta!$B$4:$B$47,'_Supporto Listone'!B188)&gt;0,INDEX(Asta!$C$4:$C$47,MATCH('_Supporto Listone'!B188,Asta!$B$4:$B$47,0)),IF(COUNTIF(Asta!$D$4:$D$47,'_Supporto Listone'!B188)&gt;0,INDEX(Asta!$E$4:$E$47,MATCH('_Supporto Listone'!B188,Asta!$D$4:$D$47,0)),IF(COUNTIF(Asta!$F$4:$F$47,'_Supporto Listone'!B188)&gt;0,INDEX(Asta!$G$4:$G$47,MATCH('_Supporto Listone'!B188,Asta!$F$4:$F$47,0)),IF(COUNTIF(Asta!$H$4:$H$47,'_Supporto Listone'!B188)&gt;0,INDEX(Asta!$I$4:$I$47,MATCH('_Supporto Listone'!B188,Asta!$H$4:$H$47,0)),IF(COUNTIF(Asta!$J$4:$J$47,'_Supporto Listone'!B188)&gt;0,INDEX(Asta!$K$4:$K$47,MATCH('_Supporto Listone'!B188,Asta!$J$4:$J$47,0)),IF(COUNTIF(Asta!$L$4:$L$47,'_Supporto Listone'!B188)&gt;0,INDEX(Asta!$M$4:$M$47,MATCH('_Supporto Listone'!B188,Asta!$L$4:$L$47,0)),IF(COUNTIF(Asta!$N$4:$N$47,'_Supporto Listone'!B188)&gt;0,INDEX(Asta!$O$4:$O$47,MATCH('_Supporto Listone'!B188,Asta!$N$4:$N$47,0)),IF(COUNTIF(Asta!$P$4:$P$47,'_Supporto Listone'!B188)&gt;0,INDEX(Asta!$Q$4:$Q$47,MATCH('_Supporto Listone'!B188,Asta!$P$4:$P$47,0)),IF(COUNTIF(Asta!$R$4:$R$47,'_Supporto Listone'!B188)&gt;0,INDEX(Asta!$S$4:$S$47,MATCH('_Supporto Listone'!B188,Asta!$R$4:$R$47,0)),IF(COUNTIF(Asta!$T$4:$T$47,'_Supporto Listone'!B188)&gt;0,INDEX(Asta!$U$4:$U$47,MATCH('_Supporto Listone'!B188,Asta!$T$4:$T$47,0)),""))))))))))</x:f>
      </x:c>
    </x:row>
    <x:row r="189">
      <x:c r="A189" s="432" t="str">
        <x:f>IF($J189&lt;&gt;"",REGEXREPLACE(TO_TEXT('_Supporto Listone'!A189),"(.)","$1"&amp;UNICHAR(822)),'_Supporto Listone'!A189)</x:f>
        <x:v>D</x:v>
      </x:c>
      <x:c r="B189" s="433" t="str">
        <x:f>IF($J189&lt;&gt;"",REGEXREPLACE(TO_TEXT('_Supporto Listone'!B189),"(.)","$1"&amp;UNICHAR(822)),'_Supporto Listone'!B189)</x:f>
        <x:v>Cittadini</x:v>
      </x:c>
      <x:c r="C189" s="433" t="str">
        <x:f>IF($J189&lt;&gt;"",REGEXREPLACE(TO_TEXT('_Supporto Listone'!C189),"(.)","$1"&amp;UNICHAR(822)),'_Supporto Listone'!C189)</x:f>
        <x:v>Frosinone</x:v>
      </x:c>
      <x:c r="D189" s="433" t="str">
        <x:f>IF($J189&lt;&gt;"",REGEXREPLACE(TO_TEXT('_Supporto Listone'!D189),"(.)","$1"&amp;UNICHAR(822)),'_Supporto Listone'!D189)</x:f>
        <x:v>Dc</x:v>
      </x:c>
      <x:c r="E189" s="433" t="str">
        <x:f>IF($J189&lt;&gt;"",REGEXREPLACE(TO_TEXT('_Supporto Listone'!E189),"(.)","$1"&amp;UNICHAR(822)),'_Supporto Listone'!E189)</x:f>
        <x:v>Riserva / rotazione</x:v>
      </x:c>
      <x:c r="F189" s="462" t="n">
        <x:f>IF($J189&lt;&gt;"",REGEXREPLACE(TO_TEXT('_Supporto Listone'!F189),"(.)","$1"&amp;UNICHAR(822)),'_Supporto Listone'!F189)</x:f>
        <x:v>3</x:v>
      </x:c>
      <x:c r="G189" s="462" t="n">
        <x:f>IF($J189&lt;&gt;"",REGEXREPLACE(TO_TEXT('_Supporto Listone'!G189),"(.)","$1"&amp;UNICHAR(822)),'_Supporto Listone'!G189)</x:f>
        <x:v>8</x:v>
      </x:c>
      <x:c r="H189" s="462" t="n">
        <x:f>IF($J189&lt;&gt;"",REGEXREPLACE(TO_TEXT('_Supporto Listone'!H189),"(.)","$1"&amp;UNICHAR(822)),'_Supporto Listone'!H189)</x:f>
        <x:v>4</x:v>
      </x:c>
      <x:c r="I189" s="434"/>
      <x:c r="J189" s="433" t="str">
        <x:f>IF(COUNTIF(Asta!$B$4:$B$47,'_Supporto Listone'!B189)&gt;0,"Simone",IF(COUNTIF(Asta!$D$4:$D$47,'_Supporto Listone'!B189)&gt;0,"Giacomo",IF(COUNTIF(Asta!$F$4:$F$47,'_Supporto Listone'!B189)&gt;0,"Niko",IF(COUNTIF(Asta!$H$4:$H$47,'_Supporto Listone'!B189)&gt;0,"Quici",IF(COUNTIF(Asta!$J$4:$J$47,'_Supporto Listone'!B189)&gt;0,"Fratello Quici",IF(COUNTIF(Asta!$L$4:$L$47,'_Supporto Listone'!B189)&gt;0,"Nicolò",IF(COUNTIF(Asta!$N$4:$N$47,'_Supporto Listone'!B189)&gt;0,"Vi",IF(COUNTIF(Asta!$P$4:$P$47,'_Supporto Listone'!B189)&gt;0,"Lore",IF(COUNTIF(Asta!$R$4:$R$47,'_Supporto Listone'!B189)&gt;0,"Robbo",IF(COUNTIF(Asta!$T$4:$T$47,'_Supporto Listone'!B189)&gt;0,"Ale",""))))))))))</x:f>
      </x:c>
      <x:c r="K189" s="493" t="str">
        <x:f>IF(COUNTIF(Asta!$B$4:$B$47,'_Supporto Listone'!B189)&gt;0,INDEX(Asta!$C$4:$C$47,MATCH('_Supporto Listone'!B189,Asta!$B$4:$B$47,0)),IF(COUNTIF(Asta!$D$4:$D$47,'_Supporto Listone'!B189)&gt;0,INDEX(Asta!$E$4:$E$47,MATCH('_Supporto Listone'!B189,Asta!$D$4:$D$47,0)),IF(COUNTIF(Asta!$F$4:$F$47,'_Supporto Listone'!B189)&gt;0,INDEX(Asta!$G$4:$G$47,MATCH('_Supporto Listone'!B189,Asta!$F$4:$F$47,0)),IF(COUNTIF(Asta!$H$4:$H$47,'_Supporto Listone'!B189)&gt;0,INDEX(Asta!$I$4:$I$47,MATCH('_Supporto Listone'!B189,Asta!$H$4:$H$47,0)),IF(COUNTIF(Asta!$J$4:$J$47,'_Supporto Listone'!B189)&gt;0,INDEX(Asta!$K$4:$K$47,MATCH('_Supporto Listone'!B189,Asta!$J$4:$J$47,0)),IF(COUNTIF(Asta!$L$4:$L$47,'_Supporto Listone'!B189)&gt;0,INDEX(Asta!$M$4:$M$47,MATCH('_Supporto Listone'!B189,Asta!$L$4:$L$47,0)),IF(COUNTIF(Asta!$N$4:$N$47,'_Supporto Listone'!B189)&gt;0,INDEX(Asta!$O$4:$O$47,MATCH('_Supporto Listone'!B189,Asta!$N$4:$N$47,0)),IF(COUNTIF(Asta!$P$4:$P$47,'_Supporto Listone'!B189)&gt;0,INDEX(Asta!$Q$4:$Q$47,MATCH('_Supporto Listone'!B189,Asta!$P$4:$P$47,0)),IF(COUNTIF(Asta!$R$4:$R$47,'_Supporto Listone'!B189)&gt;0,INDEX(Asta!$S$4:$S$47,MATCH('_Supporto Listone'!B189,Asta!$R$4:$R$47,0)),IF(COUNTIF(Asta!$T$4:$T$47,'_Supporto Listone'!B189)&gt;0,INDEX(Asta!$U$4:$U$47,MATCH('_Supporto Listone'!B189,Asta!$T$4:$T$47,0)),""))))))))))</x:f>
      </x:c>
    </x:row>
    <x:row r="190">
      <x:c r="A190" s="432" t="str">
        <x:f>IF($J190&lt;&gt;"",REGEXREPLACE(TO_TEXT('_Supporto Listone'!A190),"(.)","$1"&amp;UNICHAR(822)),'_Supporto Listone'!A190)</x:f>
        <x:v>D</x:v>
      </x:c>
      <x:c r="B190" s="433" t="str">
        <x:f>IF($J190&lt;&gt;"",REGEXREPLACE(TO_TEXT('_Supporto Listone'!B190),"(.)","$1"&amp;UNICHAR(822)),'_Supporto Listone'!B190)</x:f>
        <x:v>Floriani Mussolini</x:v>
      </x:c>
      <x:c r="C190" s="433" t="str">
        <x:f>IF($J190&lt;&gt;"",REGEXREPLACE(TO_TEXT('_Supporto Listone'!C190),"(.)","$1"&amp;UNICHAR(822)),'_Supporto Listone'!C190)</x:f>
        <x:v>Lazio</x:v>
      </x:c>
      <x:c r="D190" s="433" t="str">
        <x:f>IF($J190&lt;&gt;"",REGEXREPLACE(TO_TEXT('_Supporto Listone'!D190),"(.)","$1"&amp;UNICHAR(822)),'_Supporto Listone'!D190)</x:f>
        <x:v>Dd;E</x:v>
      </x:c>
      <x:c r="E190" s="433" t="str">
        <x:f>IF($J190&lt;&gt;"",REGEXREPLACE(TO_TEXT('_Supporto Listone'!E190),"(.)","$1"&amp;UNICHAR(822)),'_Supporto Listone'!E190)</x:f>
        <x:v>Riserva / rotazione</x:v>
      </x:c>
      <x:c r="F190" s="462" t="n">
        <x:f>IF($J190&lt;&gt;"",REGEXREPLACE(TO_TEXT('_Supporto Listone'!F190),"(.)","$1"&amp;UNICHAR(822)),'_Supporto Listone'!F190)</x:f>
        <x:v>3</x:v>
      </x:c>
      <x:c r="G190" s="462" t="n">
        <x:f>IF($J190&lt;&gt;"",REGEXREPLACE(TO_TEXT('_Supporto Listone'!G190),"(.)","$1"&amp;UNICHAR(822)),'_Supporto Listone'!G190)</x:f>
        <x:v>12</x:v>
      </x:c>
      <x:c r="H190" s="462" t="n">
        <x:f>IF($J190&lt;&gt;"",REGEXREPLACE(TO_TEXT('_Supporto Listone'!H190),"(.)","$1"&amp;UNICHAR(822)),'_Supporto Listone'!H190)</x:f>
        <x:v>6</x:v>
      </x:c>
      <x:c r="I190" s="434"/>
      <x:c r="J190" s="433" t="str">
        <x:f>IF(COUNTIF(Asta!$B$4:$B$47,'_Supporto Listone'!B190)&gt;0,"Simone",IF(COUNTIF(Asta!$D$4:$D$47,'_Supporto Listone'!B190)&gt;0,"Giacomo",IF(COUNTIF(Asta!$F$4:$F$47,'_Supporto Listone'!B190)&gt;0,"Niko",IF(COUNTIF(Asta!$H$4:$H$47,'_Supporto Listone'!B190)&gt;0,"Quici",IF(COUNTIF(Asta!$J$4:$J$47,'_Supporto Listone'!B190)&gt;0,"Fratello Quici",IF(COUNTIF(Asta!$L$4:$L$47,'_Supporto Listone'!B190)&gt;0,"Nicolò",IF(COUNTIF(Asta!$N$4:$N$47,'_Supporto Listone'!B190)&gt;0,"Vi",IF(COUNTIF(Asta!$P$4:$P$47,'_Supporto Listone'!B190)&gt;0,"Lore",IF(COUNTIF(Asta!$R$4:$R$47,'_Supporto Listone'!B190)&gt;0,"Robbo",IF(COUNTIF(Asta!$T$4:$T$47,'_Supporto Listone'!B190)&gt;0,"Ale",""))))))))))</x:f>
      </x:c>
      <x:c r="K190" s="493" t="str">
        <x:f>IF(COUNTIF(Asta!$B$4:$B$47,'_Supporto Listone'!B190)&gt;0,INDEX(Asta!$C$4:$C$47,MATCH('_Supporto Listone'!B190,Asta!$B$4:$B$47,0)),IF(COUNTIF(Asta!$D$4:$D$47,'_Supporto Listone'!B190)&gt;0,INDEX(Asta!$E$4:$E$47,MATCH('_Supporto Listone'!B190,Asta!$D$4:$D$47,0)),IF(COUNTIF(Asta!$F$4:$F$47,'_Supporto Listone'!B190)&gt;0,INDEX(Asta!$G$4:$G$47,MATCH('_Supporto Listone'!B190,Asta!$F$4:$F$47,0)),IF(COUNTIF(Asta!$H$4:$H$47,'_Supporto Listone'!B190)&gt;0,INDEX(Asta!$I$4:$I$47,MATCH('_Supporto Listone'!B190,Asta!$H$4:$H$47,0)),IF(COUNTIF(Asta!$J$4:$J$47,'_Supporto Listone'!B190)&gt;0,INDEX(Asta!$K$4:$K$47,MATCH('_Supporto Listone'!B190,Asta!$J$4:$J$47,0)),IF(COUNTIF(Asta!$L$4:$L$47,'_Supporto Listone'!B190)&gt;0,INDEX(Asta!$M$4:$M$47,MATCH('_Supporto Listone'!B190,Asta!$L$4:$L$47,0)),IF(COUNTIF(Asta!$N$4:$N$47,'_Supporto Listone'!B190)&gt;0,INDEX(Asta!$O$4:$O$47,MATCH('_Supporto Listone'!B190,Asta!$N$4:$N$47,0)),IF(COUNTIF(Asta!$P$4:$P$47,'_Supporto Listone'!B190)&gt;0,INDEX(Asta!$Q$4:$Q$47,MATCH('_Supporto Listone'!B190,Asta!$P$4:$P$47,0)),IF(COUNTIF(Asta!$R$4:$R$47,'_Supporto Listone'!B190)&gt;0,INDEX(Asta!$S$4:$S$47,MATCH('_Supporto Listone'!B190,Asta!$R$4:$R$47,0)),IF(COUNTIF(Asta!$T$4:$T$47,'_Supporto Listone'!B190)&gt;0,INDEX(Asta!$U$4:$U$47,MATCH('_Supporto Listone'!B190,Asta!$T$4:$T$47,0)),""))))))))))</x:f>
      </x:c>
    </x:row>
    <x:row r="191">
      <x:c r="A191" s="432" t="str">
        <x:f>IF($J191&lt;&gt;"",REGEXREPLACE(TO_TEXT('_Supporto Listone'!A191),"(.)","$1"&amp;UNICHAR(822)),'_Supporto Listone'!A191)</x:f>
        <x:v>D</x:v>
      </x:c>
      <x:c r="B191" s="433" t="str">
        <x:f>IF($J191&lt;&gt;"",REGEXREPLACE(TO_TEXT('_Supporto Listone'!B191),"(.)","$1"&amp;UNICHAR(822)),'_Supporto Listone'!B191)</x:f>
        <x:v>Provstgaard</x:v>
      </x:c>
      <x:c r="C191" s="433" t="str">
        <x:f>IF($J191&lt;&gt;"",REGEXREPLACE(TO_TEXT('_Supporto Listone'!C191),"(.)","$1"&amp;UNICHAR(822)),'_Supporto Listone'!C191)</x:f>
        <x:v>Lazio</x:v>
      </x:c>
      <x:c r="D191" s="433" t="str">
        <x:f>IF($J191&lt;&gt;"",REGEXREPLACE(TO_TEXT('_Supporto Listone'!D191),"(.)","$1"&amp;UNICHAR(822)),'_Supporto Listone'!D191)</x:f>
        <x:v>Dc</x:v>
      </x:c>
      <x:c r="E191" s="433" t="str">
        <x:f>IF($J191&lt;&gt;"",REGEXREPLACE(TO_TEXT('_Supporto Listone'!E191),"(.)","$1"&amp;UNICHAR(822)),'_Supporto Listone'!E191)</x:f>
        <x:v>Titolare</x:v>
      </x:c>
      <x:c r="F191" s="462" t="n">
        <x:f>IF($J191&lt;&gt;"",REGEXREPLACE(TO_TEXT('_Supporto Listone'!F191),"(.)","$1"&amp;UNICHAR(822)),'_Supporto Listone'!F191)</x:f>
        <x:v>3</x:v>
      </x:c>
      <x:c r="G191" s="462" t="n">
        <x:f>IF($J191&lt;&gt;"",REGEXREPLACE(TO_TEXT('_Supporto Listone'!G191),"(.)","$1"&amp;UNICHAR(822)),'_Supporto Listone'!G191)</x:f>
        <x:v>10</x:v>
      </x:c>
      <x:c r="H191" s="462" t="n">
        <x:f>IF($J191&lt;&gt;"",REGEXREPLACE(TO_TEXT('_Supporto Listone'!H191),"(.)","$1"&amp;UNICHAR(822)),'_Supporto Listone'!H191)</x:f>
        <x:v>5</x:v>
      </x:c>
      <x:c r="I191" s="434"/>
      <x:c r="J191" s="433" t="str">
        <x:f>IF(COUNTIF(Asta!$B$4:$B$47,'_Supporto Listone'!B191)&gt;0,"Simone",IF(COUNTIF(Asta!$D$4:$D$47,'_Supporto Listone'!B191)&gt;0,"Giacomo",IF(COUNTIF(Asta!$F$4:$F$47,'_Supporto Listone'!B191)&gt;0,"Niko",IF(COUNTIF(Asta!$H$4:$H$47,'_Supporto Listone'!B191)&gt;0,"Quici",IF(COUNTIF(Asta!$J$4:$J$47,'_Supporto Listone'!B191)&gt;0,"Fratello Quici",IF(COUNTIF(Asta!$L$4:$L$47,'_Supporto Listone'!B191)&gt;0,"Nicolò",IF(COUNTIF(Asta!$N$4:$N$47,'_Supporto Listone'!B191)&gt;0,"Vi",IF(COUNTIF(Asta!$P$4:$P$47,'_Supporto Listone'!B191)&gt;0,"Lore",IF(COUNTIF(Asta!$R$4:$R$47,'_Supporto Listone'!B191)&gt;0,"Robbo",IF(COUNTIF(Asta!$T$4:$T$47,'_Supporto Listone'!B191)&gt;0,"Ale",""))))))))))</x:f>
      </x:c>
      <x:c r="K191" s="493" t="str">
        <x:f>IF(COUNTIF(Asta!$B$4:$B$47,'_Supporto Listone'!B191)&gt;0,INDEX(Asta!$C$4:$C$47,MATCH('_Supporto Listone'!B191,Asta!$B$4:$B$47,0)),IF(COUNTIF(Asta!$D$4:$D$47,'_Supporto Listone'!B191)&gt;0,INDEX(Asta!$E$4:$E$47,MATCH('_Supporto Listone'!B191,Asta!$D$4:$D$47,0)),IF(COUNTIF(Asta!$F$4:$F$47,'_Supporto Listone'!B191)&gt;0,INDEX(Asta!$G$4:$G$47,MATCH('_Supporto Listone'!B191,Asta!$F$4:$F$47,0)),IF(COUNTIF(Asta!$H$4:$H$47,'_Supporto Listone'!B191)&gt;0,INDEX(Asta!$I$4:$I$47,MATCH('_Supporto Listone'!B191,Asta!$H$4:$H$47,0)),IF(COUNTIF(Asta!$J$4:$J$47,'_Supporto Listone'!B191)&gt;0,INDEX(Asta!$K$4:$K$47,MATCH('_Supporto Listone'!B191,Asta!$J$4:$J$47,0)),IF(COUNTIF(Asta!$L$4:$L$47,'_Supporto Listone'!B191)&gt;0,INDEX(Asta!$M$4:$M$47,MATCH('_Supporto Listone'!B191,Asta!$L$4:$L$47,0)),IF(COUNTIF(Asta!$N$4:$N$47,'_Supporto Listone'!B191)&gt;0,INDEX(Asta!$O$4:$O$47,MATCH('_Supporto Listone'!B191,Asta!$N$4:$N$47,0)),IF(COUNTIF(Asta!$P$4:$P$47,'_Supporto Listone'!B191)&gt;0,INDEX(Asta!$Q$4:$Q$47,MATCH('_Supporto Listone'!B191,Asta!$P$4:$P$47,0)),IF(COUNTIF(Asta!$R$4:$R$47,'_Supporto Listone'!B191)&gt;0,INDEX(Asta!$S$4:$S$47,MATCH('_Supporto Listone'!B191,Asta!$R$4:$R$47,0)),IF(COUNTIF(Asta!$T$4:$T$47,'_Supporto Listone'!B191)&gt;0,INDEX(Asta!$U$4:$U$47,MATCH('_Supporto Listone'!B191,Asta!$T$4:$T$47,0)),""))))))))))</x:f>
      </x:c>
    </x:row>
    <x:row r="192">
      <x:c r="A192" s="432" t="str">
        <x:f>IF($J192&lt;&gt;"",REGEXREPLACE(TO_TEXT('_Supporto Listone'!A192),"(.)","$1"&amp;UNICHAR(822)),'_Supporto Listone'!A192)</x:f>
        <x:v>D</x:v>
      </x:c>
      <x:c r="B192" s="433" t="str">
        <x:f>IF($J192&lt;&gt;"",REGEXREPLACE(TO_TEXT('_Supporto Listone'!B192),"(.)","$1"&amp;UNICHAR(822)),'_Supporto Listone'!B192)</x:f>
        <x:v>Athekame</x:v>
      </x:c>
      <x:c r="C192" s="433" t="str">
        <x:f>IF($J192&lt;&gt;"",REGEXREPLACE(TO_TEXT('_Supporto Listone'!C192),"(.)","$1"&amp;UNICHAR(822)),'_Supporto Listone'!C192)</x:f>
        <x:v>Milan</x:v>
      </x:c>
      <x:c r="D192" s="433" t="str">
        <x:f>IF($J192&lt;&gt;"",REGEXREPLACE(TO_TEXT('_Supporto Listone'!D192),"(.)","$1"&amp;UNICHAR(822)),'_Supporto Listone'!D192)</x:f>
        <x:v>Dd;E</x:v>
      </x:c>
      <x:c r="E192" s="433" t="str">
        <x:f>IF($J192&lt;&gt;"",REGEXREPLACE(TO_TEXT('_Supporto Listone'!E192),"(.)","$1"&amp;UNICHAR(822)),'_Supporto Listone'!E192)</x:f>
        <x:v>Riserva / rotazione</x:v>
      </x:c>
      <x:c r="F192" s="462" t="n">
        <x:f>IF($J192&lt;&gt;"",REGEXREPLACE(TO_TEXT('_Supporto Listone'!F192),"(.)","$1"&amp;UNICHAR(822)),'_Supporto Listone'!F192)</x:f>
        <x:v>3</x:v>
      </x:c>
      <x:c r="G192" s="462" t="n">
        <x:f>IF($J192&lt;&gt;"",REGEXREPLACE(TO_TEXT('_Supporto Listone'!G192),"(.)","$1"&amp;UNICHAR(822)),'_Supporto Listone'!G192)</x:f>
        <x:v>8</x:v>
      </x:c>
      <x:c r="H192" s="462" t="n">
        <x:f>IF($J192&lt;&gt;"",REGEXREPLACE(TO_TEXT('_Supporto Listone'!H192),"(.)","$1"&amp;UNICHAR(822)),'_Supporto Listone'!H192)</x:f>
        <x:v>4</x:v>
      </x:c>
      <x:c r="I192" s="434"/>
      <x:c r="J192" s="433" t="str">
        <x:f>IF(COUNTIF(Asta!$B$4:$B$47,'_Supporto Listone'!B192)&gt;0,"Simone",IF(COUNTIF(Asta!$D$4:$D$47,'_Supporto Listone'!B192)&gt;0,"Giacomo",IF(COUNTIF(Asta!$F$4:$F$47,'_Supporto Listone'!B192)&gt;0,"Niko",IF(COUNTIF(Asta!$H$4:$H$47,'_Supporto Listone'!B192)&gt;0,"Quici",IF(COUNTIF(Asta!$J$4:$J$47,'_Supporto Listone'!B192)&gt;0,"Fratello Quici",IF(COUNTIF(Asta!$L$4:$L$47,'_Supporto Listone'!B192)&gt;0,"Nicolò",IF(COUNTIF(Asta!$N$4:$N$47,'_Supporto Listone'!B192)&gt;0,"Vi",IF(COUNTIF(Asta!$P$4:$P$47,'_Supporto Listone'!B192)&gt;0,"Lore",IF(COUNTIF(Asta!$R$4:$R$47,'_Supporto Listone'!B192)&gt;0,"Robbo",IF(COUNTIF(Asta!$T$4:$T$47,'_Supporto Listone'!B192)&gt;0,"Ale",""))))))))))</x:f>
      </x:c>
      <x:c r="K192" s="493" t="str">
        <x:f>IF(COUNTIF(Asta!$B$4:$B$47,'_Supporto Listone'!B192)&gt;0,INDEX(Asta!$C$4:$C$47,MATCH('_Supporto Listone'!B192,Asta!$B$4:$B$47,0)),IF(COUNTIF(Asta!$D$4:$D$47,'_Supporto Listone'!B192)&gt;0,INDEX(Asta!$E$4:$E$47,MATCH('_Supporto Listone'!B192,Asta!$D$4:$D$47,0)),IF(COUNTIF(Asta!$F$4:$F$47,'_Supporto Listone'!B192)&gt;0,INDEX(Asta!$G$4:$G$47,MATCH('_Supporto Listone'!B192,Asta!$F$4:$F$47,0)),IF(COUNTIF(Asta!$H$4:$H$47,'_Supporto Listone'!B192)&gt;0,INDEX(Asta!$I$4:$I$47,MATCH('_Supporto Listone'!B192,Asta!$H$4:$H$47,0)),IF(COUNTIF(Asta!$J$4:$J$47,'_Supporto Listone'!B192)&gt;0,INDEX(Asta!$K$4:$K$47,MATCH('_Supporto Listone'!B192,Asta!$J$4:$J$47,0)),IF(COUNTIF(Asta!$L$4:$L$47,'_Supporto Listone'!B192)&gt;0,INDEX(Asta!$M$4:$M$47,MATCH('_Supporto Listone'!B192,Asta!$L$4:$L$47,0)),IF(COUNTIF(Asta!$N$4:$N$47,'_Supporto Listone'!B192)&gt;0,INDEX(Asta!$O$4:$O$47,MATCH('_Supporto Listone'!B192,Asta!$N$4:$N$47,0)),IF(COUNTIF(Asta!$P$4:$P$47,'_Supporto Listone'!B192)&gt;0,INDEX(Asta!$Q$4:$Q$47,MATCH('_Supporto Listone'!B192,Asta!$P$4:$P$47,0)),IF(COUNTIF(Asta!$R$4:$R$47,'_Supporto Listone'!B192)&gt;0,INDEX(Asta!$S$4:$S$47,MATCH('_Supporto Listone'!B192,Asta!$R$4:$R$47,0)),IF(COUNTIF(Asta!$T$4:$T$47,'_Supporto Listone'!B192)&gt;0,INDEX(Asta!$U$4:$U$47,MATCH('_Supporto Listone'!B192,Asta!$T$4:$T$47,0)),""))))))))))</x:f>
      </x:c>
    </x:row>
    <x:row r="193">
      <x:c r="A193" s="432" t="str">
        <x:f>IF($J193&lt;&gt;"",REGEXREPLACE(TO_TEXT('_Supporto Listone'!A193),"(.)","$1"&amp;UNICHAR(822)),'_Supporto Listone'!A193)</x:f>
        <x:v>D</x:v>
      </x:c>
      <x:c r="B193" s="433" t="str">
        <x:f>IF($J193&lt;&gt;"",REGEXREPLACE(TO_TEXT('_Supporto Listone'!B193),"(.)","$1"&amp;UNICHAR(822)),'_Supporto Listone'!B193)</x:f>
        <x:v>De Winter</x:v>
      </x:c>
      <x:c r="C193" s="433" t="str">
        <x:f>IF($J193&lt;&gt;"",REGEXREPLACE(TO_TEXT('_Supporto Listone'!C193),"(.)","$1"&amp;UNICHAR(822)),'_Supporto Listone'!C193)</x:f>
        <x:v>Milan</x:v>
      </x:c>
      <x:c r="D193" s="433" t="str">
        <x:f>IF($J193&lt;&gt;"",REGEXREPLACE(TO_TEXT('_Supporto Listone'!D193),"(.)","$1"&amp;UNICHAR(822)),'_Supporto Listone'!D193)</x:f>
        <x:v>Dd;Dc</x:v>
      </x:c>
      <x:c r="E193" s="433" t="str">
        <x:f>IF($J193&lt;&gt;"",REGEXREPLACE(TO_TEXT('_Supporto Listone'!E193),"(.)","$1"&amp;UNICHAR(822)),'_Supporto Listone'!E193)</x:f>
        <x:v>Ballottaggio</x:v>
      </x:c>
      <x:c r="F193" s="462" t="n">
        <x:f>IF($J193&lt;&gt;"",REGEXREPLACE(TO_TEXT('_Supporto Listone'!F193),"(.)","$1"&amp;UNICHAR(822)),'_Supporto Listone'!F193)</x:f>
        <x:v>3</x:v>
      </x:c>
      <x:c r="G193" s="462" t="n">
        <x:f>IF($J193&lt;&gt;"",REGEXREPLACE(TO_TEXT('_Supporto Listone'!G193),"(.)","$1"&amp;UNICHAR(822)),'_Supporto Listone'!G193)</x:f>
        <x:v>12</x:v>
      </x:c>
      <x:c r="H193" s="462" t="n">
        <x:f>IF($J193&lt;&gt;"",REGEXREPLACE(TO_TEXT('_Supporto Listone'!H193),"(.)","$1"&amp;UNICHAR(822)),'_Supporto Listone'!H193)</x:f>
        <x:v>6</x:v>
      </x:c>
      <x:c r="I193" s="434"/>
      <x:c r="J193" s="433" t="str">
        <x:f>IF(COUNTIF(Asta!$B$4:$B$47,'_Supporto Listone'!B193)&gt;0,"Simone",IF(COUNTIF(Asta!$D$4:$D$47,'_Supporto Listone'!B193)&gt;0,"Giacomo",IF(COUNTIF(Asta!$F$4:$F$47,'_Supporto Listone'!B193)&gt;0,"Niko",IF(COUNTIF(Asta!$H$4:$H$47,'_Supporto Listone'!B193)&gt;0,"Quici",IF(COUNTIF(Asta!$J$4:$J$47,'_Supporto Listone'!B193)&gt;0,"Fratello Quici",IF(COUNTIF(Asta!$L$4:$L$47,'_Supporto Listone'!B193)&gt;0,"Nicolò",IF(COUNTIF(Asta!$N$4:$N$47,'_Supporto Listone'!B193)&gt;0,"Vi",IF(COUNTIF(Asta!$P$4:$P$47,'_Supporto Listone'!B193)&gt;0,"Lore",IF(COUNTIF(Asta!$R$4:$R$47,'_Supporto Listone'!B193)&gt;0,"Robbo",IF(COUNTIF(Asta!$T$4:$T$47,'_Supporto Listone'!B193)&gt;0,"Ale",""))))))))))</x:f>
      </x:c>
      <x:c r="K193" s="493" t="str">
        <x:f>IF(COUNTIF(Asta!$B$4:$B$47,'_Supporto Listone'!B193)&gt;0,INDEX(Asta!$C$4:$C$47,MATCH('_Supporto Listone'!B193,Asta!$B$4:$B$47,0)),IF(COUNTIF(Asta!$D$4:$D$47,'_Supporto Listone'!B193)&gt;0,INDEX(Asta!$E$4:$E$47,MATCH('_Supporto Listone'!B193,Asta!$D$4:$D$47,0)),IF(COUNTIF(Asta!$F$4:$F$47,'_Supporto Listone'!B193)&gt;0,INDEX(Asta!$G$4:$G$47,MATCH('_Supporto Listone'!B193,Asta!$F$4:$F$47,0)),IF(COUNTIF(Asta!$H$4:$H$47,'_Supporto Listone'!B193)&gt;0,INDEX(Asta!$I$4:$I$47,MATCH('_Supporto Listone'!B193,Asta!$H$4:$H$47,0)),IF(COUNTIF(Asta!$J$4:$J$47,'_Supporto Listone'!B193)&gt;0,INDEX(Asta!$K$4:$K$47,MATCH('_Supporto Listone'!B193,Asta!$J$4:$J$47,0)),IF(COUNTIF(Asta!$L$4:$L$47,'_Supporto Listone'!B193)&gt;0,INDEX(Asta!$M$4:$M$47,MATCH('_Supporto Listone'!B193,Asta!$L$4:$L$47,0)),IF(COUNTIF(Asta!$N$4:$N$47,'_Supporto Listone'!B193)&gt;0,INDEX(Asta!$O$4:$O$47,MATCH('_Supporto Listone'!B193,Asta!$N$4:$N$47,0)),IF(COUNTIF(Asta!$P$4:$P$47,'_Supporto Listone'!B193)&gt;0,INDEX(Asta!$Q$4:$Q$47,MATCH('_Supporto Listone'!B193,Asta!$P$4:$P$47,0)),IF(COUNTIF(Asta!$R$4:$R$47,'_Supporto Listone'!B193)&gt;0,INDEX(Asta!$S$4:$S$47,MATCH('_Supporto Listone'!B193,Asta!$R$4:$R$47,0)),IF(COUNTIF(Asta!$T$4:$T$47,'_Supporto Listone'!B193)&gt;0,INDEX(Asta!$U$4:$U$47,MATCH('_Supporto Listone'!B193,Asta!$T$4:$T$47,0)),""))))))))))</x:f>
      </x:c>
    </x:row>
    <x:row r="194">
      <x:c r="A194" s="432" t="str">
        <x:f>IF($J194&lt;&gt;"",REGEXREPLACE(TO_TEXT('_Supporto Listone'!A194),"(.)","$1"&amp;UNICHAR(822)),'_Supporto Listone'!A194)</x:f>
        <x:v>D</x:v>
      </x:c>
      <x:c r="B194" s="433" t="str">
        <x:f>IF($J194&lt;&gt;"",REGEXREPLACE(TO_TEXT('_Supporto Listone'!B194),"(.)","$1"&amp;UNICHAR(822)),'_Supporto Listone'!B194)</x:f>
        <x:v>Estupinan</x:v>
      </x:c>
      <x:c r="C194" s="433" t="str">
        <x:f>IF($J194&lt;&gt;"",REGEXREPLACE(TO_TEXT('_Supporto Listone'!C194),"(.)","$1"&amp;UNICHAR(822)),'_Supporto Listone'!C194)</x:f>
        <x:v>Milan</x:v>
      </x:c>
      <x:c r="D194" s="433" t="str">
        <x:f>IF($J194&lt;&gt;"",REGEXREPLACE(TO_TEXT('_Supporto Listone'!D194),"(.)","$1"&amp;UNICHAR(822)),'_Supporto Listone'!D194)</x:f>
        <x:v>Ds;E</x:v>
      </x:c>
      <x:c r="E194" s="433" t="str">
        <x:f>IF($J194&lt;&gt;"",REGEXREPLACE(TO_TEXT('_Supporto Listone'!E194),"(.)","$1"&amp;UNICHAR(822)),'_Supporto Listone'!E194)</x:f>
        <x:v>Riserva / rotazione</x:v>
      </x:c>
      <x:c r="F194" s="462" t="n">
        <x:f>IF($J194&lt;&gt;"",REGEXREPLACE(TO_TEXT('_Supporto Listone'!F194),"(.)","$1"&amp;UNICHAR(822)),'_Supporto Listone'!F194)</x:f>
        <x:v>3</x:v>
      </x:c>
      <x:c r="G194" s="462" t="n">
        <x:f>IF($J194&lt;&gt;"",REGEXREPLACE(TO_TEXT('_Supporto Listone'!G194),"(.)","$1"&amp;UNICHAR(822)),'_Supporto Listone'!G194)</x:f>
        <x:v>9</x:v>
      </x:c>
      <x:c r="H194" s="462" t="n">
        <x:f>IF($J194&lt;&gt;"",REGEXREPLACE(TO_TEXT('_Supporto Listone'!H194),"(.)","$1"&amp;UNICHAR(822)),'_Supporto Listone'!H194)</x:f>
        <x:v>5</x:v>
      </x:c>
      <x:c r="I194" s="434"/>
      <x:c r="J194" s="433" t="str">
        <x:f>IF(COUNTIF(Asta!$B$4:$B$47,'_Supporto Listone'!B194)&gt;0,"Simone",IF(COUNTIF(Asta!$D$4:$D$47,'_Supporto Listone'!B194)&gt;0,"Giacomo",IF(COUNTIF(Asta!$F$4:$F$47,'_Supporto Listone'!B194)&gt;0,"Niko",IF(COUNTIF(Asta!$H$4:$H$47,'_Supporto Listone'!B194)&gt;0,"Quici",IF(COUNTIF(Asta!$J$4:$J$47,'_Supporto Listone'!B194)&gt;0,"Fratello Quici",IF(COUNTIF(Asta!$L$4:$L$47,'_Supporto Listone'!B194)&gt;0,"Nicolò",IF(COUNTIF(Asta!$N$4:$N$47,'_Supporto Listone'!B194)&gt;0,"Vi",IF(COUNTIF(Asta!$P$4:$P$47,'_Supporto Listone'!B194)&gt;0,"Lore",IF(COUNTIF(Asta!$R$4:$R$47,'_Supporto Listone'!B194)&gt;0,"Robbo",IF(COUNTIF(Asta!$T$4:$T$47,'_Supporto Listone'!B194)&gt;0,"Ale",""))))))))))</x:f>
      </x:c>
      <x:c r="K194" s="493" t="str">
        <x:f>IF(COUNTIF(Asta!$B$4:$B$47,'_Supporto Listone'!B194)&gt;0,INDEX(Asta!$C$4:$C$47,MATCH('_Supporto Listone'!B194,Asta!$B$4:$B$47,0)),IF(COUNTIF(Asta!$D$4:$D$47,'_Supporto Listone'!B194)&gt;0,INDEX(Asta!$E$4:$E$47,MATCH('_Supporto Listone'!B194,Asta!$D$4:$D$47,0)),IF(COUNTIF(Asta!$F$4:$F$47,'_Supporto Listone'!B194)&gt;0,INDEX(Asta!$G$4:$G$47,MATCH('_Supporto Listone'!B194,Asta!$F$4:$F$47,0)),IF(COUNTIF(Asta!$H$4:$H$47,'_Supporto Listone'!B194)&gt;0,INDEX(Asta!$I$4:$I$47,MATCH('_Supporto Listone'!B194,Asta!$H$4:$H$47,0)),IF(COUNTIF(Asta!$J$4:$J$47,'_Supporto Listone'!B194)&gt;0,INDEX(Asta!$K$4:$K$47,MATCH('_Supporto Listone'!B194,Asta!$J$4:$J$47,0)),IF(COUNTIF(Asta!$L$4:$L$47,'_Supporto Listone'!B194)&gt;0,INDEX(Asta!$M$4:$M$47,MATCH('_Supporto Listone'!B194,Asta!$L$4:$L$47,0)),IF(COUNTIF(Asta!$N$4:$N$47,'_Supporto Listone'!B194)&gt;0,INDEX(Asta!$O$4:$O$47,MATCH('_Supporto Listone'!B194,Asta!$N$4:$N$47,0)),IF(COUNTIF(Asta!$P$4:$P$47,'_Supporto Listone'!B194)&gt;0,INDEX(Asta!$Q$4:$Q$47,MATCH('_Supporto Listone'!B194,Asta!$P$4:$P$47,0)),IF(COUNTIF(Asta!$R$4:$R$47,'_Supporto Listone'!B194)&gt;0,INDEX(Asta!$S$4:$S$47,MATCH('_Supporto Listone'!B194,Asta!$R$4:$R$47,0)),IF(COUNTIF(Asta!$T$4:$T$47,'_Supporto Listone'!B194)&gt;0,INDEX(Asta!$U$4:$U$47,MATCH('_Supporto Listone'!B194,Asta!$T$4:$T$47,0)),""))))))))))</x:f>
      </x:c>
    </x:row>
    <x:row r="195">
      <x:c r="A195" s="432" t="str">
        <x:f>IF($J195&lt;&gt;"",REGEXREPLACE(TO_TEXT('_Supporto Listone'!A195),"(.)","$1"&amp;UNICHAR(822)),'_Supporto Listone'!A195)</x:f>
        <x:v>D</x:v>
      </x:c>
      <x:c r="B195" s="433" t="str">
        <x:f>IF($J195&lt;&gt;"",REGEXREPLACE(TO_TEXT('_Supporto Listone'!B195),"(.)","$1"&amp;UNICHAR(822)),'_Supporto Listone'!B195)</x:f>
        <x:v>Carboni A.</x:v>
      </x:c>
      <x:c r="C195" s="433" t="str">
        <x:f>IF($J195&lt;&gt;"",REGEXREPLACE(TO_TEXT('_Supporto Listone'!C195),"(.)","$1"&amp;UNICHAR(822)),'_Supporto Listone'!C195)</x:f>
        <x:v>Monza</x:v>
      </x:c>
      <x:c r="D195" s="433" t="str">
        <x:f>IF($J195&lt;&gt;"",REGEXREPLACE(TO_TEXT('_Supporto Listone'!D195),"(.)","$1"&amp;UNICHAR(822)),'_Supporto Listone'!D195)</x:f>
        <x:v>Ds;Dc</x:v>
      </x:c>
      <x:c r="E195" s="433" t="str">
        <x:f>IF($J195&lt;&gt;"",REGEXREPLACE(TO_TEXT('_Supporto Listone'!E195),"(.)","$1"&amp;UNICHAR(822)),'_Supporto Listone'!E195)</x:f>
        <x:v>Titolare</x:v>
      </x:c>
      <x:c r="F195" s="462" t="n">
        <x:f>IF($J195&lt;&gt;"",REGEXREPLACE(TO_TEXT('_Supporto Listone'!F195),"(.)","$1"&amp;UNICHAR(822)),'_Supporto Listone'!F195)</x:f>
        <x:v>3</x:v>
      </x:c>
      <x:c r="G195" s="462" t="n">
        <x:f>IF($J195&lt;&gt;"",REGEXREPLACE(TO_TEXT('_Supporto Listone'!G195),"(.)","$1"&amp;UNICHAR(822)),'_Supporto Listone'!G195)</x:f>
        <x:v>9</x:v>
      </x:c>
      <x:c r="H195" s="462" t="n">
        <x:f>IF($J195&lt;&gt;"",REGEXREPLACE(TO_TEXT('_Supporto Listone'!H195),"(.)","$1"&amp;UNICHAR(822)),'_Supporto Listone'!H195)</x:f>
        <x:v>5</x:v>
      </x:c>
      <x:c r="I195" s="434"/>
      <x:c r="J195" s="433" t="str">
        <x:f>IF(COUNTIF(Asta!$B$4:$B$47,'_Supporto Listone'!B195)&gt;0,"Simone",IF(COUNTIF(Asta!$D$4:$D$47,'_Supporto Listone'!B195)&gt;0,"Giacomo",IF(COUNTIF(Asta!$F$4:$F$47,'_Supporto Listone'!B195)&gt;0,"Niko",IF(COUNTIF(Asta!$H$4:$H$47,'_Supporto Listone'!B195)&gt;0,"Quici",IF(COUNTIF(Asta!$J$4:$J$47,'_Supporto Listone'!B195)&gt;0,"Fratello Quici",IF(COUNTIF(Asta!$L$4:$L$47,'_Supporto Listone'!B195)&gt;0,"Nicolò",IF(COUNTIF(Asta!$N$4:$N$47,'_Supporto Listone'!B195)&gt;0,"Vi",IF(COUNTIF(Asta!$P$4:$P$47,'_Supporto Listone'!B195)&gt;0,"Lore",IF(COUNTIF(Asta!$R$4:$R$47,'_Supporto Listone'!B195)&gt;0,"Robbo",IF(COUNTIF(Asta!$T$4:$T$47,'_Supporto Listone'!B195)&gt;0,"Ale",""))))))))))</x:f>
      </x:c>
      <x:c r="K195" s="493" t="str">
        <x:f>IF(COUNTIF(Asta!$B$4:$B$47,'_Supporto Listone'!B195)&gt;0,INDEX(Asta!$C$4:$C$47,MATCH('_Supporto Listone'!B195,Asta!$B$4:$B$47,0)),IF(COUNTIF(Asta!$D$4:$D$47,'_Supporto Listone'!B195)&gt;0,INDEX(Asta!$E$4:$E$47,MATCH('_Supporto Listone'!B195,Asta!$D$4:$D$47,0)),IF(COUNTIF(Asta!$F$4:$F$47,'_Supporto Listone'!B195)&gt;0,INDEX(Asta!$G$4:$G$47,MATCH('_Supporto Listone'!B195,Asta!$F$4:$F$47,0)),IF(COUNTIF(Asta!$H$4:$H$47,'_Supporto Listone'!B195)&gt;0,INDEX(Asta!$I$4:$I$47,MATCH('_Supporto Listone'!B195,Asta!$H$4:$H$47,0)),IF(COUNTIF(Asta!$J$4:$J$47,'_Supporto Listone'!B195)&gt;0,INDEX(Asta!$K$4:$K$47,MATCH('_Supporto Listone'!B195,Asta!$J$4:$J$47,0)),IF(COUNTIF(Asta!$L$4:$L$47,'_Supporto Listone'!B195)&gt;0,INDEX(Asta!$M$4:$M$47,MATCH('_Supporto Listone'!B195,Asta!$L$4:$L$47,0)),IF(COUNTIF(Asta!$N$4:$N$47,'_Supporto Listone'!B195)&gt;0,INDEX(Asta!$O$4:$O$47,MATCH('_Supporto Listone'!B195,Asta!$N$4:$N$47,0)),IF(COUNTIF(Asta!$P$4:$P$47,'_Supporto Listone'!B195)&gt;0,INDEX(Asta!$Q$4:$Q$47,MATCH('_Supporto Listone'!B195,Asta!$P$4:$P$47,0)),IF(COUNTIF(Asta!$R$4:$R$47,'_Supporto Listone'!B195)&gt;0,INDEX(Asta!$S$4:$S$47,MATCH('_Supporto Listone'!B195,Asta!$R$4:$R$47,0)),IF(COUNTIF(Asta!$T$4:$T$47,'_Supporto Listone'!B195)&gt;0,INDEX(Asta!$U$4:$U$47,MATCH('_Supporto Listone'!B195,Asta!$T$4:$T$47,0)),""))))))))))</x:f>
      </x:c>
    </x:row>
    <x:row r="196">
      <x:c r="A196" s="432" t="str">
        <x:f>IF($J196&lt;&gt;"",REGEXREPLACE(TO_TEXT('_Supporto Listone'!A196),"(.)","$1"&amp;UNICHAR(822)),'_Supporto Listone'!A196)</x:f>
        <x:v>D</x:v>
      </x:c>
      <x:c r="B196" s="433" t="str">
        <x:f>IF($J196&lt;&gt;"",REGEXREPLACE(TO_TEXT('_Supporto Listone'!B196),"(.)","$1"&amp;UNICHAR(822)),'_Supporto Listone'!B196)</x:f>
        <x:v>Kouadio</x:v>
      </x:c>
      <x:c r="C196" s="433" t="str">
        <x:f>IF($J196&lt;&gt;"",REGEXREPLACE(TO_TEXT('_Supporto Listone'!C196),"(.)","$1"&amp;UNICHAR(822)),'_Supporto Listone'!C196)</x:f>
        <x:v>Monza</x:v>
      </x:c>
      <x:c r="D196" s="433" t="str">
        <x:f>IF($J196&lt;&gt;"",REGEXREPLACE(TO_TEXT('_Supporto Listone'!D196),"(.)","$1"&amp;UNICHAR(822)),'_Supporto Listone'!D196)</x:f>
        <x:v>Dd;Dc</x:v>
      </x:c>
      <x:c r="E196" s="433" t="str">
        <x:f>IF($J196&lt;&gt;"",REGEXREPLACE(TO_TEXT('_Supporto Listone'!E196),"(.)","$1"&amp;UNICHAR(822)),'_Supporto Listone'!E196)</x:f>
        <x:v>Ballottaggio</x:v>
      </x:c>
      <x:c r="F196" s="462" t="n">
        <x:f>IF($J196&lt;&gt;"",REGEXREPLACE(TO_TEXT('_Supporto Listone'!F196),"(.)","$1"&amp;UNICHAR(822)),'_Supporto Listone'!F196)</x:f>
        <x:v>3</x:v>
      </x:c>
      <x:c r="G196" s="462" t="n">
        <x:f>IF($J196&lt;&gt;"",REGEXREPLACE(TO_TEXT('_Supporto Listone'!G196),"(.)","$1"&amp;UNICHAR(822)),'_Supporto Listone'!G196)</x:f>
        <x:v>9</x:v>
      </x:c>
      <x:c r="H196" s="462" t="n">
        <x:f>IF($J196&lt;&gt;"",REGEXREPLACE(TO_TEXT('_Supporto Listone'!H196),"(.)","$1"&amp;UNICHAR(822)),'_Supporto Listone'!H196)</x:f>
        <x:v>5</x:v>
      </x:c>
      <x:c r="I196" s="434"/>
      <x:c r="J196" s="433" t="str">
        <x:f>IF(COUNTIF(Asta!$B$4:$B$47,'_Supporto Listone'!B196)&gt;0,"Simone",IF(COUNTIF(Asta!$D$4:$D$47,'_Supporto Listone'!B196)&gt;0,"Giacomo",IF(COUNTIF(Asta!$F$4:$F$47,'_Supporto Listone'!B196)&gt;0,"Niko",IF(COUNTIF(Asta!$H$4:$H$47,'_Supporto Listone'!B196)&gt;0,"Quici",IF(COUNTIF(Asta!$J$4:$J$47,'_Supporto Listone'!B196)&gt;0,"Fratello Quici",IF(COUNTIF(Asta!$L$4:$L$47,'_Supporto Listone'!B196)&gt;0,"Nicolò",IF(COUNTIF(Asta!$N$4:$N$47,'_Supporto Listone'!B196)&gt;0,"Vi",IF(COUNTIF(Asta!$P$4:$P$47,'_Supporto Listone'!B196)&gt;0,"Lore",IF(COUNTIF(Asta!$R$4:$R$47,'_Supporto Listone'!B196)&gt;0,"Robbo",IF(COUNTIF(Asta!$T$4:$T$47,'_Supporto Listone'!B196)&gt;0,"Ale",""))))))))))</x:f>
      </x:c>
      <x:c r="K196" s="493" t="str">
        <x:f>IF(COUNTIF(Asta!$B$4:$B$47,'_Supporto Listone'!B196)&gt;0,INDEX(Asta!$C$4:$C$47,MATCH('_Supporto Listone'!B196,Asta!$B$4:$B$47,0)),IF(COUNTIF(Asta!$D$4:$D$47,'_Supporto Listone'!B196)&gt;0,INDEX(Asta!$E$4:$E$47,MATCH('_Supporto Listone'!B196,Asta!$D$4:$D$47,0)),IF(COUNTIF(Asta!$F$4:$F$47,'_Supporto Listone'!B196)&gt;0,INDEX(Asta!$G$4:$G$47,MATCH('_Supporto Listone'!B196,Asta!$F$4:$F$47,0)),IF(COUNTIF(Asta!$H$4:$H$47,'_Supporto Listone'!B196)&gt;0,INDEX(Asta!$I$4:$I$47,MATCH('_Supporto Listone'!B196,Asta!$H$4:$H$47,0)),IF(COUNTIF(Asta!$J$4:$J$47,'_Supporto Listone'!B196)&gt;0,INDEX(Asta!$K$4:$K$47,MATCH('_Supporto Listone'!B196,Asta!$J$4:$J$47,0)),IF(COUNTIF(Asta!$L$4:$L$47,'_Supporto Listone'!B196)&gt;0,INDEX(Asta!$M$4:$M$47,MATCH('_Supporto Listone'!B196,Asta!$L$4:$L$47,0)),IF(COUNTIF(Asta!$N$4:$N$47,'_Supporto Listone'!B196)&gt;0,INDEX(Asta!$O$4:$O$47,MATCH('_Supporto Listone'!B196,Asta!$N$4:$N$47,0)),IF(COUNTIF(Asta!$P$4:$P$47,'_Supporto Listone'!B196)&gt;0,INDEX(Asta!$Q$4:$Q$47,MATCH('_Supporto Listone'!B196,Asta!$P$4:$P$47,0)),IF(COUNTIF(Asta!$R$4:$R$47,'_Supporto Listone'!B196)&gt;0,INDEX(Asta!$S$4:$S$47,MATCH('_Supporto Listone'!B196,Asta!$R$4:$R$47,0)),IF(COUNTIF(Asta!$T$4:$T$47,'_Supporto Listone'!B196)&gt;0,INDEX(Asta!$U$4:$U$47,MATCH('_Supporto Listone'!B196,Asta!$T$4:$T$47,0)),""))))))))))</x:f>
      </x:c>
    </x:row>
    <x:row r="197">
      <x:c r="A197" s="432" t="str">
        <x:f>IF($J197&lt;&gt;"",REGEXREPLACE(TO_TEXT('_Supporto Listone'!A197),"(.)","$1"&amp;UNICHAR(822)),'_Supporto Listone'!A197)</x:f>
        <x:v>D</x:v>
      </x:c>
      <x:c r="B197" s="433" t="str">
        <x:f>IF($J197&lt;&gt;"",REGEXREPLACE(TO_TEXT('_Supporto Listone'!B197),"(.)","$1"&amp;UNICHAR(822)),'_Supporto Listone'!B197)</x:f>
        <x:v>Britschgi</x:v>
      </x:c>
      <x:c r="C197" s="433" t="str">
        <x:f>IF($J197&lt;&gt;"",REGEXREPLACE(TO_TEXT('_Supporto Listone'!C197),"(.)","$1"&amp;UNICHAR(822)),'_Supporto Listone'!C197)</x:f>
        <x:v>Parma</x:v>
      </x:c>
      <x:c r="D197" s="433" t="str">
        <x:f>IF($J197&lt;&gt;"",REGEXREPLACE(TO_TEXT('_Supporto Listone'!D197),"(.)","$1"&amp;UNICHAR(822)),'_Supporto Listone'!D197)</x:f>
        <x:v>Dd;Ds;E</x:v>
      </x:c>
      <x:c r="E197" s="433" t="str">
        <x:f>IF($J197&lt;&gt;"",REGEXREPLACE(TO_TEXT('_Supporto Listone'!E197),"(.)","$1"&amp;UNICHAR(822)),'_Supporto Listone'!E197)</x:f>
        <x:v>Ballottaggio</x:v>
      </x:c>
      <x:c r="F197" s="462" t="n">
        <x:f>IF($J197&lt;&gt;"",REGEXREPLACE(TO_TEXT('_Supporto Listone'!F197),"(.)","$1"&amp;UNICHAR(822)),'_Supporto Listone'!F197)</x:f>
        <x:v>3</x:v>
      </x:c>
      <x:c r="G197" s="462" t="n">
        <x:f>IF($J197&lt;&gt;"",REGEXREPLACE(TO_TEXT('_Supporto Listone'!G197),"(.)","$1"&amp;UNICHAR(822)),'_Supporto Listone'!G197)</x:f>
        <x:v>10</x:v>
      </x:c>
      <x:c r="H197" s="462" t="n">
        <x:f>IF($J197&lt;&gt;"",REGEXREPLACE(TO_TEXT('_Supporto Listone'!H197),"(.)","$1"&amp;UNICHAR(822)),'_Supporto Listone'!H197)</x:f>
        <x:v>5</x:v>
      </x:c>
      <x:c r="I197" s="434"/>
      <x:c r="J197" s="433" t="str">
        <x:f>IF(COUNTIF(Asta!$B$4:$B$47,'_Supporto Listone'!B197)&gt;0,"Simone",IF(COUNTIF(Asta!$D$4:$D$47,'_Supporto Listone'!B197)&gt;0,"Giacomo",IF(COUNTIF(Asta!$F$4:$F$47,'_Supporto Listone'!B197)&gt;0,"Niko",IF(COUNTIF(Asta!$H$4:$H$47,'_Supporto Listone'!B197)&gt;0,"Quici",IF(COUNTIF(Asta!$J$4:$J$47,'_Supporto Listone'!B197)&gt;0,"Fratello Quici",IF(COUNTIF(Asta!$L$4:$L$47,'_Supporto Listone'!B197)&gt;0,"Nicolò",IF(COUNTIF(Asta!$N$4:$N$47,'_Supporto Listone'!B197)&gt;0,"Vi",IF(COUNTIF(Asta!$P$4:$P$47,'_Supporto Listone'!B197)&gt;0,"Lore",IF(COUNTIF(Asta!$R$4:$R$47,'_Supporto Listone'!B197)&gt;0,"Robbo",IF(COUNTIF(Asta!$T$4:$T$47,'_Supporto Listone'!B197)&gt;0,"Ale",""))))))))))</x:f>
      </x:c>
      <x:c r="K197" s="493" t="str">
        <x:f>IF(COUNTIF(Asta!$B$4:$B$47,'_Supporto Listone'!B197)&gt;0,INDEX(Asta!$C$4:$C$47,MATCH('_Supporto Listone'!B197,Asta!$B$4:$B$47,0)),IF(COUNTIF(Asta!$D$4:$D$47,'_Supporto Listone'!B197)&gt;0,INDEX(Asta!$E$4:$E$47,MATCH('_Supporto Listone'!B197,Asta!$D$4:$D$47,0)),IF(COUNTIF(Asta!$F$4:$F$47,'_Supporto Listone'!B197)&gt;0,INDEX(Asta!$G$4:$G$47,MATCH('_Supporto Listone'!B197,Asta!$F$4:$F$47,0)),IF(COUNTIF(Asta!$H$4:$H$47,'_Supporto Listone'!B197)&gt;0,INDEX(Asta!$I$4:$I$47,MATCH('_Supporto Listone'!B197,Asta!$H$4:$H$47,0)),IF(COUNTIF(Asta!$J$4:$J$47,'_Supporto Listone'!B197)&gt;0,INDEX(Asta!$K$4:$K$47,MATCH('_Supporto Listone'!B197,Asta!$J$4:$J$47,0)),IF(COUNTIF(Asta!$L$4:$L$47,'_Supporto Listone'!B197)&gt;0,INDEX(Asta!$M$4:$M$47,MATCH('_Supporto Listone'!B197,Asta!$L$4:$L$47,0)),IF(COUNTIF(Asta!$N$4:$N$47,'_Supporto Listone'!B197)&gt;0,INDEX(Asta!$O$4:$O$47,MATCH('_Supporto Listone'!B197,Asta!$N$4:$N$47,0)),IF(COUNTIF(Asta!$P$4:$P$47,'_Supporto Listone'!B197)&gt;0,INDEX(Asta!$Q$4:$Q$47,MATCH('_Supporto Listone'!B197,Asta!$P$4:$P$47,0)),IF(COUNTIF(Asta!$R$4:$R$47,'_Supporto Listone'!B197)&gt;0,INDEX(Asta!$S$4:$S$47,MATCH('_Supporto Listone'!B197,Asta!$R$4:$R$47,0)),IF(COUNTIF(Asta!$T$4:$T$47,'_Supporto Listone'!B197)&gt;0,INDEX(Asta!$U$4:$U$47,MATCH('_Supporto Listone'!B197,Asta!$T$4:$T$47,0)),""))))))))))</x:f>
      </x:c>
    </x:row>
    <x:row r="198">
      <x:c r="A198" s="432" t="str">
        <x:f>IF($J198&lt;&gt;"",REGEXREPLACE(TO_TEXT('_Supporto Listone'!A198),"(.)","$1"&amp;UNICHAR(822)),'_Supporto Listone'!A198)</x:f>
        <x:v>D</x:v>
      </x:c>
      <x:c r="B198" s="433" t="str">
        <x:f>IF($J198&lt;&gt;"",REGEXREPLACE(TO_TEXT('_Supporto Listone'!B198),"(.)","$1"&amp;UNICHAR(822)),'_Supporto Listone'!B198)</x:f>
        <x:v>Troilo</x:v>
      </x:c>
      <x:c r="C198" s="433" t="str">
        <x:f>IF($J198&lt;&gt;"",REGEXREPLACE(TO_TEXT('_Supporto Listone'!C198),"(.)","$1"&amp;UNICHAR(822)),'_Supporto Listone'!C198)</x:f>
        <x:v>Parma</x:v>
      </x:c>
      <x:c r="D198" s="433" t="str">
        <x:f>IF($J198&lt;&gt;"",REGEXREPLACE(TO_TEXT('_Supporto Listone'!D198),"(.)","$1"&amp;UNICHAR(822)),'_Supporto Listone'!D198)</x:f>
        <x:v>Dc</x:v>
      </x:c>
      <x:c r="E198" s="433" t="str">
        <x:f>IF($J198&lt;&gt;"",REGEXREPLACE(TO_TEXT('_Supporto Listone'!E198),"(.)","$1"&amp;UNICHAR(822)),'_Supporto Listone'!E198)</x:f>
        <x:v>Titolare</x:v>
      </x:c>
      <x:c r="F198" s="462" t="n">
        <x:f>IF($J198&lt;&gt;"",REGEXREPLACE(TO_TEXT('_Supporto Listone'!F198),"(.)","$1"&amp;UNICHAR(822)),'_Supporto Listone'!F198)</x:f>
        <x:v>3</x:v>
      </x:c>
      <x:c r="G198" s="462" t="n">
        <x:f>IF($J198&lt;&gt;"",REGEXREPLACE(TO_TEXT('_Supporto Listone'!G198),"(.)","$1"&amp;UNICHAR(822)),'_Supporto Listone'!G198)</x:f>
        <x:v>8</x:v>
      </x:c>
      <x:c r="H198" s="462" t="n">
        <x:f>IF($J198&lt;&gt;"",REGEXREPLACE(TO_TEXT('_Supporto Listone'!H198),"(.)","$1"&amp;UNICHAR(822)),'_Supporto Listone'!H198)</x:f>
        <x:v>4</x:v>
      </x:c>
      <x:c r="I198" s="434"/>
      <x:c r="J198" s="433" t="str">
        <x:f>IF(COUNTIF(Asta!$B$4:$B$47,'_Supporto Listone'!B198)&gt;0,"Simone",IF(COUNTIF(Asta!$D$4:$D$47,'_Supporto Listone'!B198)&gt;0,"Giacomo",IF(COUNTIF(Asta!$F$4:$F$47,'_Supporto Listone'!B198)&gt;0,"Niko",IF(COUNTIF(Asta!$H$4:$H$47,'_Supporto Listone'!B198)&gt;0,"Quici",IF(COUNTIF(Asta!$J$4:$J$47,'_Supporto Listone'!B198)&gt;0,"Fratello Quici",IF(COUNTIF(Asta!$L$4:$L$47,'_Supporto Listone'!B198)&gt;0,"Nicolò",IF(COUNTIF(Asta!$N$4:$N$47,'_Supporto Listone'!B198)&gt;0,"Vi",IF(COUNTIF(Asta!$P$4:$P$47,'_Supporto Listone'!B198)&gt;0,"Lore",IF(COUNTIF(Asta!$R$4:$R$47,'_Supporto Listone'!B198)&gt;0,"Robbo",IF(COUNTIF(Asta!$T$4:$T$47,'_Supporto Listone'!B198)&gt;0,"Ale",""))))))))))</x:f>
      </x:c>
      <x:c r="K198" s="493" t="str">
        <x:f>IF(COUNTIF(Asta!$B$4:$B$47,'_Supporto Listone'!B198)&gt;0,INDEX(Asta!$C$4:$C$47,MATCH('_Supporto Listone'!B198,Asta!$B$4:$B$47,0)),IF(COUNTIF(Asta!$D$4:$D$47,'_Supporto Listone'!B198)&gt;0,INDEX(Asta!$E$4:$E$47,MATCH('_Supporto Listone'!B198,Asta!$D$4:$D$47,0)),IF(COUNTIF(Asta!$F$4:$F$47,'_Supporto Listone'!B198)&gt;0,INDEX(Asta!$G$4:$G$47,MATCH('_Supporto Listone'!B198,Asta!$F$4:$F$47,0)),IF(COUNTIF(Asta!$H$4:$H$47,'_Supporto Listone'!B198)&gt;0,INDEX(Asta!$I$4:$I$47,MATCH('_Supporto Listone'!B198,Asta!$H$4:$H$47,0)),IF(COUNTIF(Asta!$J$4:$J$47,'_Supporto Listone'!B198)&gt;0,INDEX(Asta!$K$4:$K$47,MATCH('_Supporto Listone'!B198,Asta!$J$4:$J$47,0)),IF(COUNTIF(Asta!$L$4:$L$47,'_Supporto Listone'!B198)&gt;0,INDEX(Asta!$M$4:$M$47,MATCH('_Supporto Listone'!B198,Asta!$L$4:$L$47,0)),IF(COUNTIF(Asta!$N$4:$N$47,'_Supporto Listone'!B198)&gt;0,INDEX(Asta!$O$4:$O$47,MATCH('_Supporto Listone'!B198,Asta!$N$4:$N$47,0)),IF(COUNTIF(Asta!$P$4:$P$47,'_Supporto Listone'!B198)&gt;0,INDEX(Asta!$Q$4:$Q$47,MATCH('_Supporto Listone'!B198,Asta!$P$4:$P$47,0)),IF(COUNTIF(Asta!$R$4:$R$47,'_Supporto Listone'!B198)&gt;0,INDEX(Asta!$S$4:$S$47,MATCH('_Supporto Listone'!B198,Asta!$R$4:$R$47,0)),IF(COUNTIF(Asta!$T$4:$T$47,'_Supporto Listone'!B198)&gt;0,INDEX(Asta!$U$4:$U$47,MATCH('_Supporto Listone'!B198,Asta!$T$4:$T$47,0)),""))))))))))</x:f>
      </x:c>
    </x:row>
    <x:row r="199">
      <x:c r="A199" s="432" t="str">
        <x:f>IF($J199&lt;&gt;"",REGEXREPLACE(TO_TEXT('_Supporto Listone'!A199),"(.)","$1"&amp;UNICHAR(822)),'_Supporto Listone'!A199)</x:f>
        <x:v>D</x:v>
      </x:c>
      <x:c r="B199" s="433" t="str">
        <x:f>IF($J199&lt;&gt;"",REGEXREPLACE(TO_TEXT('_Supporto Listone'!B199),"(.)","$1"&amp;UNICHAR(822)),'_Supporto Listone'!B199)</x:f>
        <x:v>Angelino</x:v>
      </x:c>
      <x:c r="C199" s="433" t="str">
        <x:f>IF($J199&lt;&gt;"",REGEXREPLACE(TO_TEXT('_Supporto Listone'!C199),"(.)","$1"&amp;UNICHAR(822)),'_Supporto Listone'!C199)</x:f>
        <x:v>Roma</x:v>
      </x:c>
      <x:c r="D199" s="433" t="str">
        <x:f>IF($J199&lt;&gt;"",REGEXREPLACE(TO_TEXT('_Supporto Listone'!D199),"(.)","$1"&amp;UNICHAR(822)),'_Supporto Listone'!D199)</x:f>
        <x:v>E</x:v>
      </x:c>
      <x:c r="E199" s="433" t="str">
        <x:f>IF($J199&lt;&gt;"",REGEXREPLACE(TO_TEXT('_Supporto Listone'!E199),"(.)","$1"&amp;UNICHAR(822)),'_Supporto Listone'!E199)</x:f>
        <x:v>Riserva / rotazione</x:v>
      </x:c>
      <x:c r="F199" s="462" t="n">
        <x:f>IF($J199&lt;&gt;"",REGEXREPLACE(TO_TEXT('_Supporto Listone'!F199),"(.)","$1"&amp;UNICHAR(822)),'_Supporto Listone'!F199)</x:f>
        <x:v>3</x:v>
      </x:c>
      <x:c r="G199" s="462" t="n">
        <x:f>IF($J199&lt;&gt;"",REGEXREPLACE(TO_TEXT('_Supporto Listone'!G199),"(.)","$1"&amp;UNICHAR(822)),'_Supporto Listone'!G199)</x:f>
        <x:v>12</x:v>
      </x:c>
      <x:c r="H199" s="462" t="n">
        <x:f>IF($J199&lt;&gt;"",REGEXREPLACE(TO_TEXT('_Supporto Listone'!H199),"(.)","$1"&amp;UNICHAR(822)),'_Supporto Listone'!H199)</x:f>
        <x:v>6</x:v>
      </x:c>
      <x:c r="I199" s="434"/>
      <x:c r="J199" s="433" t="str">
        <x:f>IF(COUNTIF(Asta!$B$4:$B$47,'_Supporto Listone'!B199)&gt;0,"Simone",IF(COUNTIF(Asta!$D$4:$D$47,'_Supporto Listone'!B199)&gt;0,"Giacomo",IF(COUNTIF(Asta!$F$4:$F$47,'_Supporto Listone'!B199)&gt;0,"Niko",IF(COUNTIF(Asta!$H$4:$H$47,'_Supporto Listone'!B199)&gt;0,"Quici",IF(COUNTIF(Asta!$J$4:$J$47,'_Supporto Listone'!B199)&gt;0,"Fratello Quici",IF(COUNTIF(Asta!$L$4:$L$47,'_Supporto Listone'!B199)&gt;0,"Nicolò",IF(COUNTIF(Asta!$N$4:$N$47,'_Supporto Listone'!B199)&gt;0,"Vi",IF(COUNTIF(Asta!$P$4:$P$47,'_Supporto Listone'!B199)&gt;0,"Lore",IF(COUNTIF(Asta!$R$4:$R$47,'_Supporto Listone'!B199)&gt;0,"Robbo",IF(COUNTIF(Asta!$T$4:$T$47,'_Supporto Listone'!B199)&gt;0,"Ale",""))))))))))</x:f>
      </x:c>
      <x:c r="K199" s="493" t="str">
        <x:f>IF(COUNTIF(Asta!$B$4:$B$47,'_Supporto Listone'!B199)&gt;0,INDEX(Asta!$C$4:$C$47,MATCH('_Supporto Listone'!B199,Asta!$B$4:$B$47,0)),IF(COUNTIF(Asta!$D$4:$D$47,'_Supporto Listone'!B199)&gt;0,INDEX(Asta!$E$4:$E$47,MATCH('_Supporto Listone'!B199,Asta!$D$4:$D$47,0)),IF(COUNTIF(Asta!$F$4:$F$47,'_Supporto Listone'!B199)&gt;0,INDEX(Asta!$G$4:$G$47,MATCH('_Supporto Listone'!B199,Asta!$F$4:$F$47,0)),IF(COUNTIF(Asta!$H$4:$H$47,'_Supporto Listone'!B199)&gt;0,INDEX(Asta!$I$4:$I$47,MATCH('_Supporto Listone'!B199,Asta!$H$4:$H$47,0)),IF(COUNTIF(Asta!$J$4:$J$47,'_Supporto Listone'!B199)&gt;0,INDEX(Asta!$K$4:$K$47,MATCH('_Supporto Listone'!B199,Asta!$J$4:$J$47,0)),IF(COUNTIF(Asta!$L$4:$L$47,'_Supporto Listone'!B199)&gt;0,INDEX(Asta!$M$4:$M$47,MATCH('_Supporto Listone'!B199,Asta!$L$4:$L$47,0)),IF(COUNTIF(Asta!$N$4:$N$47,'_Supporto Listone'!B199)&gt;0,INDEX(Asta!$O$4:$O$47,MATCH('_Supporto Listone'!B199,Asta!$N$4:$N$47,0)),IF(COUNTIF(Asta!$P$4:$P$47,'_Supporto Listone'!B199)&gt;0,INDEX(Asta!$Q$4:$Q$47,MATCH('_Supporto Listone'!B199,Asta!$P$4:$P$47,0)),IF(COUNTIF(Asta!$R$4:$R$47,'_Supporto Listone'!B199)&gt;0,INDEX(Asta!$S$4:$S$47,MATCH('_Supporto Listone'!B199,Asta!$R$4:$R$47,0)),IF(COUNTIF(Asta!$T$4:$T$47,'_Supporto Listone'!B199)&gt;0,INDEX(Asta!$U$4:$U$47,MATCH('_Supporto Listone'!B199,Asta!$T$4:$T$47,0)),""))))))))))</x:f>
      </x:c>
    </x:row>
    <x:row r="200">
      <x:c r="A200" s="432" t="str">
        <x:f>IF($J200&lt;&gt;"",REGEXREPLACE(TO_TEXT('_Supporto Listone'!A200),"(.)","$1"&amp;UNICHAR(822)),'_Supporto Listone'!A200)</x:f>
        <x:v>D</x:v>
      </x:c>
      <x:c r="B200" s="433" t="str">
        <x:f>IF($J200&lt;&gt;"",REGEXREPLACE(TO_TEXT('_Supporto Listone'!B200),"(.)","$1"&amp;UNICHAR(822)),'_Supporto Listone'!B200)</x:f>
        <x:v>Candè</x:v>
      </x:c>
      <x:c r="C200" s="433" t="str">
        <x:f>IF($J200&lt;&gt;"",REGEXREPLACE(TO_TEXT('_Supporto Listone'!C200),"(.)","$1"&amp;UNICHAR(822)),'_Supporto Listone'!C200)</x:f>
        <x:v>Sassuolo</x:v>
      </x:c>
      <x:c r="D200" s="433" t="str">
        <x:f>IF($J200&lt;&gt;"",REGEXREPLACE(TO_TEXT('_Supporto Listone'!D200),"(.)","$1"&amp;UNICHAR(822)),'_Supporto Listone'!D200)</x:f>
        <x:v>Ds;Dc</x:v>
      </x:c>
      <x:c r="E200" s="433" t="str">
        <x:f>IF($J200&lt;&gt;"",REGEXREPLACE(TO_TEXT('_Supporto Listone'!E200),"(.)","$1"&amp;UNICHAR(822)),'_Supporto Listone'!E200)</x:f>
        <x:v>Riserva / rotazione</x:v>
      </x:c>
      <x:c r="F200" s="462" t="n">
        <x:f>IF($J200&lt;&gt;"",REGEXREPLACE(TO_TEXT('_Supporto Listone'!F200),"(.)","$1"&amp;UNICHAR(822)),'_Supporto Listone'!F200)</x:f>
        <x:v>3</x:v>
      </x:c>
      <x:c r="G200" s="462" t="n">
        <x:f>IF($J200&lt;&gt;"",REGEXREPLACE(TO_TEXT('_Supporto Listone'!G200),"(.)","$1"&amp;UNICHAR(822)),'_Supporto Listone'!G200)</x:f>
        <x:v>12</x:v>
      </x:c>
      <x:c r="H200" s="462" t="n">
        <x:f>IF($J200&lt;&gt;"",REGEXREPLACE(TO_TEXT('_Supporto Listone'!H200),"(.)","$1"&amp;UNICHAR(822)),'_Supporto Listone'!H200)</x:f>
        <x:v>6</x:v>
      </x:c>
      <x:c r="I200" s="434"/>
      <x:c r="J200" s="433" t="str">
        <x:f>IF(COUNTIF(Asta!$B$4:$B$47,'_Supporto Listone'!B200)&gt;0,"Simone",IF(COUNTIF(Asta!$D$4:$D$47,'_Supporto Listone'!B200)&gt;0,"Giacomo",IF(COUNTIF(Asta!$F$4:$F$47,'_Supporto Listone'!B200)&gt;0,"Niko",IF(COUNTIF(Asta!$H$4:$H$47,'_Supporto Listone'!B200)&gt;0,"Quici",IF(COUNTIF(Asta!$J$4:$J$47,'_Supporto Listone'!B200)&gt;0,"Fratello Quici",IF(COUNTIF(Asta!$L$4:$L$47,'_Supporto Listone'!B200)&gt;0,"Nicolò",IF(COUNTIF(Asta!$N$4:$N$47,'_Supporto Listone'!B200)&gt;0,"Vi",IF(COUNTIF(Asta!$P$4:$P$47,'_Supporto Listone'!B200)&gt;0,"Lore",IF(COUNTIF(Asta!$R$4:$R$47,'_Supporto Listone'!B200)&gt;0,"Robbo",IF(COUNTIF(Asta!$T$4:$T$47,'_Supporto Listone'!B200)&gt;0,"Ale",""))))))))))</x:f>
      </x:c>
      <x:c r="K200" s="493" t="str">
        <x:f>IF(COUNTIF(Asta!$B$4:$B$47,'_Supporto Listone'!B200)&gt;0,INDEX(Asta!$C$4:$C$47,MATCH('_Supporto Listone'!B200,Asta!$B$4:$B$47,0)),IF(COUNTIF(Asta!$D$4:$D$47,'_Supporto Listone'!B200)&gt;0,INDEX(Asta!$E$4:$E$47,MATCH('_Supporto Listone'!B200,Asta!$D$4:$D$47,0)),IF(COUNTIF(Asta!$F$4:$F$47,'_Supporto Listone'!B200)&gt;0,INDEX(Asta!$G$4:$G$47,MATCH('_Supporto Listone'!B200,Asta!$F$4:$F$47,0)),IF(COUNTIF(Asta!$H$4:$H$47,'_Supporto Listone'!B200)&gt;0,INDEX(Asta!$I$4:$I$47,MATCH('_Supporto Listone'!B200,Asta!$H$4:$H$47,0)),IF(COUNTIF(Asta!$J$4:$J$47,'_Supporto Listone'!B200)&gt;0,INDEX(Asta!$K$4:$K$47,MATCH('_Supporto Listone'!B200,Asta!$J$4:$J$47,0)),IF(COUNTIF(Asta!$L$4:$L$47,'_Supporto Listone'!B200)&gt;0,INDEX(Asta!$M$4:$M$47,MATCH('_Supporto Listone'!B200,Asta!$L$4:$L$47,0)),IF(COUNTIF(Asta!$N$4:$N$47,'_Supporto Listone'!B200)&gt;0,INDEX(Asta!$O$4:$O$47,MATCH('_Supporto Listone'!B200,Asta!$N$4:$N$47,0)),IF(COUNTIF(Asta!$P$4:$P$47,'_Supporto Listone'!B200)&gt;0,INDEX(Asta!$Q$4:$Q$47,MATCH('_Supporto Listone'!B200,Asta!$P$4:$P$47,0)),IF(COUNTIF(Asta!$R$4:$R$47,'_Supporto Listone'!B200)&gt;0,INDEX(Asta!$S$4:$S$47,MATCH('_Supporto Listone'!B200,Asta!$R$4:$R$47,0)),IF(COUNTIF(Asta!$T$4:$T$47,'_Supporto Listone'!B200)&gt;0,INDEX(Asta!$U$4:$U$47,MATCH('_Supporto Listone'!B200,Asta!$T$4:$T$47,0)),""))))))))))</x:f>
      </x:c>
    </x:row>
    <x:row r="201">
      <x:c r="A201" s="432" t="str">
        <x:f>IF($J201&lt;&gt;"",REGEXREPLACE(TO_TEXT('_Supporto Listone'!A201),"(.)","$1"&amp;UNICHAR(822)),'_Supporto Listone'!A201)</x:f>
        <x:v>D</x:v>
      </x:c>
      <x:c r="B201" s="433" t="str">
        <x:f>IF($J201&lt;&gt;"",REGEXREPLACE(TO_TEXT('_Supporto Listone'!B201),"(.)","$1"&amp;UNICHAR(822)),'_Supporto Listone'!B201)</x:f>
        <x:v>Hainaut</x:v>
      </x:c>
      <x:c r="C201" s="433" t="str">
        <x:f>IF($J201&lt;&gt;"",REGEXREPLACE(TO_TEXT('_Supporto Listone'!C201),"(.)","$1"&amp;UNICHAR(822)),'_Supporto Listone'!C201)</x:f>
        <x:v>Venezia</x:v>
      </x:c>
      <x:c r="D201" s="433" t="str">
        <x:f>IF($J201&lt;&gt;"",REGEXREPLACE(TO_TEXT('_Supporto Listone'!D201),"(.)","$1"&amp;UNICHAR(822)),'_Supporto Listone'!D201)</x:f>
        <x:v>Dd;E</x:v>
      </x:c>
      <x:c r="E201" s="433" t="str">
        <x:f>IF($J201&lt;&gt;"",REGEXREPLACE(TO_TEXT('_Supporto Listone'!E201),"(.)","$1"&amp;UNICHAR(822)),'_Supporto Listone'!E201)</x:f>
        <x:v>Ballottaggio</x:v>
      </x:c>
      <x:c r="F201" s="462" t="n">
        <x:f>IF($J201&lt;&gt;"",REGEXREPLACE(TO_TEXT('_Supporto Listone'!F201),"(.)","$1"&amp;UNICHAR(822)),'_Supporto Listone'!F201)</x:f>
        <x:v>3</x:v>
      </x:c>
      <x:c r="G201" s="462" t="n">
        <x:f>IF($J201&lt;&gt;"",REGEXREPLACE(TO_TEXT('_Supporto Listone'!G201),"(.)","$1"&amp;UNICHAR(822)),'_Supporto Listone'!G201)</x:f>
        <x:v>7</x:v>
      </x:c>
      <x:c r="H201" s="462" t="n">
        <x:f>IF($J201&lt;&gt;"",REGEXREPLACE(TO_TEXT('_Supporto Listone'!H201),"(.)","$1"&amp;UNICHAR(822)),'_Supporto Listone'!H201)</x:f>
        <x:v>4</x:v>
      </x:c>
      <x:c r="I201" s="434"/>
      <x:c r="J201" s="433" t="str">
        <x:f>IF(COUNTIF(Asta!$B$4:$B$47,'_Supporto Listone'!B201)&gt;0,"Simone",IF(COUNTIF(Asta!$D$4:$D$47,'_Supporto Listone'!B201)&gt;0,"Giacomo",IF(COUNTIF(Asta!$F$4:$F$47,'_Supporto Listone'!B201)&gt;0,"Niko",IF(COUNTIF(Asta!$H$4:$H$47,'_Supporto Listone'!B201)&gt;0,"Quici",IF(COUNTIF(Asta!$J$4:$J$47,'_Supporto Listone'!B201)&gt;0,"Fratello Quici",IF(COUNTIF(Asta!$L$4:$L$47,'_Supporto Listone'!B201)&gt;0,"Nicolò",IF(COUNTIF(Asta!$N$4:$N$47,'_Supporto Listone'!B201)&gt;0,"Vi",IF(COUNTIF(Asta!$P$4:$P$47,'_Supporto Listone'!B201)&gt;0,"Lore",IF(COUNTIF(Asta!$R$4:$R$47,'_Supporto Listone'!B201)&gt;0,"Robbo",IF(COUNTIF(Asta!$T$4:$T$47,'_Supporto Listone'!B201)&gt;0,"Ale",""))))))))))</x:f>
      </x:c>
      <x:c r="K201" s="493" t="str">
        <x:f>IF(COUNTIF(Asta!$B$4:$B$47,'_Supporto Listone'!B201)&gt;0,INDEX(Asta!$C$4:$C$47,MATCH('_Supporto Listone'!B201,Asta!$B$4:$B$47,0)),IF(COUNTIF(Asta!$D$4:$D$47,'_Supporto Listone'!B201)&gt;0,INDEX(Asta!$E$4:$E$47,MATCH('_Supporto Listone'!B201,Asta!$D$4:$D$47,0)),IF(COUNTIF(Asta!$F$4:$F$47,'_Supporto Listone'!B201)&gt;0,INDEX(Asta!$G$4:$G$47,MATCH('_Supporto Listone'!B201,Asta!$F$4:$F$47,0)),IF(COUNTIF(Asta!$H$4:$H$47,'_Supporto Listone'!B201)&gt;0,INDEX(Asta!$I$4:$I$47,MATCH('_Supporto Listone'!B201,Asta!$H$4:$H$47,0)),IF(COUNTIF(Asta!$J$4:$J$47,'_Supporto Listone'!B201)&gt;0,INDEX(Asta!$K$4:$K$47,MATCH('_Supporto Listone'!B201,Asta!$J$4:$J$47,0)),IF(COUNTIF(Asta!$L$4:$L$47,'_Supporto Listone'!B201)&gt;0,INDEX(Asta!$M$4:$M$47,MATCH('_Supporto Listone'!B201,Asta!$L$4:$L$47,0)),IF(COUNTIF(Asta!$N$4:$N$47,'_Supporto Listone'!B201)&gt;0,INDEX(Asta!$O$4:$O$47,MATCH('_Supporto Listone'!B201,Asta!$N$4:$N$47,0)),IF(COUNTIF(Asta!$P$4:$P$47,'_Supporto Listone'!B201)&gt;0,INDEX(Asta!$Q$4:$Q$47,MATCH('_Supporto Listone'!B201,Asta!$P$4:$P$47,0)),IF(COUNTIF(Asta!$R$4:$R$47,'_Supporto Listone'!B201)&gt;0,INDEX(Asta!$S$4:$S$47,MATCH('_Supporto Listone'!B201,Asta!$R$4:$R$47,0)),IF(COUNTIF(Asta!$T$4:$T$47,'_Supporto Listone'!B201)&gt;0,INDEX(Asta!$U$4:$U$47,MATCH('_Supporto Listone'!B201,Asta!$T$4:$T$47,0)),""))))))))))</x:f>
      </x:c>
    </x:row>
    <x:row r="202">
      <x:c r="A202" s="432" t="str">
        <x:f>IF($J202&lt;&gt;"",REGEXREPLACE(TO_TEXT('_Supporto Listone'!A202),"(.)","$1"&amp;UNICHAR(822)),'_Supporto Listone'!A202)</x:f>
        <x:v>D</x:v>
      </x:c>
      <x:c r="B202" s="433" t="str">
        <x:f>IF($J202&lt;&gt;"",REGEXREPLACE(TO_TEXT('_Supporto Listone'!B202),"(.)","$1"&amp;UNICHAR(822)),'_Supporto Listone'!B202)</x:f>
        <x:v>Schingtienne</x:v>
      </x:c>
      <x:c r="C202" s="433" t="str">
        <x:f>IF($J202&lt;&gt;"",REGEXREPLACE(TO_TEXT('_Supporto Listone'!C202),"(.)","$1"&amp;UNICHAR(822)),'_Supporto Listone'!C202)</x:f>
        <x:v>Venezia</x:v>
      </x:c>
      <x:c r="D202" s="433" t="str">
        <x:f>IF($J202&lt;&gt;"",REGEXREPLACE(TO_TEXT('_Supporto Listone'!D202),"(.)","$1"&amp;UNICHAR(822)),'_Supporto Listone'!D202)</x:f>
        <x:v>Dc</x:v>
      </x:c>
      <x:c r="E202" s="433" t="str">
        <x:f>IF($J202&lt;&gt;"",REGEXREPLACE(TO_TEXT('_Supporto Listone'!E202),"(.)","$1"&amp;UNICHAR(822)),'_Supporto Listone'!E202)</x:f>
        <x:v>Titolare</x:v>
      </x:c>
      <x:c r="F202" s="462" t="n">
        <x:f>IF($J202&lt;&gt;"",REGEXREPLACE(TO_TEXT('_Supporto Listone'!F202),"(.)","$1"&amp;UNICHAR(822)),'_Supporto Listone'!F202)</x:f>
        <x:v>3</x:v>
      </x:c>
      <x:c r="G202" s="462" t="n">
        <x:f>IF($J202&lt;&gt;"",REGEXREPLACE(TO_TEXT('_Supporto Listone'!G202),"(.)","$1"&amp;UNICHAR(822)),'_Supporto Listone'!G202)</x:f>
        <x:v>7</x:v>
      </x:c>
      <x:c r="H202" s="462" t="n">
        <x:f>IF($J202&lt;&gt;"",REGEXREPLACE(TO_TEXT('_Supporto Listone'!H202),"(.)","$1"&amp;UNICHAR(822)),'_Supporto Listone'!H202)</x:f>
        <x:v>4</x:v>
      </x:c>
      <x:c r="I202" s="434"/>
      <x:c r="J202" s="433" t="str">
        <x:f>IF(COUNTIF(Asta!$B$4:$B$47,'_Supporto Listone'!B202)&gt;0,"Simone",IF(COUNTIF(Asta!$D$4:$D$47,'_Supporto Listone'!B202)&gt;0,"Giacomo",IF(COUNTIF(Asta!$F$4:$F$47,'_Supporto Listone'!B202)&gt;0,"Niko",IF(COUNTIF(Asta!$H$4:$H$47,'_Supporto Listone'!B202)&gt;0,"Quici",IF(COUNTIF(Asta!$J$4:$J$47,'_Supporto Listone'!B202)&gt;0,"Fratello Quici",IF(COUNTIF(Asta!$L$4:$L$47,'_Supporto Listone'!B202)&gt;0,"Nicolò",IF(COUNTIF(Asta!$N$4:$N$47,'_Supporto Listone'!B202)&gt;0,"Vi",IF(COUNTIF(Asta!$P$4:$P$47,'_Supporto Listone'!B202)&gt;0,"Lore",IF(COUNTIF(Asta!$R$4:$R$47,'_Supporto Listone'!B202)&gt;0,"Robbo",IF(COUNTIF(Asta!$T$4:$T$47,'_Supporto Listone'!B202)&gt;0,"Ale",""))))))))))</x:f>
      </x:c>
      <x:c r="K202" s="493" t="str">
        <x:f>IF(COUNTIF(Asta!$B$4:$B$47,'_Supporto Listone'!B202)&gt;0,INDEX(Asta!$C$4:$C$47,MATCH('_Supporto Listone'!B202,Asta!$B$4:$B$47,0)),IF(COUNTIF(Asta!$D$4:$D$47,'_Supporto Listone'!B202)&gt;0,INDEX(Asta!$E$4:$E$47,MATCH('_Supporto Listone'!B202,Asta!$D$4:$D$47,0)),IF(COUNTIF(Asta!$F$4:$F$47,'_Supporto Listone'!B202)&gt;0,INDEX(Asta!$G$4:$G$47,MATCH('_Supporto Listone'!B202,Asta!$F$4:$F$47,0)),IF(COUNTIF(Asta!$H$4:$H$47,'_Supporto Listone'!B202)&gt;0,INDEX(Asta!$I$4:$I$47,MATCH('_Supporto Listone'!B202,Asta!$H$4:$H$47,0)),IF(COUNTIF(Asta!$J$4:$J$47,'_Supporto Listone'!B202)&gt;0,INDEX(Asta!$K$4:$K$47,MATCH('_Supporto Listone'!B202,Asta!$J$4:$J$47,0)),IF(COUNTIF(Asta!$L$4:$L$47,'_Supporto Listone'!B202)&gt;0,INDEX(Asta!$M$4:$M$47,MATCH('_Supporto Listone'!B202,Asta!$L$4:$L$47,0)),IF(COUNTIF(Asta!$N$4:$N$47,'_Supporto Listone'!B202)&gt;0,INDEX(Asta!$O$4:$O$47,MATCH('_Supporto Listone'!B202,Asta!$N$4:$N$47,0)),IF(COUNTIF(Asta!$P$4:$P$47,'_Supporto Listone'!B202)&gt;0,INDEX(Asta!$Q$4:$Q$47,MATCH('_Supporto Listone'!B202,Asta!$P$4:$P$47,0)),IF(COUNTIF(Asta!$R$4:$R$47,'_Supporto Listone'!B202)&gt;0,INDEX(Asta!$S$4:$S$47,MATCH('_Supporto Listone'!B202,Asta!$R$4:$R$47,0)),IF(COUNTIF(Asta!$T$4:$T$47,'_Supporto Listone'!B202)&gt;0,INDEX(Asta!$U$4:$U$47,MATCH('_Supporto Listone'!B202,Asta!$T$4:$T$47,0)),""))))))))))</x:f>
      </x:c>
    </x:row>
    <x:row r="203">
      <x:c r="A203" s="432" t="str">
        <x:f>IF($J203&lt;&gt;"",REGEXREPLACE(TO_TEXT('_Supporto Listone'!A203),"(.)","$1"&amp;UNICHAR(822)),'_Supporto Listone'!A203)</x:f>
        <x:v>D</x:v>
      </x:c>
      <x:c r="B203" s="433" t="str">
        <x:f>IF($J203&lt;&gt;"",REGEXREPLACE(TO_TEXT('_Supporto Listone'!B203),"(.)","$1"&amp;UNICHAR(822)),'_Supporto Listone'!B203)</x:f>
        <x:v>Sverko</x:v>
      </x:c>
      <x:c r="C203" s="433" t="str">
        <x:f>IF($J203&lt;&gt;"",REGEXREPLACE(TO_TEXT('_Supporto Listone'!C203),"(.)","$1"&amp;UNICHAR(822)),'_Supporto Listone'!C203)</x:f>
        <x:v>Venezia</x:v>
      </x:c>
      <x:c r="D203" s="433" t="str">
        <x:f>IF($J203&lt;&gt;"",REGEXREPLACE(TO_TEXT('_Supporto Listone'!D203),"(.)","$1"&amp;UNICHAR(822)),'_Supporto Listone'!D203)</x:f>
        <x:v>Ds;Dc</x:v>
      </x:c>
      <x:c r="E203" s="433" t="str">
        <x:f>IF($J203&lt;&gt;"",REGEXREPLACE(TO_TEXT('_Supporto Listone'!E203),"(.)","$1"&amp;UNICHAR(822)),'_Supporto Listone'!E203)</x:f>
        <x:v>Riserva / rotazione</x:v>
      </x:c>
      <x:c r="F203" s="462" t="n">
        <x:f>IF($J203&lt;&gt;"",REGEXREPLACE(TO_TEXT('_Supporto Listone'!F203),"(.)","$1"&amp;UNICHAR(822)),'_Supporto Listone'!F203)</x:f>
        <x:v>3</x:v>
      </x:c>
      <x:c r="G203" s="462" t="n">
        <x:f>IF($J203&lt;&gt;"",REGEXREPLACE(TO_TEXT('_Supporto Listone'!G203),"(.)","$1"&amp;UNICHAR(822)),'_Supporto Listone'!G203)</x:f>
        <x:v>7</x:v>
      </x:c>
      <x:c r="H203" s="462" t="n">
        <x:f>IF($J203&lt;&gt;"",REGEXREPLACE(TO_TEXT('_Supporto Listone'!H203),"(.)","$1"&amp;UNICHAR(822)),'_Supporto Listone'!H203)</x:f>
        <x:v>4</x:v>
      </x:c>
      <x:c r="I203" s="434"/>
      <x:c r="J203" s="433" t="str">
        <x:f>IF(COUNTIF(Asta!$B$4:$B$47,'_Supporto Listone'!B203)&gt;0,"Simone",IF(COUNTIF(Asta!$D$4:$D$47,'_Supporto Listone'!B203)&gt;0,"Giacomo",IF(COUNTIF(Asta!$F$4:$F$47,'_Supporto Listone'!B203)&gt;0,"Niko",IF(COUNTIF(Asta!$H$4:$H$47,'_Supporto Listone'!B203)&gt;0,"Quici",IF(COUNTIF(Asta!$J$4:$J$47,'_Supporto Listone'!B203)&gt;0,"Fratello Quici",IF(COUNTIF(Asta!$L$4:$L$47,'_Supporto Listone'!B203)&gt;0,"Nicolò",IF(COUNTIF(Asta!$N$4:$N$47,'_Supporto Listone'!B203)&gt;0,"Vi",IF(COUNTIF(Asta!$P$4:$P$47,'_Supporto Listone'!B203)&gt;0,"Lore",IF(COUNTIF(Asta!$R$4:$R$47,'_Supporto Listone'!B203)&gt;0,"Robbo",IF(COUNTIF(Asta!$T$4:$T$47,'_Supporto Listone'!B203)&gt;0,"Ale",""))))))))))</x:f>
      </x:c>
      <x:c r="K203" s="493" t="str">
        <x:f>IF(COUNTIF(Asta!$B$4:$B$47,'_Supporto Listone'!B203)&gt;0,INDEX(Asta!$C$4:$C$47,MATCH('_Supporto Listone'!B203,Asta!$B$4:$B$47,0)),IF(COUNTIF(Asta!$D$4:$D$47,'_Supporto Listone'!B203)&gt;0,INDEX(Asta!$E$4:$E$47,MATCH('_Supporto Listone'!B203,Asta!$D$4:$D$47,0)),IF(COUNTIF(Asta!$F$4:$F$47,'_Supporto Listone'!B203)&gt;0,INDEX(Asta!$G$4:$G$47,MATCH('_Supporto Listone'!B203,Asta!$F$4:$F$47,0)),IF(COUNTIF(Asta!$H$4:$H$47,'_Supporto Listone'!B203)&gt;0,INDEX(Asta!$I$4:$I$47,MATCH('_Supporto Listone'!B203,Asta!$H$4:$H$47,0)),IF(COUNTIF(Asta!$J$4:$J$47,'_Supporto Listone'!B203)&gt;0,INDEX(Asta!$K$4:$K$47,MATCH('_Supporto Listone'!B203,Asta!$J$4:$J$47,0)),IF(COUNTIF(Asta!$L$4:$L$47,'_Supporto Listone'!B203)&gt;0,INDEX(Asta!$M$4:$M$47,MATCH('_Supporto Listone'!B203,Asta!$L$4:$L$47,0)),IF(COUNTIF(Asta!$N$4:$N$47,'_Supporto Listone'!B203)&gt;0,INDEX(Asta!$O$4:$O$47,MATCH('_Supporto Listone'!B203,Asta!$N$4:$N$47,0)),IF(COUNTIF(Asta!$P$4:$P$47,'_Supporto Listone'!B203)&gt;0,INDEX(Asta!$Q$4:$Q$47,MATCH('_Supporto Listone'!B203,Asta!$P$4:$P$47,0)),IF(COUNTIF(Asta!$R$4:$R$47,'_Supporto Listone'!B203)&gt;0,INDEX(Asta!$S$4:$S$47,MATCH('_Supporto Listone'!B203,Asta!$R$4:$R$47,0)),IF(COUNTIF(Asta!$T$4:$T$47,'_Supporto Listone'!B203)&gt;0,INDEX(Asta!$U$4:$U$47,MATCH('_Supporto Listone'!B203,Asta!$T$4:$T$47,0)),""))))))))))</x:f>
      </x:c>
    </x:row>
    <x:row r="204">
      <x:c r="A204" s="432" t="str">
        <x:f>IF($J204&lt;&gt;"",REGEXREPLACE(TO_TEXT('_Supporto Listone'!A204),"(.)","$1"&amp;UNICHAR(822)),'_Supporto Listone'!A204)</x:f>
        <x:v>D</x:v>
      </x:c>
      <x:c r="B204" s="433" t="str">
        <x:f>IF($J204&lt;&gt;"",REGEXREPLACE(TO_TEXT('_Supporto Listone'!B204),"(.)","$1"&amp;UNICHAR(822)),'_Supporto Listone'!B204)</x:f>
        <x:v>Alhassane</x:v>
      </x:c>
      <x:c r="C204" s="433" t="str">
        <x:f>IF($J204&lt;&gt;"",REGEXREPLACE(TO_TEXT('_Supporto Listone'!C204),"(.)","$1"&amp;UNICHAR(822)),'_Supporto Listone'!C204)</x:f>
        <x:v>Bologna</x:v>
      </x:c>
      <x:c r="D204" s="433" t="str">
        <x:f>IF($J204&lt;&gt;"",REGEXREPLACE(TO_TEXT('_Supporto Listone'!D204),"(.)","$1"&amp;UNICHAR(822)),'_Supporto Listone'!D204)</x:f>
        <x:v>Ds;E</x:v>
      </x:c>
      <x:c r="E204" s="433" t="str">
        <x:f>IF($J204&lt;&gt;"",REGEXREPLACE(TO_TEXT('_Supporto Listone'!E204),"(.)","$1"&amp;UNICHAR(822)),'_Supporto Listone'!E204)</x:f>
        <x:v>Riserva / rotazione</x:v>
      </x:c>
      <x:c r="F204" s="462" t="n">
        <x:f>IF($J204&lt;&gt;"",REGEXREPLACE(TO_TEXT('_Supporto Listone'!F204),"(.)","$1"&amp;UNICHAR(822)),'_Supporto Listone'!F204)</x:f>
        <x:v>2</x:v>
      </x:c>
      <x:c r="G204" s="462" t="n">
        <x:f>IF($J204&lt;&gt;"",REGEXREPLACE(TO_TEXT('_Supporto Listone'!G204),"(.)","$1"&amp;UNICHAR(822)),'_Supporto Listone'!G204)</x:f>
        <x:v>6</x:v>
      </x:c>
      <x:c r="H204" s="462" t="n">
        <x:f>IF($J204&lt;&gt;"",REGEXREPLACE(TO_TEXT('_Supporto Listone'!H204),"(.)","$1"&amp;UNICHAR(822)),'_Supporto Listone'!H204)</x:f>
        <x:v>3</x:v>
      </x:c>
      <x:c r="I204" s="434"/>
      <x:c r="J204" s="433" t="str">
        <x:f>IF(COUNTIF(Asta!$B$4:$B$47,'_Supporto Listone'!B204)&gt;0,"Simone",IF(COUNTIF(Asta!$D$4:$D$47,'_Supporto Listone'!B204)&gt;0,"Giacomo",IF(COUNTIF(Asta!$F$4:$F$47,'_Supporto Listone'!B204)&gt;0,"Niko",IF(COUNTIF(Asta!$H$4:$H$47,'_Supporto Listone'!B204)&gt;0,"Quici",IF(COUNTIF(Asta!$J$4:$J$47,'_Supporto Listone'!B204)&gt;0,"Fratello Quici",IF(COUNTIF(Asta!$L$4:$L$47,'_Supporto Listone'!B204)&gt;0,"Nicolò",IF(COUNTIF(Asta!$N$4:$N$47,'_Supporto Listone'!B204)&gt;0,"Vi",IF(COUNTIF(Asta!$P$4:$P$47,'_Supporto Listone'!B204)&gt;0,"Lore",IF(COUNTIF(Asta!$R$4:$R$47,'_Supporto Listone'!B204)&gt;0,"Robbo",IF(COUNTIF(Asta!$T$4:$T$47,'_Supporto Listone'!B204)&gt;0,"Ale",""))))))))))</x:f>
      </x:c>
      <x:c r="K204" s="493" t="str">
        <x:f>IF(COUNTIF(Asta!$B$4:$B$47,'_Supporto Listone'!B204)&gt;0,INDEX(Asta!$C$4:$C$47,MATCH('_Supporto Listone'!B204,Asta!$B$4:$B$47,0)),IF(COUNTIF(Asta!$D$4:$D$47,'_Supporto Listone'!B204)&gt;0,INDEX(Asta!$E$4:$E$47,MATCH('_Supporto Listone'!B204,Asta!$D$4:$D$47,0)),IF(COUNTIF(Asta!$F$4:$F$47,'_Supporto Listone'!B204)&gt;0,INDEX(Asta!$G$4:$G$47,MATCH('_Supporto Listone'!B204,Asta!$F$4:$F$47,0)),IF(COUNTIF(Asta!$H$4:$H$47,'_Supporto Listone'!B204)&gt;0,INDEX(Asta!$I$4:$I$47,MATCH('_Supporto Listone'!B204,Asta!$H$4:$H$47,0)),IF(COUNTIF(Asta!$J$4:$J$47,'_Supporto Listone'!B204)&gt;0,INDEX(Asta!$K$4:$K$47,MATCH('_Supporto Listone'!B204,Asta!$J$4:$J$47,0)),IF(COUNTIF(Asta!$L$4:$L$47,'_Supporto Listone'!B204)&gt;0,INDEX(Asta!$M$4:$M$47,MATCH('_Supporto Listone'!B204,Asta!$L$4:$L$47,0)),IF(COUNTIF(Asta!$N$4:$N$47,'_Supporto Listone'!B204)&gt;0,INDEX(Asta!$O$4:$O$47,MATCH('_Supporto Listone'!B204,Asta!$N$4:$N$47,0)),IF(COUNTIF(Asta!$P$4:$P$47,'_Supporto Listone'!B204)&gt;0,INDEX(Asta!$Q$4:$Q$47,MATCH('_Supporto Listone'!B204,Asta!$P$4:$P$47,0)),IF(COUNTIF(Asta!$R$4:$R$47,'_Supporto Listone'!B204)&gt;0,INDEX(Asta!$S$4:$S$47,MATCH('_Supporto Listone'!B204,Asta!$R$4:$R$47,0)),IF(COUNTIF(Asta!$T$4:$T$47,'_Supporto Listone'!B204)&gt;0,INDEX(Asta!$U$4:$U$47,MATCH('_Supporto Listone'!B204,Asta!$T$4:$T$47,0)),""))))))))))</x:f>
      </x:c>
    </x:row>
    <x:row r="205">
      <x:c r="A205" s="432" t="str">
        <x:f>IF($J205&lt;&gt;"",REGEXREPLACE(TO_TEXT('_Supporto Listone'!A205),"(.)","$1"&amp;UNICHAR(822)),'_Supporto Listone'!A205)</x:f>
        <x:v>D</x:v>
      </x:c>
      <x:c r="B205" s="433" t="str">
        <x:f>IF($J205&lt;&gt;"",REGEXREPLACE(TO_TEXT('_Supporto Listone'!B205),"(.)","$1"&amp;UNICHAR(822)),'_Supporto Listone'!B205)</x:f>
        <x:v>Helland</x:v>
      </x:c>
      <x:c r="C205" s="433" t="str">
        <x:f>IF($J205&lt;&gt;"",REGEXREPLACE(TO_TEXT('_Supporto Listone'!C205),"(.)","$1"&amp;UNICHAR(822)),'_Supporto Listone'!C205)</x:f>
        <x:v>Bologna</x:v>
      </x:c>
      <x:c r="D205" s="433" t="str">
        <x:f>IF($J205&lt;&gt;"",REGEXREPLACE(TO_TEXT('_Supporto Listone'!D205),"(.)","$1"&amp;UNICHAR(822)),'_Supporto Listone'!D205)</x:f>
        <x:v>Dd;Dc</x:v>
      </x:c>
      <x:c r="E205" s="433" t="str">
        <x:f>IF($J205&lt;&gt;"",REGEXREPLACE(TO_TEXT('_Supporto Listone'!E205),"(.)","$1"&amp;UNICHAR(822)),'_Supporto Listone'!E205)</x:f>
        <x:v>Riserva / rotazione</x:v>
      </x:c>
      <x:c r="F205" s="462" t="n">
        <x:f>IF($J205&lt;&gt;"",REGEXREPLACE(TO_TEXT('_Supporto Listone'!F205),"(.)","$1"&amp;UNICHAR(822)),'_Supporto Listone'!F205)</x:f>
        <x:v>2</x:v>
      </x:c>
      <x:c r="G205" s="462" t="n">
        <x:f>IF($J205&lt;&gt;"",REGEXREPLACE(TO_TEXT('_Supporto Listone'!G205),"(.)","$1"&amp;UNICHAR(822)),'_Supporto Listone'!G205)</x:f>
        <x:v>5</x:v>
      </x:c>
      <x:c r="H205" s="462" t="n">
        <x:f>IF($J205&lt;&gt;"",REGEXREPLACE(TO_TEXT('_Supporto Listone'!H205),"(.)","$1"&amp;UNICHAR(822)),'_Supporto Listone'!H205)</x:f>
        <x:v>3</x:v>
      </x:c>
      <x:c r="I205" s="434"/>
      <x:c r="J205" s="433" t="str">
        <x:f>IF(COUNTIF(Asta!$B$4:$B$47,'_Supporto Listone'!B205)&gt;0,"Simone",IF(COUNTIF(Asta!$D$4:$D$47,'_Supporto Listone'!B205)&gt;0,"Giacomo",IF(COUNTIF(Asta!$F$4:$F$47,'_Supporto Listone'!B205)&gt;0,"Niko",IF(COUNTIF(Asta!$H$4:$H$47,'_Supporto Listone'!B205)&gt;0,"Quici",IF(COUNTIF(Asta!$J$4:$J$47,'_Supporto Listone'!B205)&gt;0,"Fratello Quici",IF(COUNTIF(Asta!$L$4:$L$47,'_Supporto Listone'!B205)&gt;0,"Nicolò",IF(COUNTIF(Asta!$N$4:$N$47,'_Supporto Listone'!B205)&gt;0,"Vi",IF(COUNTIF(Asta!$P$4:$P$47,'_Supporto Listone'!B205)&gt;0,"Lore",IF(COUNTIF(Asta!$R$4:$R$47,'_Supporto Listone'!B205)&gt;0,"Robbo",IF(COUNTIF(Asta!$T$4:$T$47,'_Supporto Listone'!B205)&gt;0,"Ale",""))))))))))</x:f>
      </x:c>
      <x:c r="K205" s="493" t="str">
        <x:f>IF(COUNTIF(Asta!$B$4:$B$47,'_Supporto Listone'!B205)&gt;0,INDEX(Asta!$C$4:$C$47,MATCH('_Supporto Listone'!B205,Asta!$B$4:$B$47,0)),IF(COUNTIF(Asta!$D$4:$D$47,'_Supporto Listone'!B205)&gt;0,INDEX(Asta!$E$4:$E$47,MATCH('_Supporto Listone'!B205,Asta!$D$4:$D$47,0)),IF(COUNTIF(Asta!$F$4:$F$47,'_Supporto Listone'!B205)&gt;0,INDEX(Asta!$G$4:$G$47,MATCH('_Supporto Listone'!B205,Asta!$F$4:$F$47,0)),IF(COUNTIF(Asta!$H$4:$H$47,'_Supporto Listone'!B205)&gt;0,INDEX(Asta!$I$4:$I$47,MATCH('_Supporto Listone'!B205,Asta!$H$4:$H$47,0)),IF(COUNTIF(Asta!$J$4:$J$47,'_Supporto Listone'!B205)&gt;0,INDEX(Asta!$K$4:$K$47,MATCH('_Supporto Listone'!B205,Asta!$J$4:$J$47,0)),IF(COUNTIF(Asta!$L$4:$L$47,'_Supporto Listone'!B205)&gt;0,INDEX(Asta!$M$4:$M$47,MATCH('_Supporto Listone'!B205,Asta!$L$4:$L$47,0)),IF(COUNTIF(Asta!$N$4:$N$47,'_Supporto Listone'!B205)&gt;0,INDEX(Asta!$O$4:$O$47,MATCH('_Supporto Listone'!B205,Asta!$N$4:$N$47,0)),IF(COUNTIF(Asta!$P$4:$P$47,'_Supporto Listone'!B205)&gt;0,INDEX(Asta!$Q$4:$Q$47,MATCH('_Supporto Listone'!B205,Asta!$P$4:$P$47,0)),IF(COUNTIF(Asta!$R$4:$R$47,'_Supporto Listone'!B205)&gt;0,INDEX(Asta!$S$4:$S$47,MATCH('_Supporto Listone'!B205,Asta!$R$4:$R$47,0)),IF(COUNTIF(Asta!$T$4:$T$47,'_Supporto Listone'!B205)&gt;0,INDEX(Asta!$U$4:$U$47,MATCH('_Supporto Listone'!B205,Asta!$T$4:$T$47,0)),""))))))))))</x:f>
      </x:c>
    </x:row>
    <x:row r="206">
      <x:c r="A206" s="432" t="str">
        <x:f>IF($J206&lt;&gt;"",REGEXREPLACE(TO_TEXT('_Supporto Listone'!A206),"(.)","$1"&amp;UNICHAR(822)),'_Supporto Listone'!A206)</x:f>
        <x:v>D</x:v>
      </x:c>
      <x:c r="B206" s="433" t="str">
        <x:f>IF($J206&lt;&gt;"",REGEXREPLACE(TO_TEXT('_Supporto Listone'!B206),"(.)","$1"&amp;UNICHAR(822)),'_Supporto Listone'!B206)</x:f>
        <x:v>Van der Brempt</x:v>
      </x:c>
      <x:c r="C206" s="433" t="str">
        <x:f>IF($J206&lt;&gt;"",REGEXREPLACE(TO_TEXT('_Supporto Listone'!C206),"(.)","$1"&amp;UNICHAR(822)),'_Supporto Listone'!C206)</x:f>
        <x:v>Como</x:v>
      </x:c>
      <x:c r="D206" s="433" t="str">
        <x:f>IF($J206&lt;&gt;"",REGEXREPLACE(TO_TEXT('_Supporto Listone'!D206),"(.)","$1"&amp;UNICHAR(822)),'_Supporto Listone'!D206)</x:f>
        <x:v>Dd;E</x:v>
      </x:c>
      <x:c r="E206" s="433" t="str">
        <x:f>IF($J206&lt;&gt;"",REGEXREPLACE(TO_TEXT('_Supporto Listone'!E206),"(.)","$1"&amp;UNICHAR(822)),'_Supporto Listone'!E206)</x:f>
        <x:v>Riserva / rotazione</x:v>
      </x:c>
      <x:c r="F206" s="462" t="n">
        <x:f>IF($J206&lt;&gt;"",REGEXREPLACE(TO_TEXT('_Supporto Listone'!F206),"(.)","$1"&amp;UNICHAR(822)),'_Supporto Listone'!F206)</x:f>
        <x:v>2</x:v>
      </x:c>
      <x:c r="G206" s="462" t="n">
        <x:f>IF($J206&lt;&gt;"",REGEXREPLACE(TO_TEXT('_Supporto Listone'!G206),"(.)","$1"&amp;UNICHAR(822)),'_Supporto Listone'!G206)</x:f>
        <x:v>5</x:v>
      </x:c>
      <x:c r="H206" s="462" t="n">
        <x:f>IF($J206&lt;&gt;"",REGEXREPLACE(TO_TEXT('_Supporto Listone'!H206),"(.)","$1"&amp;UNICHAR(822)),'_Supporto Listone'!H206)</x:f>
        <x:v>3</x:v>
      </x:c>
      <x:c r="I206" s="434"/>
      <x:c r="J206" s="433" t="str">
        <x:f>IF(COUNTIF(Asta!$B$4:$B$47,'_Supporto Listone'!B206)&gt;0,"Simone",IF(COUNTIF(Asta!$D$4:$D$47,'_Supporto Listone'!B206)&gt;0,"Giacomo",IF(COUNTIF(Asta!$F$4:$F$47,'_Supporto Listone'!B206)&gt;0,"Niko",IF(COUNTIF(Asta!$H$4:$H$47,'_Supporto Listone'!B206)&gt;0,"Quici",IF(COUNTIF(Asta!$J$4:$J$47,'_Supporto Listone'!B206)&gt;0,"Fratello Quici",IF(COUNTIF(Asta!$L$4:$L$47,'_Supporto Listone'!B206)&gt;0,"Nicolò",IF(COUNTIF(Asta!$N$4:$N$47,'_Supporto Listone'!B206)&gt;0,"Vi",IF(COUNTIF(Asta!$P$4:$P$47,'_Supporto Listone'!B206)&gt;0,"Lore",IF(COUNTIF(Asta!$R$4:$R$47,'_Supporto Listone'!B206)&gt;0,"Robbo",IF(COUNTIF(Asta!$T$4:$T$47,'_Supporto Listone'!B206)&gt;0,"Ale",""))))))))))</x:f>
      </x:c>
      <x:c r="K206" s="493" t="str">
        <x:f>IF(COUNTIF(Asta!$B$4:$B$47,'_Supporto Listone'!B206)&gt;0,INDEX(Asta!$C$4:$C$47,MATCH('_Supporto Listone'!B206,Asta!$B$4:$B$47,0)),IF(COUNTIF(Asta!$D$4:$D$47,'_Supporto Listone'!B206)&gt;0,INDEX(Asta!$E$4:$E$47,MATCH('_Supporto Listone'!B206,Asta!$D$4:$D$47,0)),IF(COUNTIF(Asta!$F$4:$F$47,'_Supporto Listone'!B206)&gt;0,INDEX(Asta!$G$4:$G$47,MATCH('_Supporto Listone'!B206,Asta!$F$4:$F$47,0)),IF(COUNTIF(Asta!$H$4:$H$47,'_Supporto Listone'!B206)&gt;0,INDEX(Asta!$I$4:$I$47,MATCH('_Supporto Listone'!B206,Asta!$H$4:$H$47,0)),IF(COUNTIF(Asta!$J$4:$J$47,'_Supporto Listone'!B206)&gt;0,INDEX(Asta!$K$4:$K$47,MATCH('_Supporto Listone'!B206,Asta!$J$4:$J$47,0)),IF(COUNTIF(Asta!$L$4:$L$47,'_Supporto Listone'!B206)&gt;0,INDEX(Asta!$M$4:$M$47,MATCH('_Supporto Listone'!B206,Asta!$L$4:$L$47,0)),IF(COUNTIF(Asta!$N$4:$N$47,'_Supporto Listone'!B206)&gt;0,INDEX(Asta!$O$4:$O$47,MATCH('_Supporto Listone'!B206,Asta!$N$4:$N$47,0)),IF(COUNTIF(Asta!$P$4:$P$47,'_Supporto Listone'!B206)&gt;0,INDEX(Asta!$Q$4:$Q$47,MATCH('_Supporto Listone'!B206,Asta!$P$4:$P$47,0)),IF(COUNTIF(Asta!$R$4:$R$47,'_Supporto Listone'!B206)&gt;0,INDEX(Asta!$S$4:$S$47,MATCH('_Supporto Listone'!B206,Asta!$R$4:$R$47,0)),IF(COUNTIF(Asta!$T$4:$T$47,'_Supporto Listone'!B206)&gt;0,INDEX(Asta!$U$4:$U$47,MATCH('_Supporto Listone'!B206,Asta!$T$4:$T$47,0)),""))))))))))</x:f>
      </x:c>
    </x:row>
    <x:row r="207">
      <x:c r="A207" s="432" t="str">
        <x:f>IF($J207&lt;&gt;"",REGEXREPLACE(TO_TEXT('_Supporto Listone'!A207),"(.)","$1"&amp;UNICHAR(822)),'_Supporto Listone'!A207)</x:f>
        <x:v>D</x:v>
      </x:c>
      <x:c r="B207" s="433" t="str">
        <x:f>IF($J207&lt;&gt;"",REGEXREPLACE(TO_TEXT('_Supporto Listone'!B207),"(.)","$1"&amp;UNICHAR(822)),'_Supporto Listone'!B207)</x:f>
        <x:v>Otoa</x:v>
      </x:c>
      <x:c r="C207" s="433" t="str">
        <x:f>IF($J207&lt;&gt;"",REGEXREPLACE(TO_TEXT('_Supporto Listone'!C207),"(.)","$1"&amp;UNICHAR(822)),'_Supporto Listone'!C207)</x:f>
        <x:v>Genoa</x:v>
      </x:c>
      <x:c r="D207" s="433" t="str">
        <x:f>IF($J207&lt;&gt;"",REGEXREPLACE(TO_TEXT('_Supporto Listone'!D207),"(.)","$1"&amp;UNICHAR(822)),'_Supporto Listone'!D207)</x:f>
        <x:v>Dc</x:v>
      </x:c>
      <x:c r="E207" s="433" t="str">
        <x:f>IF($J207&lt;&gt;"",REGEXREPLACE(TO_TEXT('_Supporto Listone'!E207),"(.)","$1"&amp;UNICHAR(822)),'_Supporto Listone'!E207)</x:f>
        <x:v>Riserva / rotazione</x:v>
      </x:c>
      <x:c r="F207" s="462" t="n">
        <x:f>IF($J207&lt;&gt;"",REGEXREPLACE(TO_TEXT('_Supporto Listone'!F207),"(.)","$1"&amp;UNICHAR(822)),'_Supporto Listone'!F207)</x:f>
        <x:v>2</x:v>
      </x:c>
      <x:c r="G207" s="462" t="n">
        <x:f>IF($J207&lt;&gt;"",REGEXREPLACE(TO_TEXT('_Supporto Listone'!G207),"(.)","$1"&amp;UNICHAR(822)),'_Supporto Listone'!G207)</x:f>
        <x:v>5</x:v>
      </x:c>
      <x:c r="H207" s="462" t="n">
        <x:f>IF($J207&lt;&gt;"",REGEXREPLACE(TO_TEXT('_Supporto Listone'!H207),"(.)","$1"&amp;UNICHAR(822)),'_Supporto Listone'!H207)</x:f>
        <x:v>3</x:v>
      </x:c>
      <x:c r="I207" s="434"/>
      <x:c r="J207" s="433" t="str">
        <x:f>IF(COUNTIF(Asta!$B$4:$B$47,'_Supporto Listone'!B207)&gt;0,"Simone",IF(COUNTIF(Asta!$D$4:$D$47,'_Supporto Listone'!B207)&gt;0,"Giacomo",IF(COUNTIF(Asta!$F$4:$F$47,'_Supporto Listone'!B207)&gt;0,"Niko",IF(COUNTIF(Asta!$H$4:$H$47,'_Supporto Listone'!B207)&gt;0,"Quici",IF(COUNTIF(Asta!$J$4:$J$47,'_Supporto Listone'!B207)&gt;0,"Fratello Quici",IF(COUNTIF(Asta!$L$4:$L$47,'_Supporto Listone'!B207)&gt;0,"Nicolò",IF(COUNTIF(Asta!$N$4:$N$47,'_Supporto Listone'!B207)&gt;0,"Vi",IF(COUNTIF(Asta!$P$4:$P$47,'_Supporto Listone'!B207)&gt;0,"Lore",IF(COUNTIF(Asta!$R$4:$R$47,'_Supporto Listone'!B207)&gt;0,"Robbo",IF(COUNTIF(Asta!$T$4:$T$47,'_Supporto Listone'!B207)&gt;0,"Ale",""))))))))))</x:f>
      </x:c>
      <x:c r="K207" s="493" t="str">
        <x:f>IF(COUNTIF(Asta!$B$4:$B$47,'_Supporto Listone'!B207)&gt;0,INDEX(Asta!$C$4:$C$47,MATCH('_Supporto Listone'!B207,Asta!$B$4:$B$47,0)),IF(COUNTIF(Asta!$D$4:$D$47,'_Supporto Listone'!B207)&gt;0,INDEX(Asta!$E$4:$E$47,MATCH('_Supporto Listone'!B207,Asta!$D$4:$D$47,0)),IF(COUNTIF(Asta!$F$4:$F$47,'_Supporto Listone'!B207)&gt;0,INDEX(Asta!$G$4:$G$47,MATCH('_Supporto Listone'!B207,Asta!$F$4:$F$47,0)),IF(COUNTIF(Asta!$H$4:$H$47,'_Supporto Listone'!B207)&gt;0,INDEX(Asta!$I$4:$I$47,MATCH('_Supporto Listone'!B207,Asta!$H$4:$H$47,0)),IF(COUNTIF(Asta!$J$4:$J$47,'_Supporto Listone'!B207)&gt;0,INDEX(Asta!$K$4:$K$47,MATCH('_Supporto Listone'!B207,Asta!$J$4:$J$47,0)),IF(COUNTIF(Asta!$L$4:$L$47,'_Supporto Listone'!B207)&gt;0,INDEX(Asta!$M$4:$M$47,MATCH('_Supporto Listone'!B207,Asta!$L$4:$L$47,0)),IF(COUNTIF(Asta!$N$4:$N$47,'_Supporto Listone'!B207)&gt;0,INDEX(Asta!$O$4:$O$47,MATCH('_Supporto Listone'!B207,Asta!$N$4:$N$47,0)),IF(COUNTIF(Asta!$P$4:$P$47,'_Supporto Listone'!B207)&gt;0,INDEX(Asta!$Q$4:$Q$47,MATCH('_Supporto Listone'!B207,Asta!$P$4:$P$47,0)),IF(COUNTIF(Asta!$R$4:$R$47,'_Supporto Listone'!B207)&gt;0,INDEX(Asta!$S$4:$S$47,MATCH('_Supporto Listone'!B207,Asta!$R$4:$R$47,0)),IF(COUNTIF(Asta!$T$4:$T$47,'_Supporto Listone'!B207)&gt;0,INDEX(Asta!$U$4:$U$47,MATCH('_Supporto Listone'!B207,Asta!$T$4:$T$47,0)),""))))))))))</x:f>
      </x:c>
    </x:row>
    <x:row r="208">
      <x:c r="A208" s="432" t="str">
        <x:f>IF($J208&lt;&gt;"",REGEXREPLACE(TO_TEXT('_Supporto Listone'!A208),"(.)","$1"&amp;UNICHAR(822)),'_Supporto Listone'!A208)</x:f>
        <x:v>D</x:v>
      </x:c>
      <x:c r="B208" s="433" t="str">
        <x:f>IF($J208&lt;&gt;"",REGEXREPLACE(TO_TEXT('_Supporto Listone'!B208),"(.)","$1"&amp;UNICHAR(822)),'_Supporto Listone'!B208)</x:f>
        <x:v>Puczka</x:v>
      </x:c>
      <x:c r="C208" s="433" t="str">
        <x:f>IF($J208&lt;&gt;"",REGEXREPLACE(TO_TEXT('_Supporto Listone'!C208),"(.)","$1"&amp;UNICHAR(822)),'_Supporto Listone'!C208)</x:f>
        <x:v>Genoa</x:v>
      </x:c>
      <x:c r="D208" s="433" t="str">
        <x:f>IF($J208&lt;&gt;"",REGEXREPLACE(TO_TEXT('_Supporto Listone'!D208),"(.)","$1"&amp;UNICHAR(822)),'_Supporto Listone'!D208)</x:f>
        <x:v>Ds;E</x:v>
      </x:c>
      <x:c r="E208" s="433" t="str">
        <x:f>IF($J208&lt;&gt;"",REGEXREPLACE(TO_TEXT('_Supporto Listone'!E208),"(.)","$1"&amp;UNICHAR(822)),'_Supporto Listone'!E208)</x:f>
        <x:v>Ballottaggio</x:v>
      </x:c>
      <x:c r="F208" s="462" t="n">
        <x:f>IF($J208&lt;&gt;"",REGEXREPLACE(TO_TEXT('_Supporto Listone'!F208),"(.)","$1"&amp;UNICHAR(822)),'_Supporto Listone'!F208)</x:f>
        <x:v>2</x:v>
      </x:c>
      <x:c r="G208" s="462" t="n">
        <x:f>IF($J208&lt;&gt;"",REGEXREPLACE(TO_TEXT('_Supporto Listone'!G208),"(.)","$1"&amp;UNICHAR(822)),'_Supporto Listone'!G208)</x:f>
        <x:v>7</x:v>
      </x:c>
      <x:c r="H208" s="462" t="n">
        <x:f>IF($J208&lt;&gt;"",REGEXREPLACE(TO_TEXT('_Supporto Listone'!H208),"(.)","$1"&amp;UNICHAR(822)),'_Supporto Listone'!H208)</x:f>
        <x:v>4</x:v>
      </x:c>
      <x:c r="I208" s="434"/>
      <x:c r="J208" s="433" t="str">
        <x:f>IF(COUNTIF(Asta!$B$4:$B$47,'_Supporto Listone'!B208)&gt;0,"Simone",IF(COUNTIF(Asta!$D$4:$D$47,'_Supporto Listone'!B208)&gt;0,"Giacomo",IF(COUNTIF(Asta!$F$4:$F$47,'_Supporto Listone'!B208)&gt;0,"Niko",IF(COUNTIF(Asta!$H$4:$H$47,'_Supporto Listone'!B208)&gt;0,"Quici",IF(COUNTIF(Asta!$J$4:$J$47,'_Supporto Listone'!B208)&gt;0,"Fratello Quici",IF(COUNTIF(Asta!$L$4:$L$47,'_Supporto Listone'!B208)&gt;0,"Nicolò",IF(COUNTIF(Asta!$N$4:$N$47,'_Supporto Listone'!B208)&gt;0,"Vi",IF(COUNTIF(Asta!$P$4:$P$47,'_Supporto Listone'!B208)&gt;0,"Lore",IF(COUNTIF(Asta!$R$4:$R$47,'_Supporto Listone'!B208)&gt;0,"Robbo",IF(COUNTIF(Asta!$T$4:$T$47,'_Supporto Listone'!B208)&gt;0,"Ale",""))))))))))</x:f>
      </x:c>
      <x:c r="K208" s="493" t="str">
        <x:f>IF(COUNTIF(Asta!$B$4:$B$47,'_Supporto Listone'!B208)&gt;0,INDEX(Asta!$C$4:$C$47,MATCH('_Supporto Listone'!B208,Asta!$B$4:$B$47,0)),IF(COUNTIF(Asta!$D$4:$D$47,'_Supporto Listone'!B208)&gt;0,INDEX(Asta!$E$4:$E$47,MATCH('_Supporto Listone'!B208,Asta!$D$4:$D$47,0)),IF(COUNTIF(Asta!$F$4:$F$47,'_Supporto Listone'!B208)&gt;0,INDEX(Asta!$G$4:$G$47,MATCH('_Supporto Listone'!B208,Asta!$F$4:$F$47,0)),IF(COUNTIF(Asta!$H$4:$H$47,'_Supporto Listone'!B208)&gt;0,INDEX(Asta!$I$4:$I$47,MATCH('_Supporto Listone'!B208,Asta!$H$4:$H$47,0)),IF(COUNTIF(Asta!$J$4:$J$47,'_Supporto Listone'!B208)&gt;0,INDEX(Asta!$K$4:$K$47,MATCH('_Supporto Listone'!B208,Asta!$J$4:$J$47,0)),IF(COUNTIF(Asta!$L$4:$L$47,'_Supporto Listone'!B208)&gt;0,INDEX(Asta!$M$4:$M$47,MATCH('_Supporto Listone'!B208,Asta!$L$4:$L$47,0)),IF(COUNTIF(Asta!$N$4:$N$47,'_Supporto Listone'!B208)&gt;0,INDEX(Asta!$O$4:$O$47,MATCH('_Supporto Listone'!B208,Asta!$N$4:$N$47,0)),IF(COUNTIF(Asta!$P$4:$P$47,'_Supporto Listone'!B208)&gt;0,INDEX(Asta!$Q$4:$Q$47,MATCH('_Supporto Listone'!B208,Asta!$P$4:$P$47,0)),IF(COUNTIF(Asta!$R$4:$R$47,'_Supporto Listone'!B208)&gt;0,INDEX(Asta!$S$4:$S$47,MATCH('_Supporto Listone'!B208,Asta!$R$4:$R$47,0)),IF(COUNTIF(Asta!$T$4:$T$47,'_Supporto Listone'!B208)&gt;0,INDEX(Asta!$U$4:$U$47,MATCH('_Supporto Listone'!B208,Asta!$T$4:$T$47,0)),""))))))))))</x:f>
      </x:c>
    </x:row>
    <x:row r="209">
      <x:c r="A209" s="432" t="str">
        <x:f>IF($J209&lt;&gt;"",REGEXREPLACE(TO_TEXT('_Supporto Listone'!A209),"(.)","$1"&amp;UNICHAR(822)),'_Supporto Listone'!A209)</x:f>
        <x:v>D</x:v>
      </x:c>
      <x:c r="B209" s="433" t="str">
        <x:f>IF($J209&lt;&gt;"",REGEXREPLACE(TO_TEXT('_Supporto Listone'!B209),"(.)","$1"&amp;UNICHAR(822)),'_Supporto Listone'!B209)</x:f>
        <x:v>Sabelli</x:v>
      </x:c>
      <x:c r="C209" s="433" t="str">
        <x:f>IF($J209&lt;&gt;"",REGEXREPLACE(TO_TEXT('_Supporto Listone'!C209),"(.)","$1"&amp;UNICHAR(822)),'_Supporto Listone'!C209)</x:f>
        <x:v>Genoa</x:v>
      </x:c>
      <x:c r="D209" s="433" t="str">
        <x:f>IF($J209&lt;&gt;"",REGEXREPLACE(TO_TEXT('_Supporto Listone'!D209),"(.)","$1"&amp;UNICHAR(822)),'_Supporto Listone'!D209)</x:f>
        <x:v>Dd;Ds;E</x:v>
      </x:c>
      <x:c r="E209" s="433" t="str">
        <x:f>IF($J209&lt;&gt;"",REGEXREPLACE(TO_TEXT('_Supporto Listone'!E209),"(.)","$1"&amp;UNICHAR(822)),'_Supporto Listone'!E209)</x:f>
        <x:v>Riserva / rotazione</x:v>
      </x:c>
      <x:c r="F209" s="462" t="n">
        <x:f>IF($J209&lt;&gt;"",REGEXREPLACE(TO_TEXT('_Supporto Listone'!F209),"(.)","$1"&amp;UNICHAR(822)),'_Supporto Listone'!F209)</x:f>
        <x:v>2</x:v>
      </x:c>
      <x:c r="G209" s="462" t="n">
        <x:f>IF($J209&lt;&gt;"",REGEXREPLACE(TO_TEXT('_Supporto Listone'!G209),"(.)","$1"&amp;UNICHAR(822)),'_Supporto Listone'!G209)</x:f>
        <x:v>5</x:v>
      </x:c>
      <x:c r="H209" s="462" t="n">
        <x:f>IF($J209&lt;&gt;"",REGEXREPLACE(TO_TEXT('_Supporto Listone'!H209),"(.)","$1"&amp;UNICHAR(822)),'_Supporto Listone'!H209)</x:f>
        <x:v>3</x:v>
      </x:c>
      <x:c r="I209" s="434"/>
      <x:c r="J209" s="433" t="str">
        <x:f>IF(COUNTIF(Asta!$B$4:$B$47,'_Supporto Listone'!B209)&gt;0,"Simone",IF(COUNTIF(Asta!$D$4:$D$47,'_Supporto Listone'!B209)&gt;0,"Giacomo",IF(COUNTIF(Asta!$F$4:$F$47,'_Supporto Listone'!B209)&gt;0,"Niko",IF(COUNTIF(Asta!$H$4:$H$47,'_Supporto Listone'!B209)&gt;0,"Quici",IF(COUNTIF(Asta!$J$4:$J$47,'_Supporto Listone'!B209)&gt;0,"Fratello Quici",IF(COUNTIF(Asta!$L$4:$L$47,'_Supporto Listone'!B209)&gt;0,"Nicolò",IF(COUNTIF(Asta!$N$4:$N$47,'_Supporto Listone'!B209)&gt;0,"Vi",IF(COUNTIF(Asta!$P$4:$P$47,'_Supporto Listone'!B209)&gt;0,"Lore",IF(COUNTIF(Asta!$R$4:$R$47,'_Supporto Listone'!B209)&gt;0,"Robbo",IF(COUNTIF(Asta!$T$4:$T$47,'_Supporto Listone'!B209)&gt;0,"Ale",""))))))))))</x:f>
      </x:c>
      <x:c r="K209" s="493" t="str">
        <x:f>IF(COUNTIF(Asta!$B$4:$B$47,'_Supporto Listone'!B209)&gt;0,INDEX(Asta!$C$4:$C$47,MATCH('_Supporto Listone'!B209,Asta!$B$4:$B$47,0)),IF(COUNTIF(Asta!$D$4:$D$47,'_Supporto Listone'!B209)&gt;0,INDEX(Asta!$E$4:$E$47,MATCH('_Supporto Listone'!B209,Asta!$D$4:$D$47,0)),IF(COUNTIF(Asta!$F$4:$F$47,'_Supporto Listone'!B209)&gt;0,INDEX(Asta!$G$4:$G$47,MATCH('_Supporto Listone'!B209,Asta!$F$4:$F$47,0)),IF(COUNTIF(Asta!$H$4:$H$47,'_Supporto Listone'!B209)&gt;0,INDEX(Asta!$I$4:$I$47,MATCH('_Supporto Listone'!B209,Asta!$H$4:$H$47,0)),IF(COUNTIF(Asta!$J$4:$J$47,'_Supporto Listone'!B209)&gt;0,INDEX(Asta!$K$4:$K$47,MATCH('_Supporto Listone'!B209,Asta!$J$4:$J$47,0)),IF(COUNTIF(Asta!$L$4:$L$47,'_Supporto Listone'!B209)&gt;0,INDEX(Asta!$M$4:$M$47,MATCH('_Supporto Listone'!B209,Asta!$L$4:$L$47,0)),IF(COUNTIF(Asta!$N$4:$N$47,'_Supporto Listone'!B209)&gt;0,INDEX(Asta!$O$4:$O$47,MATCH('_Supporto Listone'!B209,Asta!$N$4:$N$47,0)),IF(COUNTIF(Asta!$P$4:$P$47,'_Supporto Listone'!B209)&gt;0,INDEX(Asta!$Q$4:$Q$47,MATCH('_Supporto Listone'!B209,Asta!$P$4:$P$47,0)),IF(COUNTIF(Asta!$R$4:$R$47,'_Supporto Listone'!B209)&gt;0,INDEX(Asta!$S$4:$S$47,MATCH('_Supporto Listone'!B209,Asta!$R$4:$R$47,0)),IF(COUNTIF(Asta!$T$4:$T$47,'_Supporto Listone'!B209)&gt;0,INDEX(Asta!$U$4:$U$47,MATCH('_Supporto Listone'!B209,Asta!$T$4:$T$47,0)),""))))))))))</x:f>
      </x:c>
    </x:row>
    <x:row r="210">
      <x:c r="A210" s="432" t="str">
        <x:f>IF($J210&lt;&gt;"",REGEXREPLACE(TO_TEXT('_Supporto Listone'!A210),"(.)","$1"&amp;UNICHAR(822)),'_Supporto Listone'!A210)</x:f>
        <x:v>D</x:v>
      </x:c>
      <x:c r="B210" s="433" t="str">
        <x:f>IF($J210&lt;&gt;"",REGEXREPLACE(TO_TEXT('_Supporto Listone'!B210),"(.)","$1"&amp;UNICHAR(822)),'_Supporto Listone'!B210)</x:f>
        <x:v>Lazzari</x:v>
      </x:c>
      <x:c r="C210" s="433" t="str">
        <x:f>IF($J210&lt;&gt;"",REGEXREPLACE(TO_TEXT('_Supporto Listone'!C210),"(.)","$1"&amp;UNICHAR(822)),'_Supporto Listone'!C210)</x:f>
        <x:v>Lazio</x:v>
      </x:c>
      <x:c r="D210" s="433" t="str">
        <x:f>IF($J210&lt;&gt;"",REGEXREPLACE(TO_TEXT('_Supporto Listone'!D210),"(.)","$1"&amp;UNICHAR(822)),'_Supporto Listone'!D210)</x:f>
        <x:v>Dd;E</x:v>
      </x:c>
      <x:c r="E210" s="433" t="str">
        <x:f>IF($J210&lt;&gt;"",REGEXREPLACE(TO_TEXT('_Supporto Listone'!E210),"(.)","$1"&amp;UNICHAR(822)),'_Supporto Listone'!E210)</x:f>
        <x:v>Riserva / rotazione</x:v>
      </x:c>
      <x:c r="F210" s="462" t="n">
        <x:f>IF($J210&lt;&gt;"",REGEXREPLACE(TO_TEXT('_Supporto Listone'!F210),"(.)","$1"&amp;UNICHAR(822)),'_Supporto Listone'!F210)</x:f>
        <x:v>2</x:v>
      </x:c>
      <x:c r="G210" s="462" t="n">
        <x:f>IF($J210&lt;&gt;"",REGEXREPLACE(TO_TEXT('_Supporto Listone'!G210),"(.)","$1"&amp;UNICHAR(822)),'_Supporto Listone'!G210)</x:f>
        <x:v>8</x:v>
      </x:c>
      <x:c r="H210" s="462" t="n">
        <x:f>IF($J210&lt;&gt;"",REGEXREPLACE(TO_TEXT('_Supporto Listone'!H210),"(.)","$1"&amp;UNICHAR(822)),'_Supporto Listone'!H210)</x:f>
        <x:v>4</x:v>
      </x:c>
      <x:c r="I210" s="434"/>
      <x:c r="J210" s="433" t="str">
        <x:f>IF(COUNTIF(Asta!$B$4:$B$47,'_Supporto Listone'!B210)&gt;0,"Simone",IF(COUNTIF(Asta!$D$4:$D$47,'_Supporto Listone'!B210)&gt;0,"Giacomo",IF(COUNTIF(Asta!$F$4:$F$47,'_Supporto Listone'!B210)&gt;0,"Niko",IF(COUNTIF(Asta!$H$4:$H$47,'_Supporto Listone'!B210)&gt;0,"Quici",IF(COUNTIF(Asta!$J$4:$J$47,'_Supporto Listone'!B210)&gt;0,"Fratello Quici",IF(COUNTIF(Asta!$L$4:$L$47,'_Supporto Listone'!B210)&gt;0,"Nicolò",IF(COUNTIF(Asta!$N$4:$N$47,'_Supporto Listone'!B210)&gt;0,"Vi",IF(COUNTIF(Asta!$P$4:$P$47,'_Supporto Listone'!B210)&gt;0,"Lore",IF(COUNTIF(Asta!$R$4:$R$47,'_Supporto Listone'!B210)&gt;0,"Robbo",IF(COUNTIF(Asta!$T$4:$T$47,'_Supporto Listone'!B210)&gt;0,"Ale",""))))))))))</x:f>
      </x:c>
      <x:c r="K210" s="493" t="str">
        <x:f>IF(COUNTIF(Asta!$B$4:$B$47,'_Supporto Listone'!B210)&gt;0,INDEX(Asta!$C$4:$C$47,MATCH('_Supporto Listone'!B210,Asta!$B$4:$B$47,0)),IF(COUNTIF(Asta!$D$4:$D$47,'_Supporto Listone'!B210)&gt;0,INDEX(Asta!$E$4:$E$47,MATCH('_Supporto Listone'!B210,Asta!$D$4:$D$47,0)),IF(COUNTIF(Asta!$F$4:$F$47,'_Supporto Listone'!B210)&gt;0,INDEX(Asta!$G$4:$G$47,MATCH('_Supporto Listone'!B210,Asta!$F$4:$F$47,0)),IF(COUNTIF(Asta!$H$4:$H$47,'_Supporto Listone'!B210)&gt;0,INDEX(Asta!$I$4:$I$47,MATCH('_Supporto Listone'!B210,Asta!$H$4:$H$47,0)),IF(COUNTIF(Asta!$J$4:$J$47,'_Supporto Listone'!B210)&gt;0,INDEX(Asta!$K$4:$K$47,MATCH('_Supporto Listone'!B210,Asta!$J$4:$J$47,0)),IF(COUNTIF(Asta!$L$4:$L$47,'_Supporto Listone'!B210)&gt;0,INDEX(Asta!$M$4:$M$47,MATCH('_Supporto Listone'!B210,Asta!$L$4:$L$47,0)),IF(COUNTIF(Asta!$N$4:$N$47,'_Supporto Listone'!B210)&gt;0,INDEX(Asta!$O$4:$O$47,MATCH('_Supporto Listone'!B210,Asta!$N$4:$N$47,0)),IF(COUNTIF(Asta!$P$4:$P$47,'_Supporto Listone'!B210)&gt;0,INDEX(Asta!$Q$4:$Q$47,MATCH('_Supporto Listone'!B210,Asta!$P$4:$P$47,0)),IF(COUNTIF(Asta!$R$4:$R$47,'_Supporto Listone'!B210)&gt;0,INDEX(Asta!$S$4:$S$47,MATCH('_Supporto Listone'!B210,Asta!$R$4:$R$47,0)),IF(COUNTIF(Asta!$T$4:$T$47,'_Supporto Listone'!B210)&gt;0,INDEX(Asta!$U$4:$U$47,MATCH('_Supporto Listone'!B210,Asta!$T$4:$T$47,0)),""))))))))))</x:f>
      </x:c>
    </x:row>
    <x:row r="211">
      <x:c r="A211" s="432" t="str">
        <x:f>IF($J211&lt;&gt;"",REGEXREPLACE(TO_TEXT('_Supporto Listone'!A211),"(.)","$1"&amp;UNICHAR(822)),'_Supporto Listone'!A211)</x:f>
        <x:v>D</x:v>
      </x:c>
      <x:c r="B211" s="433" t="str">
        <x:f>IF($J211&lt;&gt;"",REGEXREPLACE(TO_TEXT('_Supporto Listone'!B211),"(.)","$1"&amp;UNICHAR(822)),'_Supporto Listone'!B211)</x:f>
        <x:v>Pellegrini Lu.</x:v>
      </x:c>
      <x:c r="C211" s="433" t="str">
        <x:f>IF($J211&lt;&gt;"",REGEXREPLACE(TO_TEXT('_Supporto Listone'!C211),"(.)","$1"&amp;UNICHAR(822)),'_Supporto Listone'!C211)</x:f>
        <x:v>Lazio</x:v>
      </x:c>
      <x:c r="D211" s="433" t="str">
        <x:f>IF($J211&lt;&gt;"",REGEXREPLACE(TO_TEXT('_Supporto Listone'!D211),"(.)","$1"&amp;UNICHAR(822)),'_Supporto Listone'!D211)</x:f>
        <x:v>Ds;E</x:v>
      </x:c>
      <x:c r="E211" s="433" t="str">
        <x:f>IF($J211&lt;&gt;"",REGEXREPLACE(TO_TEXT('_Supporto Listone'!E211),"(.)","$1"&amp;UNICHAR(822)),'_Supporto Listone'!E211)</x:f>
        <x:v>Riserva / rotazione</x:v>
      </x:c>
      <x:c r="F211" s="462" t="n">
        <x:f>IF($J211&lt;&gt;"",REGEXREPLACE(TO_TEXT('_Supporto Listone'!F211),"(.)","$1"&amp;UNICHAR(822)),'_Supporto Listone'!F211)</x:f>
        <x:v>2</x:v>
      </x:c>
      <x:c r="G211" s="462" t="n">
        <x:f>IF($J211&lt;&gt;"",REGEXREPLACE(TO_TEXT('_Supporto Listone'!G211),"(.)","$1"&amp;UNICHAR(822)),'_Supporto Listone'!G211)</x:f>
        <x:v>5</x:v>
      </x:c>
      <x:c r="H211" s="462" t="n">
        <x:f>IF($J211&lt;&gt;"",REGEXREPLACE(TO_TEXT('_Supporto Listone'!H211),"(.)","$1"&amp;UNICHAR(822)),'_Supporto Listone'!H211)</x:f>
        <x:v>3</x:v>
      </x:c>
      <x:c r="I211" s="434"/>
      <x:c r="J211" s="433" t="str">
        <x:f>IF(COUNTIF(Asta!$B$4:$B$47,'_Supporto Listone'!B211)&gt;0,"Simone",IF(COUNTIF(Asta!$D$4:$D$47,'_Supporto Listone'!B211)&gt;0,"Giacomo",IF(COUNTIF(Asta!$F$4:$F$47,'_Supporto Listone'!B211)&gt;0,"Niko",IF(COUNTIF(Asta!$H$4:$H$47,'_Supporto Listone'!B211)&gt;0,"Quici",IF(COUNTIF(Asta!$J$4:$J$47,'_Supporto Listone'!B211)&gt;0,"Fratello Quici",IF(COUNTIF(Asta!$L$4:$L$47,'_Supporto Listone'!B211)&gt;0,"Nicolò",IF(COUNTIF(Asta!$N$4:$N$47,'_Supporto Listone'!B211)&gt;0,"Vi",IF(COUNTIF(Asta!$P$4:$P$47,'_Supporto Listone'!B211)&gt;0,"Lore",IF(COUNTIF(Asta!$R$4:$R$47,'_Supporto Listone'!B211)&gt;0,"Robbo",IF(COUNTIF(Asta!$T$4:$T$47,'_Supporto Listone'!B211)&gt;0,"Ale",""))))))))))</x:f>
      </x:c>
      <x:c r="K211" s="493" t="str">
        <x:f>IF(COUNTIF(Asta!$B$4:$B$47,'_Supporto Listone'!B211)&gt;0,INDEX(Asta!$C$4:$C$47,MATCH('_Supporto Listone'!B211,Asta!$B$4:$B$47,0)),IF(COUNTIF(Asta!$D$4:$D$47,'_Supporto Listone'!B211)&gt;0,INDEX(Asta!$E$4:$E$47,MATCH('_Supporto Listone'!B211,Asta!$D$4:$D$47,0)),IF(COUNTIF(Asta!$F$4:$F$47,'_Supporto Listone'!B211)&gt;0,INDEX(Asta!$G$4:$G$47,MATCH('_Supporto Listone'!B211,Asta!$F$4:$F$47,0)),IF(COUNTIF(Asta!$H$4:$H$47,'_Supporto Listone'!B211)&gt;0,INDEX(Asta!$I$4:$I$47,MATCH('_Supporto Listone'!B211,Asta!$H$4:$H$47,0)),IF(COUNTIF(Asta!$J$4:$J$47,'_Supporto Listone'!B211)&gt;0,INDEX(Asta!$K$4:$K$47,MATCH('_Supporto Listone'!B211,Asta!$J$4:$J$47,0)),IF(COUNTIF(Asta!$L$4:$L$47,'_Supporto Listone'!B211)&gt;0,INDEX(Asta!$M$4:$M$47,MATCH('_Supporto Listone'!B211,Asta!$L$4:$L$47,0)),IF(COUNTIF(Asta!$N$4:$N$47,'_Supporto Listone'!B211)&gt;0,INDEX(Asta!$O$4:$O$47,MATCH('_Supporto Listone'!B211,Asta!$N$4:$N$47,0)),IF(COUNTIF(Asta!$P$4:$P$47,'_Supporto Listone'!B211)&gt;0,INDEX(Asta!$Q$4:$Q$47,MATCH('_Supporto Listone'!B211,Asta!$P$4:$P$47,0)),IF(COUNTIF(Asta!$R$4:$R$47,'_Supporto Listone'!B211)&gt;0,INDEX(Asta!$S$4:$S$47,MATCH('_Supporto Listone'!B211,Asta!$R$4:$R$47,0)),IF(COUNTIF(Asta!$T$4:$T$47,'_Supporto Listone'!B211)&gt;0,INDEX(Asta!$U$4:$U$47,MATCH('_Supporto Listone'!B211,Asta!$T$4:$T$47,0)),""))))))))))</x:f>
      </x:c>
    </x:row>
    <x:row r="212">
      <x:c r="A212" s="432" t="str">
        <x:f>IF($J212&lt;&gt;"",REGEXREPLACE(TO_TEXT('_Supporto Listone'!A212),"(.)","$1"&amp;UNICHAR(822)),'_Supporto Listone'!A212)</x:f>
        <x:v>D</x:v>
      </x:c>
      <x:c r="B212" s="433" t="str">
        <x:f>IF($J212&lt;&gt;"",REGEXREPLACE(TO_TEXT('_Supporto Listone'!B212),"(.)","$1"&amp;UNICHAR(822)),'_Supporto Listone'!B212)</x:f>
        <x:v>Jean</x:v>
      </x:c>
      <x:c r="C212" s="433" t="str">
        <x:f>IF($J212&lt;&gt;"",REGEXREPLACE(TO_TEXT('_Supporto Listone'!C212),"(.)","$1"&amp;UNICHAR(822)),'_Supporto Listone'!C212)</x:f>
        <x:v>Lecce</x:v>
      </x:c>
      <x:c r="D212" s="433" t="str">
        <x:f>IF($J212&lt;&gt;"",REGEXREPLACE(TO_TEXT('_Supporto Listone'!D212),"(.)","$1"&amp;UNICHAR(822)),'_Supporto Listone'!D212)</x:f>
        <x:v>Dc</x:v>
      </x:c>
      <x:c r="E212" s="433" t="str">
        <x:f>IF($J212&lt;&gt;"",REGEXREPLACE(TO_TEXT('_Supporto Listone'!E212),"(.)","$1"&amp;UNICHAR(822)),'_Supporto Listone'!E212)</x:f>
        <x:v>Riserva / rotazione</x:v>
      </x:c>
      <x:c r="F212" s="462" t="n">
        <x:f>IF($J212&lt;&gt;"",REGEXREPLACE(TO_TEXT('_Supporto Listone'!F212),"(.)","$1"&amp;UNICHAR(822)),'_Supporto Listone'!F212)</x:f>
        <x:v>2</x:v>
      </x:c>
      <x:c r="G212" s="462" t="n">
        <x:f>IF($J212&lt;&gt;"",REGEXREPLACE(TO_TEXT('_Supporto Listone'!G212),"(.)","$1"&amp;UNICHAR(822)),'_Supporto Listone'!G212)</x:f>
        <x:v>4</x:v>
      </x:c>
      <x:c r="H212" s="462" t="n">
        <x:f>IF($J212&lt;&gt;"",REGEXREPLACE(TO_TEXT('_Supporto Listone'!H212),"(.)","$1"&amp;UNICHAR(822)),'_Supporto Listone'!H212)</x:f>
        <x:v>2</x:v>
      </x:c>
      <x:c r="I212" s="434"/>
      <x:c r="J212" s="433" t="str">
        <x:f>IF(COUNTIF(Asta!$B$4:$B$47,'_Supporto Listone'!B212)&gt;0,"Simone",IF(COUNTIF(Asta!$D$4:$D$47,'_Supporto Listone'!B212)&gt;0,"Giacomo",IF(COUNTIF(Asta!$F$4:$F$47,'_Supporto Listone'!B212)&gt;0,"Niko",IF(COUNTIF(Asta!$H$4:$H$47,'_Supporto Listone'!B212)&gt;0,"Quici",IF(COUNTIF(Asta!$J$4:$J$47,'_Supporto Listone'!B212)&gt;0,"Fratello Quici",IF(COUNTIF(Asta!$L$4:$L$47,'_Supporto Listone'!B212)&gt;0,"Nicolò",IF(COUNTIF(Asta!$N$4:$N$47,'_Supporto Listone'!B212)&gt;0,"Vi",IF(COUNTIF(Asta!$P$4:$P$47,'_Supporto Listone'!B212)&gt;0,"Lore",IF(COUNTIF(Asta!$R$4:$R$47,'_Supporto Listone'!B212)&gt;0,"Robbo",IF(COUNTIF(Asta!$T$4:$T$47,'_Supporto Listone'!B212)&gt;0,"Ale",""))))))))))</x:f>
      </x:c>
      <x:c r="K212" s="493" t="str">
        <x:f>IF(COUNTIF(Asta!$B$4:$B$47,'_Supporto Listone'!B212)&gt;0,INDEX(Asta!$C$4:$C$47,MATCH('_Supporto Listone'!B212,Asta!$B$4:$B$47,0)),IF(COUNTIF(Asta!$D$4:$D$47,'_Supporto Listone'!B212)&gt;0,INDEX(Asta!$E$4:$E$47,MATCH('_Supporto Listone'!B212,Asta!$D$4:$D$47,0)),IF(COUNTIF(Asta!$F$4:$F$47,'_Supporto Listone'!B212)&gt;0,INDEX(Asta!$G$4:$G$47,MATCH('_Supporto Listone'!B212,Asta!$F$4:$F$47,0)),IF(COUNTIF(Asta!$H$4:$H$47,'_Supporto Listone'!B212)&gt;0,INDEX(Asta!$I$4:$I$47,MATCH('_Supporto Listone'!B212,Asta!$H$4:$H$47,0)),IF(COUNTIF(Asta!$J$4:$J$47,'_Supporto Listone'!B212)&gt;0,INDEX(Asta!$K$4:$K$47,MATCH('_Supporto Listone'!B212,Asta!$J$4:$J$47,0)),IF(COUNTIF(Asta!$L$4:$L$47,'_Supporto Listone'!B212)&gt;0,INDEX(Asta!$M$4:$M$47,MATCH('_Supporto Listone'!B212,Asta!$L$4:$L$47,0)),IF(COUNTIF(Asta!$N$4:$N$47,'_Supporto Listone'!B212)&gt;0,INDEX(Asta!$O$4:$O$47,MATCH('_Supporto Listone'!B212,Asta!$N$4:$N$47,0)),IF(COUNTIF(Asta!$P$4:$P$47,'_Supporto Listone'!B212)&gt;0,INDEX(Asta!$Q$4:$Q$47,MATCH('_Supporto Listone'!B212,Asta!$P$4:$P$47,0)),IF(COUNTIF(Asta!$R$4:$R$47,'_Supporto Listone'!B212)&gt;0,INDEX(Asta!$S$4:$S$47,MATCH('_Supporto Listone'!B212,Asta!$R$4:$R$47,0)),IF(COUNTIF(Asta!$T$4:$T$47,'_Supporto Listone'!B212)&gt;0,INDEX(Asta!$U$4:$U$47,MATCH('_Supporto Listone'!B212,Asta!$T$4:$T$47,0)),""))))))))))</x:f>
      </x:c>
    </x:row>
    <x:row r="213">
      <x:c r="A213" s="432" t="str">
        <x:f>IF($J213&lt;&gt;"",REGEXREPLACE(TO_TEXT('_Supporto Listone'!A213),"(.)","$1"&amp;UNICHAR(822)),'_Supporto Listone'!A213)</x:f>
        <x:v>D</x:v>
      </x:c>
      <x:c r="B213" s="433" t="str">
        <x:f>IF($J213&lt;&gt;"",REGEXREPLACE(TO_TEXT('_Supporto Listone'!B213),"(.)","$1"&amp;UNICHAR(822)),'_Supporto Listone'!B213)</x:f>
        <x:v>Diawara S.</x:v>
      </x:c>
      <x:c r="C213" s="433" t="str">
        <x:f>IF($J213&lt;&gt;"",REGEXREPLACE(TO_TEXT('_Supporto Listone'!C213),"(.)","$1"&amp;UNICHAR(822)),'_Supporto Listone'!C213)</x:f>
        <x:v>Milan</x:v>
      </x:c>
      <x:c r="D213" s="433" t="str">
        <x:f>IF($J213&lt;&gt;"",REGEXREPLACE(TO_TEXT('_Supporto Listone'!D213),"(.)","$1"&amp;UNICHAR(822)),'_Supporto Listone'!D213)</x:f>
        <x:v>Ds;Dc</x:v>
      </x:c>
      <x:c r="E213" s="433" t="str">
        <x:f>IF($J213&lt;&gt;"",REGEXREPLACE(TO_TEXT('_Supporto Listone'!E213),"(.)","$1"&amp;UNICHAR(822)),'_Supporto Listone'!E213)</x:f>
        <x:v>Riserva / rotazione</x:v>
      </x:c>
      <x:c r="F213" s="462" t="n">
        <x:f>IF($J213&lt;&gt;"",REGEXREPLACE(TO_TEXT('_Supporto Listone'!F213),"(.)","$1"&amp;UNICHAR(822)),'_Supporto Listone'!F213)</x:f>
        <x:v>2</x:v>
      </x:c>
      <x:c r="G213" s="462" t="n">
        <x:f>IF($J213&lt;&gt;"",REGEXREPLACE(TO_TEXT('_Supporto Listone'!G213),"(.)","$1"&amp;UNICHAR(822)),'_Supporto Listone'!G213)</x:f>
        <x:v>4</x:v>
      </x:c>
      <x:c r="H213" s="462" t="n">
        <x:f>IF($J213&lt;&gt;"",REGEXREPLACE(TO_TEXT('_Supporto Listone'!H213),"(.)","$1"&amp;UNICHAR(822)),'_Supporto Listone'!H213)</x:f>
        <x:v>2</x:v>
      </x:c>
      <x:c r="I213" s="434"/>
      <x:c r="J213" s="433" t="str">
        <x:f>IF(COUNTIF(Asta!$B$4:$B$47,'_Supporto Listone'!B213)&gt;0,"Simone",IF(COUNTIF(Asta!$D$4:$D$47,'_Supporto Listone'!B213)&gt;0,"Giacomo",IF(COUNTIF(Asta!$F$4:$F$47,'_Supporto Listone'!B213)&gt;0,"Niko",IF(COUNTIF(Asta!$H$4:$H$47,'_Supporto Listone'!B213)&gt;0,"Quici",IF(COUNTIF(Asta!$J$4:$J$47,'_Supporto Listone'!B213)&gt;0,"Fratello Quici",IF(COUNTIF(Asta!$L$4:$L$47,'_Supporto Listone'!B213)&gt;0,"Nicolò",IF(COUNTIF(Asta!$N$4:$N$47,'_Supporto Listone'!B213)&gt;0,"Vi",IF(COUNTIF(Asta!$P$4:$P$47,'_Supporto Listone'!B213)&gt;0,"Lore",IF(COUNTIF(Asta!$R$4:$R$47,'_Supporto Listone'!B213)&gt;0,"Robbo",IF(COUNTIF(Asta!$T$4:$T$47,'_Supporto Listone'!B213)&gt;0,"Ale",""))))))))))</x:f>
      </x:c>
      <x:c r="K213" s="493" t="str">
        <x:f>IF(COUNTIF(Asta!$B$4:$B$47,'_Supporto Listone'!B213)&gt;0,INDEX(Asta!$C$4:$C$47,MATCH('_Supporto Listone'!B213,Asta!$B$4:$B$47,0)),IF(COUNTIF(Asta!$D$4:$D$47,'_Supporto Listone'!B213)&gt;0,INDEX(Asta!$E$4:$E$47,MATCH('_Supporto Listone'!B213,Asta!$D$4:$D$47,0)),IF(COUNTIF(Asta!$F$4:$F$47,'_Supporto Listone'!B213)&gt;0,INDEX(Asta!$G$4:$G$47,MATCH('_Supporto Listone'!B213,Asta!$F$4:$F$47,0)),IF(COUNTIF(Asta!$H$4:$H$47,'_Supporto Listone'!B213)&gt;0,INDEX(Asta!$I$4:$I$47,MATCH('_Supporto Listone'!B213,Asta!$H$4:$H$47,0)),IF(COUNTIF(Asta!$J$4:$J$47,'_Supporto Listone'!B213)&gt;0,INDEX(Asta!$K$4:$K$47,MATCH('_Supporto Listone'!B213,Asta!$J$4:$J$47,0)),IF(COUNTIF(Asta!$L$4:$L$47,'_Supporto Listone'!B213)&gt;0,INDEX(Asta!$M$4:$M$47,MATCH('_Supporto Listone'!B213,Asta!$L$4:$L$47,0)),IF(COUNTIF(Asta!$N$4:$N$47,'_Supporto Listone'!B213)&gt;0,INDEX(Asta!$O$4:$O$47,MATCH('_Supporto Listone'!B213,Asta!$N$4:$N$47,0)),IF(COUNTIF(Asta!$P$4:$P$47,'_Supporto Listone'!B213)&gt;0,INDEX(Asta!$Q$4:$Q$47,MATCH('_Supporto Listone'!B213,Asta!$P$4:$P$47,0)),IF(COUNTIF(Asta!$R$4:$R$47,'_Supporto Listone'!B213)&gt;0,INDEX(Asta!$S$4:$S$47,MATCH('_Supporto Listone'!B213,Asta!$R$4:$R$47,0)),IF(COUNTIF(Asta!$T$4:$T$47,'_Supporto Listone'!B213)&gt;0,INDEX(Asta!$U$4:$U$47,MATCH('_Supporto Listone'!B213,Asta!$T$4:$T$47,0)),""))))))))))</x:f>
      </x:c>
    </x:row>
    <x:row r="214">
      <x:c r="A214" s="432" t="str">
        <x:f>IF($J214&lt;&gt;"",REGEXREPLACE(TO_TEXT('_Supporto Listone'!A214),"(.)","$1"&amp;UNICHAR(822)),'_Supporto Listone'!A214)</x:f>
        <x:v>D</x:v>
      </x:c>
      <x:c r="B214" s="433" t="str">
        <x:f>IF($J214&lt;&gt;"",REGEXREPLACE(TO_TEXT('_Supporto Listone'!B214),"(.)","$1"&amp;UNICHAR(822)),'_Supporto Listone'!B214)</x:f>
        <x:v>Marin R.</x:v>
      </x:c>
      <x:c r="C214" s="433" t="str">
        <x:f>IF($J214&lt;&gt;"",REGEXREPLACE(TO_TEXT('_Supporto Listone'!C214),"(.)","$1"&amp;UNICHAR(822)),'_Supporto Listone'!C214)</x:f>
        <x:v>Napoli</x:v>
      </x:c>
      <x:c r="D214" s="433" t="str">
        <x:f>IF($J214&lt;&gt;"",REGEXREPLACE(TO_TEXT('_Supporto Listone'!D214),"(.)","$1"&amp;UNICHAR(822)),'_Supporto Listone'!D214)</x:f>
        <x:v>Dc</x:v>
      </x:c>
      <x:c r="E214" s="433" t="str">
        <x:f>IF($J214&lt;&gt;"",REGEXREPLACE(TO_TEXT('_Supporto Listone'!E214),"(.)","$1"&amp;UNICHAR(822)),'_Supporto Listone'!E214)</x:f>
        <x:v>Riserva / rotazione</x:v>
      </x:c>
      <x:c r="F214" s="462" t="n">
        <x:f>IF($J214&lt;&gt;"",REGEXREPLACE(TO_TEXT('_Supporto Listone'!F214),"(.)","$1"&amp;UNICHAR(822)),'_Supporto Listone'!F214)</x:f>
        <x:v>2</x:v>
      </x:c>
      <x:c r="G214" s="462" t="n">
        <x:f>IF($J214&lt;&gt;"",REGEXREPLACE(TO_TEXT('_Supporto Listone'!G214),"(.)","$1"&amp;UNICHAR(822)),'_Supporto Listone'!G214)</x:f>
        <x:v>6</x:v>
      </x:c>
      <x:c r="H214" s="462" t="n">
        <x:f>IF($J214&lt;&gt;"",REGEXREPLACE(TO_TEXT('_Supporto Listone'!H214),"(.)","$1"&amp;UNICHAR(822)),'_Supporto Listone'!H214)</x:f>
        <x:v>3</x:v>
      </x:c>
      <x:c r="I214" s="434"/>
      <x:c r="J214" s="433" t="str">
        <x:f>IF(COUNTIF(Asta!$B$4:$B$47,'_Supporto Listone'!B214)&gt;0,"Simone",IF(COUNTIF(Asta!$D$4:$D$47,'_Supporto Listone'!B214)&gt;0,"Giacomo",IF(COUNTIF(Asta!$F$4:$F$47,'_Supporto Listone'!B214)&gt;0,"Niko",IF(COUNTIF(Asta!$H$4:$H$47,'_Supporto Listone'!B214)&gt;0,"Quici",IF(COUNTIF(Asta!$J$4:$J$47,'_Supporto Listone'!B214)&gt;0,"Fratello Quici",IF(COUNTIF(Asta!$L$4:$L$47,'_Supporto Listone'!B214)&gt;0,"Nicolò",IF(COUNTIF(Asta!$N$4:$N$47,'_Supporto Listone'!B214)&gt;0,"Vi",IF(COUNTIF(Asta!$P$4:$P$47,'_Supporto Listone'!B214)&gt;0,"Lore",IF(COUNTIF(Asta!$R$4:$R$47,'_Supporto Listone'!B214)&gt;0,"Robbo",IF(COUNTIF(Asta!$T$4:$T$47,'_Supporto Listone'!B214)&gt;0,"Ale",""))))))))))</x:f>
      </x:c>
      <x:c r="K214" s="493" t="str">
        <x:f>IF(COUNTIF(Asta!$B$4:$B$47,'_Supporto Listone'!B214)&gt;0,INDEX(Asta!$C$4:$C$47,MATCH('_Supporto Listone'!B214,Asta!$B$4:$B$47,0)),IF(COUNTIF(Asta!$D$4:$D$47,'_Supporto Listone'!B214)&gt;0,INDEX(Asta!$E$4:$E$47,MATCH('_Supporto Listone'!B214,Asta!$D$4:$D$47,0)),IF(COUNTIF(Asta!$F$4:$F$47,'_Supporto Listone'!B214)&gt;0,INDEX(Asta!$G$4:$G$47,MATCH('_Supporto Listone'!B214,Asta!$F$4:$F$47,0)),IF(COUNTIF(Asta!$H$4:$H$47,'_Supporto Listone'!B214)&gt;0,INDEX(Asta!$I$4:$I$47,MATCH('_Supporto Listone'!B214,Asta!$H$4:$H$47,0)),IF(COUNTIF(Asta!$J$4:$J$47,'_Supporto Listone'!B214)&gt;0,INDEX(Asta!$K$4:$K$47,MATCH('_Supporto Listone'!B214,Asta!$J$4:$J$47,0)),IF(COUNTIF(Asta!$L$4:$L$47,'_Supporto Listone'!B214)&gt;0,INDEX(Asta!$M$4:$M$47,MATCH('_Supporto Listone'!B214,Asta!$L$4:$L$47,0)),IF(COUNTIF(Asta!$N$4:$N$47,'_Supporto Listone'!B214)&gt;0,INDEX(Asta!$O$4:$O$47,MATCH('_Supporto Listone'!B214,Asta!$N$4:$N$47,0)),IF(COUNTIF(Asta!$P$4:$P$47,'_Supporto Listone'!B214)&gt;0,INDEX(Asta!$Q$4:$Q$47,MATCH('_Supporto Listone'!B214,Asta!$P$4:$P$47,0)),IF(COUNTIF(Asta!$R$4:$R$47,'_Supporto Listone'!B214)&gt;0,INDEX(Asta!$S$4:$S$47,MATCH('_Supporto Listone'!B214,Asta!$R$4:$R$47,0)),IF(COUNTIF(Asta!$T$4:$T$47,'_Supporto Listone'!B214)&gt;0,INDEX(Asta!$U$4:$U$47,MATCH('_Supporto Listone'!B214,Asta!$T$4:$T$47,0)),""))))))))))</x:f>
      </x:c>
    </x:row>
    <x:row r="215">
      <x:c r="A215" s="432" t="str">
        <x:f>IF($J215&lt;&gt;"",REGEXREPLACE(TO_TEXT('_Supporto Listone'!A215),"(.)","$1"&amp;UNICHAR(822)),'_Supporto Listone'!A215)</x:f>
        <x:v>D</x:v>
      </x:c>
      <x:c r="B215" s="433" t="str">
        <x:f>IF($J215&lt;&gt;"",REGEXREPLACE(TO_TEXT('_Supporto Listone'!B215),"(.)","$1"&amp;UNICHAR(822)),'_Supporto Listone'!B215)</x:f>
        <x:v>Biraghi</x:v>
      </x:c>
      <x:c r="C215" s="433" t="str">
        <x:f>IF($J215&lt;&gt;"",REGEXREPLACE(TO_TEXT('_Supporto Listone'!C215),"(.)","$1"&amp;UNICHAR(822)),'_Supporto Listone'!C215)</x:f>
        <x:v>Torino</x:v>
      </x:c>
      <x:c r="D215" s="433" t="str">
        <x:f>IF($J215&lt;&gt;"",REGEXREPLACE(TO_TEXT('_Supporto Listone'!D215),"(.)","$1"&amp;UNICHAR(822)),'_Supporto Listone'!D215)</x:f>
        <x:v>B;Ds;E</x:v>
      </x:c>
      <x:c r="E215" s="433" t="str">
        <x:f>IF($J215&lt;&gt;"",REGEXREPLACE(TO_TEXT('_Supporto Listone'!E215),"(.)","$1"&amp;UNICHAR(822)),'_Supporto Listone'!E215)</x:f>
        <x:v>Riserva / rotazione</x:v>
      </x:c>
      <x:c r="F215" s="462" t="n">
        <x:f>IF($J215&lt;&gt;"",REGEXREPLACE(TO_TEXT('_Supporto Listone'!F215),"(.)","$1"&amp;UNICHAR(822)),'_Supporto Listone'!F215)</x:f>
        <x:v>2</x:v>
      </x:c>
      <x:c r="G215" s="462" t="n">
        <x:f>IF($J215&lt;&gt;"",REGEXREPLACE(TO_TEXT('_Supporto Listone'!G215),"(.)","$1"&amp;UNICHAR(822)),'_Supporto Listone'!G215)</x:f>
        <x:v>5</x:v>
      </x:c>
      <x:c r="H215" s="462" t="n">
        <x:f>IF($J215&lt;&gt;"",REGEXREPLACE(TO_TEXT('_Supporto Listone'!H215),"(.)","$1"&amp;UNICHAR(822)),'_Supporto Listone'!H215)</x:f>
        <x:v>3</x:v>
      </x:c>
      <x:c r="I215" s="434"/>
      <x:c r="J215" s="433" t="str">
        <x:f>IF(COUNTIF(Asta!$B$4:$B$47,'_Supporto Listone'!B215)&gt;0,"Simone",IF(COUNTIF(Asta!$D$4:$D$47,'_Supporto Listone'!B215)&gt;0,"Giacomo",IF(COUNTIF(Asta!$F$4:$F$47,'_Supporto Listone'!B215)&gt;0,"Niko",IF(COUNTIF(Asta!$H$4:$H$47,'_Supporto Listone'!B215)&gt;0,"Quici",IF(COUNTIF(Asta!$J$4:$J$47,'_Supporto Listone'!B215)&gt;0,"Fratello Quici",IF(COUNTIF(Asta!$L$4:$L$47,'_Supporto Listone'!B215)&gt;0,"Nicolò",IF(COUNTIF(Asta!$N$4:$N$47,'_Supporto Listone'!B215)&gt;0,"Vi",IF(COUNTIF(Asta!$P$4:$P$47,'_Supporto Listone'!B215)&gt;0,"Lore",IF(COUNTIF(Asta!$R$4:$R$47,'_Supporto Listone'!B215)&gt;0,"Robbo",IF(COUNTIF(Asta!$T$4:$T$47,'_Supporto Listone'!B215)&gt;0,"Ale",""))))))))))</x:f>
      </x:c>
      <x:c r="K215" s="493" t="str">
        <x:f>IF(COUNTIF(Asta!$B$4:$B$47,'_Supporto Listone'!B215)&gt;0,INDEX(Asta!$C$4:$C$47,MATCH('_Supporto Listone'!B215,Asta!$B$4:$B$47,0)),IF(COUNTIF(Asta!$D$4:$D$47,'_Supporto Listone'!B215)&gt;0,INDEX(Asta!$E$4:$E$47,MATCH('_Supporto Listone'!B215,Asta!$D$4:$D$47,0)),IF(COUNTIF(Asta!$F$4:$F$47,'_Supporto Listone'!B215)&gt;0,INDEX(Asta!$G$4:$G$47,MATCH('_Supporto Listone'!B215,Asta!$F$4:$F$47,0)),IF(COUNTIF(Asta!$H$4:$H$47,'_Supporto Listone'!B215)&gt;0,INDEX(Asta!$I$4:$I$47,MATCH('_Supporto Listone'!B215,Asta!$H$4:$H$47,0)),IF(COUNTIF(Asta!$J$4:$J$47,'_Supporto Listone'!B215)&gt;0,INDEX(Asta!$K$4:$K$47,MATCH('_Supporto Listone'!B215,Asta!$J$4:$J$47,0)),IF(COUNTIF(Asta!$L$4:$L$47,'_Supporto Listone'!B215)&gt;0,INDEX(Asta!$M$4:$M$47,MATCH('_Supporto Listone'!B215,Asta!$L$4:$L$47,0)),IF(COUNTIF(Asta!$N$4:$N$47,'_Supporto Listone'!B215)&gt;0,INDEX(Asta!$O$4:$O$47,MATCH('_Supporto Listone'!B215,Asta!$N$4:$N$47,0)),IF(COUNTIF(Asta!$P$4:$P$47,'_Supporto Listone'!B215)&gt;0,INDEX(Asta!$Q$4:$Q$47,MATCH('_Supporto Listone'!B215,Asta!$P$4:$P$47,0)),IF(COUNTIF(Asta!$R$4:$R$47,'_Supporto Listone'!B215)&gt;0,INDEX(Asta!$S$4:$S$47,MATCH('_Supporto Listone'!B215,Asta!$R$4:$R$47,0)),IF(COUNTIF(Asta!$T$4:$T$47,'_Supporto Listone'!B215)&gt;0,INDEX(Asta!$U$4:$U$47,MATCH('_Supporto Listone'!B215,Asta!$T$4:$T$47,0)),""))))))))))</x:f>
      </x:c>
    </x:row>
    <x:row r="216">
      <x:c r="A216" s="432" t="str">
        <x:f>IF($J216&lt;&gt;"",REGEXREPLACE(TO_TEXT('_Supporto Listone'!A216),"(.)","$1"&amp;UNICHAR(822)),'_Supporto Listone'!A216)</x:f>
        <x:v>D</x:v>
      </x:c>
      <x:c r="B216" s="433" t="str">
        <x:f>IF($J216&lt;&gt;"",REGEXREPLACE(TO_TEXT('_Supporto Listone'!B216),"(.)","$1"&amp;UNICHAR(822)),'_Supporto Listone'!B216)</x:f>
        <x:v>Ebosse</x:v>
      </x:c>
      <x:c r="C216" s="433" t="str">
        <x:f>IF($J216&lt;&gt;"",REGEXREPLACE(TO_TEXT('_Supporto Listone'!C216),"(.)","$1"&amp;UNICHAR(822)),'_Supporto Listone'!C216)</x:f>
        <x:v>Udinese</x:v>
      </x:c>
      <x:c r="D216" s="433" t="str">
        <x:f>IF($J216&lt;&gt;"",REGEXREPLACE(TO_TEXT('_Supporto Listone'!D216),"(.)","$1"&amp;UNICHAR(822)),'_Supporto Listone'!D216)</x:f>
        <x:v>Ds;Dc</x:v>
      </x:c>
      <x:c r="E216" s="433" t="str">
        <x:f>IF($J216&lt;&gt;"",REGEXREPLACE(TO_TEXT('_Supporto Listone'!E216),"(.)","$1"&amp;UNICHAR(822)),'_Supporto Listone'!E216)</x:f>
        <x:v>Riserva / rotazione</x:v>
      </x:c>
      <x:c r="F216" s="462" t="n">
        <x:f>IF($J216&lt;&gt;"",REGEXREPLACE(TO_TEXT('_Supporto Listone'!F216),"(.)","$1"&amp;UNICHAR(822)),'_Supporto Listone'!F216)</x:f>
        <x:v>2</x:v>
      </x:c>
      <x:c r="G216" s="462" t="n">
        <x:f>IF($J216&lt;&gt;"",REGEXREPLACE(TO_TEXT('_Supporto Listone'!G216),"(.)","$1"&amp;UNICHAR(822)),'_Supporto Listone'!G216)</x:f>
        <x:v>4</x:v>
      </x:c>
      <x:c r="H216" s="462" t="n">
        <x:f>IF($J216&lt;&gt;"",REGEXREPLACE(TO_TEXT('_Supporto Listone'!H216),"(.)","$1"&amp;UNICHAR(822)),'_Supporto Listone'!H216)</x:f>
        <x:v>2</x:v>
      </x:c>
      <x:c r="I216" s="434"/>
      <x:c r="J216" s="433" t="str">
        <x:f>IF(COUNTIF(Asta!$B$4:$B$47,'_Supporto Listone'!B216)&gt;0,"Simone",IF(COUNTIF(Asta!$D$4:$D$47,'_Supporto Listone'!B216)&gt;0,"Giacomo",IF(COUNTIF(Asta!$F$4:$F$47,'_Supporto Listone'!B216)&gt;0,"Niko",IF(COUNTIF(Asta!$H$4:$H$47,'_Supporto Listone'!B216)&gt;0,"Quici",IF(COUNTIF(Asta!$J$4:$J$47,'_Supporto Listone'!B216)&gt;0,"Fratello Quici",IF(COUNTIF(Asta!$L$4:$L$47,'_Supporto Listone'!B216)&gt;0,"Nicolò",IF(COUNTIF(Asta!$N$4:$N$47,'_Supporto Listone'!B216)&gt;0,"Vi",IF(COUNTIF(Asta!$P$4:$P$47,'_Supporto Listone'!B216)&gt;0,"Lore",IF(COUNTIF(Asta!$R$4:$R$47,'_Supporto Listone'!B216)&gt;0,"Robbo",IF(COUNTIF(Asta!$T$4:$T$47,'_Supporto Listone'!B216)&gt;0,"Ale",""))))))))))</x:f>
      </x:c>
      <x:c r="K216" s="493" t="str">
        <x:f>IF(COUNTIF(Asta!$B$4:$B$47,'_Supporto Listone'!B216)&gt;0,INDEX(Asta!$C$4:$C$47,MATCH('_Supporto Listone'!B216,Asta!$B$4:$B$47,0)),IF(COUNTIF(Asta!$D$4:$D$47,'_Supporto Listone'!B216)&gt;0,INDEX(Asta!$E$4:$E$47,MATCH('_Supporto Listone'!B216,Asta!$D$4:$D$47,0)),IF(COUNTIF(Asta!$F$4:$F$47,'_Supporto Listone'!B216)&gt;0,INDEX(Asta!$G$4:$G$47,MATCH('_Supporto Listone'!B216,Asta!$F$4:$F$47,0)),IF(COUNTIF(Asta!$H$4:$H$47,'_Supporto Listone'!B216)&gt;0,INDEX(Asta!$I$4:$I$47,MATCH('_Supporto Listone'!B216,Asta!$H$4:$H$47,0)),IF(COUNTIF(Asta!$J$4:$J$47,'_Supporto Listone'!B216)&gt;0,INDEX(Asta!$K$4:$K$47,MATCH('_Supporto Listone'!B216,Asta!$J$4:$J$47,0)),IF(COUNTIF(Asta!$L$4:$L$47,'_Supporto Listone'!B216)&gt;0,INDEX(Asta!$M$4:$M$47,MATCH('_Supporto Listone'!B216,Asta!$L$4:$L$47,0)),IF(COUNTIF(Asta!$N$4:$N$47,'_Supporto Listone'!B216)&gt;0,INDEX(Asta!$O$4:$O$47,MATCH('_Supporto Listone'!B216,Asta!$N$4:$N$47,0)),IF(COUNTIF(Asta!$P$4:$P$47,'_Supporto Listone'!B216)&gt;0,INDEX(Asta!$Q$4:$Q$47,MATCH('_Supporto Listone'!B216,Asta!$P$4:$P$47,0)),IF(COUNTIF(Asta!$R$4:$R$47,'_Supporto Listone'!B216)&gt;0,INDEX(Asta!$S$4:$S$47,MATCH('_Supporto Listone'!B216,Asta!$R$4:$R$47,0)),IF(COUNTIF(Asta!$T$4:$T$47,'_Supporto Listone'!B216)&gt;0,INDEX(Asta!$U$4:$U$47,MATCH('_Supporto Listone'!B216,Asta!$T$4:$T$47,0)),""))))))))))</x:f>
      </x:c>
    </x:row>
    <x:row r="217">
      <x:c r="A217" s="432" t="str">
        <x:f>IF($J217&lt;&gt;"",REGEXREPLACE(TO_TEXT('_Supporto Listone'!A217),"(.)","$1"&amp;UNICHAR(822)),'_Supporto Listone'!A217)</x:f>
        <x:v>D</x:v>
      </x:c>
      <x:c r="B217" s="433" t="str">
        <x:f>IF($J217&lt;&gt;"",REGEXREPLACE(TO_TEXT('_Supporto Listone'!B217),"(.)","$1"&amp;UNICHAR(822)),'_Supporto Listone'!B217)</x:f>
        <x:v>Palma</x:v>
      </x:c>
      <x:c r="C217" s="433" t="str">
        <x:f>IF($J217&lt;&gt;"",REGEXREPLACE(TO_TEXT('_Supporto Listone'!C217),"(.)","$1"&amp;UNICHAR(822)),'_Supporto Listone'!C217)</x:f>
        <x:v>Udinese</x:v>
      </x:c>
      <x:c r="D217" s="433" t="str">
        <x:f>IF($J217&lt;&gt;"",REGEXREPLACE(TO_TEXT('_Supporto Listone'!D217),"(.)","$1"&amp;UNICHAR(822)),'_Supporto Listone'!D217)</x:f>
        <x:v>Dc</x:v>
      </x:c>
      <x:c r="E217" s="433" t="str">
        <x:f>IF($J217&lt;&gt;"",REGEXREPLACE(TO_TEXT('_Supporto Listone'!E217),"(.)","$1"&amp;UNICHAR(822)),'_Supporto Listone'!E217)</x:f>
        <x:v>Titolare / ballottaggio</x:v>
      </x:c>
      <x:c r="F217" s="462" t="n">
        <x:f>IF($J217&lt;&gt;"",REGEXREPLACE(TO_TEXT('_Supporto Listone'!F217),"(.)","$1"&amp;UNICHAR(822)),'_Supporto Listone'!F217)</x:f>
        <x:v>2</x:v>
      </x:c>
      <x:c r="G217" s="462" t="n">
        <x:f>IF($J217&lt;&gt;"",REGEXREPLACE(TO_TEXT('_Supporto Listone'!G217),"(.)","$1"&amp;UNICHAR(822)),'_Supporto Listone'!G217)</x:f>
        <x:v>5</x:v>
      </x:c>
      <x:c r="H217" s="462" t="n">
        <x:f>IF($J217&lt;&gt;"",REGEXREPLACE(TO_TEXT('_Supporto Listone'!H217),"(.)","$1"&amp;UNICHAR(822)),'_Supporto Listone'!H217)</x:f>
        <x:v>3</x:v>
      </x:c>
      <x:c r="I217" s="434"/>
      <x:c r="J217" s="433" t="str">
        <x:f>IF(COUNTIF(Asta!$B$4:$B$47,'_Supporto Listone'!B217)&gt;0,"Simone",IF(COUNTIF(Asta!$D$4:$D$47,'_Supporto Listone'!B217)&gt;0,"Giacomo",IF(COUNTIF(Asta!$F$4:$F$47,'_Supporto Listone'!B217)&gt;0,"Niko",IF(COUNTIF(Asta!$H$4:$H$47,'_Supporto Listone'!B217)&gt;0,"Quici",IF(COUNTIF(Asta!$J$4:$J$47,'_Supporto Listone'!B217)&gt;0,"Fratello Quici",IF(COUNTIF(Asta!$L$4:$L$47,'_Supporto Listone'!B217)&gt;0,"Nicolò",IF(COUNTIF(Asta!$N$4:$N$47,'_Supporto Listone'!B217)&gt;0,"Vi",IF(COUNTIF(Asta!$P$4:$P$47,'_Supporto Listone'!B217)&gt;0,"Lore",IF(COUNTIF(Asta!$R$4:$R$47,'_Supporto Listone'!B217)&gt;0,"Robbo",IF(COUNTIF(Asta!$T$4:$T$47,'_Supporto Listone'!B217)&gt;0,"Ale",""))))))))))</x:f>
      </x:c>
      <x:c r="K217" s="493" t="str">
        <x:f>IF(COUNTIF(Asta!$B$4:$B$47,'_Supporto Listone'!B217)&gt;0,INDEX(Asta!$C$4:$C$47,MATCH('_Supporto Listone'!B217,Asta!$B$4:$B$47,0)),IF(COUNTIF(Asta!$D$4:$D$47,'_Supporto Listone'!B217)&gt;0,INDEX(Asta!$E$4:$E$47,MATCH('_Supporto Listone'!B217,Asta!$D$4:$D$47,0)),IF(COUNTIF(Asta!$F$4:$F$47,'_Supporto Listone'!B217)&gt;0,INDEX(Asta!$G$4:$G$47,MATCH('_Supporto Listone'!B217,Asta!$F$4:$F$47,0)),IF(COUNTIF(Asta!$H$4:$H$47,'_Supporto Listone'!B217)&gt;0,INDEX(Asta!$I$4:$I$47,MATCH('_Supporto Listone'!B217,Asta!$H$4:$H$47,0)),IF(COUNTIF(Asta!$J$4:$J$47,'_Supporto Listone'!B217)&gt;0,INDEX(Asta!$K$4:$K$47,MATCH('_Supporto Listone'!B217,Asta!$J$4:$J$47,0)),IF(COUNTIF(Asta!$L$4:$L$47,'_Supporto Listone'!B217)&gt;0,INDEX(Asta!$M$4:$M$47,MATCH('_Supporto Listone'!B217,Asta!$L$4:$L$47,0)),IF(COUNTIF(Asta!$N$4:$N$47,'_Supporto Listone'!B217)&gt;0,INDEX(Asta!$O$4:$O$47,MATCH('_Supporto Listone'!B217,Asta!$N$4:$N$47,0)),IF(COUNTIF(Asta!$P$4:$P$47,'_Supporto Listone'!B217)&gt;0,INDEX(Asta!$Q$4:$Q$47,MATCH('_Supporto Listone'!B217,Asta!$P$4:$P$47,0)),IF(COUNTIF(Asta!$R$4:$R$47,'_Supporto Listone'!B217)&gt;0,INDEX(Asta!$S$4:$S$47,MATCH('_Supporto Listone'!B217,Asta!$R$4:$R$47,0)),IF(COUNTIF(Asta!$T$4:$T$47,'_Supporto Listone'!B217)&gt;0,INDEX(Asta!$U$4:$U$47,MATCH('_Supporto Listone'!B217,Asta!$T$4:$T$47,0)),""))))))))))</x:f>
      </x:c>
    </x:row>
    <x:row r="218">
      <x:c r="A218" s="432" t="str">
        <x:f>IF($J218&lt;&gt;"",REGEXREPLACE(TO_TEXT('_Supporto Listone'!A218),"(.)","$1"&amp;UNICHAR(822)),'_Supporto Listone'!A218)</x:f>
        <x:v>D</x:v>
      </x:c>
      <x:c r="B218" s="433" t="str">
        <x:f>IF($J218&lt;&gt;"",REGEXREPLACE(TO_TEXT('_Supporto Listone'!B218),"(.)","$1"&amp;UNICHAR(822)),'_Supporto Listone'!B218)</x:f>
        <x:v>Franjic</x:v>
      </x:c>
      <x:c r="C218" s="433" t="str">
        <x:f>IF($J218&lt;&gt;"",REGEXREPLACE(TO_TEXT('_Supporto Listone'!C218),"(.)","$1"&amp;UNICHAR(822)),'_Supporto Listone'!C218)</x:f>
        <x:v>Venezia</x:v>
      </x:c>
      <x:c r="D218" s="433" t="str">
        <x:f>IF($J218&lt;&gt;"",REGEXREPLACE(TO_TEXT('_Supporto Listone'!D218),"(.)","$1"&amp;UNICHAR(822)),'_Supporto Listone'!D218)</x:f>
        <x:v>B;Ds;E</x:v>
      </x:c>
      <x:c r="E218" s="433" t="str">
        <x:f>IF($J218&lt;&gt;"",REGEXREPLACE(TO_TEXT('_Supporto Listone'!E218),"(.)","$1"&amp;UNICHAR(822)),'_Supporto Listone'!E218)</x:f>
        <x:v>Riserva / rotazione</x:v>
      </x:c>
      <x:c r="F218" s="462" t="n">
        <x:f>IF($J218&lt;&gt;"",REGEXREPLACE(TO_TEXT('_Supporto Listone'!F218),"(.)","$1"&amp;UNICHAR(822)),'_Supporto Listone'!F218)</x:f>
        <x:v>2</x:v>
      </x:c>
      <x:c r="G218" s="462" t="n">
        <x:f>IF($J218&lt;&gt;"",REGEXREPLACE(TO_TEXT('_Supporto Listone'!G218),"(.)","$1"&amp;UNICHAR(822)),'_Supporto Listone'!G218)</x:f>
        <x:v>4</x:v>
      </x:c>
      <x:c r="H218" s="462" t="n">
        <x:f>IF($J218&lt;&gt;"",REGEXREPLACE(TO_TEXT('_Supporto Listone'!H218),"(.)","$1"&amp;UNICHAR(822)),'_Supporto Listone'!H218)</x:f>
        <x:v>2</x:v>
      </x:c>
      <x:c r="I218" s="434"/>
      <x:c r="J218" s="433" t="str">
        <x:f>IF(COUNTIF(Asta!$B$4:$B$47,'_Supporto Listone'!B218)&gt;0,"Simone",IF(COUNTIF(Asta!$D$4:$D$47,'_Supporto Listone'!B218)&gt;0,"Giacomo",IF(COUNTIF(Asta!$F$4:$F$47,'_Supporto Listone'!B218)&gt;0,"Niko",IF(COUNTIF(Asta!$H$4:$H$47,'_Supporto Listone'!B218)&gt;0,"Quici",IF(COUNTIF(Asta!$J$4:$J$47,'_Supporto Listone'!B218)&gt;0,"Fratello Quici",IF(COUNTIF(Asta!$L$4:$L$47,'_Supporto Listone'!B218)&gt;0,"Nicolò",IF(COUNTIF(Asta!$N$4:$N$47,'_Supporto Listone'!B218)&gt;0,"Vi",IF(COUNTIF(Asta!$P$4:$P$47,'_Supporto Listone'!B218)&gt;0,"Lore",IF(COUNTIF(Asta!$R$4:$R$47,'_Supporto Listone'!B218)&gt;0,"Robbo",IF(COUNTIF(Asta!$T$4:$T$47,'_Supporto Listone'!B218)&gt;0,"Ale",""))))))))))</x:f>
      </x:c>
      <x:c r="K218" s="493" t="str">
        <x:f>IF(COUNTIF(Asta!$B$4:$B$47,'_Supporto Listone'!B218)&gt;0,INDEX(Asta!$C$4:$C$47,MATCH('_Supporto Listone'!B218,Asta!$B$4:$B$47,0)),IF(COUNTIF(Asta!$D$4:$D$47,'_Supporto Listone'!B218)&gt;0,INDEX(Asta!$E$4:$E$47,MATCH('_Supporto Listone'!B218,Asta!$D$4:$D$47,0)),IF(COUNTIF(Asta!$F$4:$F$47,'_Supporto Listone'!B218)&gt;0,INDEX(Asta!$G$4:$G$47,MATCH('_Supporto Listone'!B218,Asta!$F$4:$F$47,0)),IF(COUNTIF(Asta!$H$4:$H$47,'_Supporto Listone'!B218)&gt;0,INDEX(Asta!$I$4:$I$47,MATCH('_Supporto Listone'!B218,Asta!$H$4:$H$47,0)),IF(COUNTIF(Asta!$J$4:$J$47,'_Supporto Listone'!B218)&gt;0,INDEX(Asta!$K$4:$K$47,MATCH('_Supporto Listone'!B218,Asta!$J$4:$J$47,0)),IF(COUNTIF(Asta!$L$4:$L$47,'_Supporto Listone'!B218)&gt;0,INDEX(Asta!$M$4:$M$47,MATCH('_Supporto Listone'!B218,Asta!$L$4:$L$47,0)),IF(COUNTIF(Asta!$N$4:$N$47,'_Supporto Listone'!B218)&gt;0,INDEX(Asta!$O$4:$O$47,MATCH('_Supporto Listone'!B218,Asta!$N$4:$N$47,0)),IF(COUNTIF(Asta!$P$4:$P$47,'_Supporto Listone'!B218)&gt;0,INDEX(Asta!$Q$4:$Q$47,MATCH('_Supporto Listone'!B218,Asta!$P$4:$P$47,0)),IF(COUNTIF(Asta!$R$4:$R$47,'_Supporto Listone'!B218)&gt;0,INDEX(Asta!$S$4:$S$47,MATCH('_Supporto Listone'!B218,Asta!$R$4:$R$47,0)),IF(COUNTIF(Asta!$T$4:$T$47,'_Supporto Listone'!B218)&gt;0,INDEX(Asta!$U$4:$U$47,MATCH('_Supporto Listone'!B218,Asta!$T$4:$T$47,0)),""))))))))))</x:f>
      </x:c>
    </x:row>
    <x:row r="219">
      <x:c r="A219" s="432" t="str">
        <x:f>IF($J219&lt;&gt;"",REGEXREPLACE(TO_TEXT('_Supporto Listone'!A219),"(.)","$1"&amp;UNICHAR(822)),'_Supporto Listone'!A219)</x:f>
        <x:v>D</x:v>
      </x:c>
      <x:c r="B219" s="433" t="str">
        <x:f>IF($J219&lt;&gt;"",REGEXREPLACE(TO_TEXT('_Supporto Listone'!B219),"(.)","$1"&amp;UNICHAR(822)),'_Supporto Listone'!B219)</x:f>
        <x:v>Sagrado</x:v>
      </x:c>
      <x:c r="C219" s="433" t="str">
        <x:f>IF($J219&lt;&gt;"",REGEXREPLACE(TO_TEXT('_Supporto Listone'!C219),"(.)","$1"&amp;UNICHAR(822)),'_Supporto Listone'!C219)</x:f>
        <x:v>Venezia</x:v>
      </x:c>
      <x:c r="D219" s="433" t="str">
        <x:f>IF($J219&lt;&gt;"",REGEXREPLACE(TO_TEXT('_Supporto Listone'!D219),"(.)","$1"&amp;UNICHAR(822)),'_Supporto Listone'!D219)</x:f>
        <x:v>Dd;E</x:v>
      </x:c>
      <x:c r="E219" s="433" t="str">
        <x:f>IF($J219&lt;&gt;"",REGEXREPLACE(TO_TEXT('_Supporto Listone'!E219),"(.)","$1"&amp;UNICHAR(822)),'_Supporto Listone'!E219)</x:f>
        <x:v>Riserva / rotazione</x:v>
      </x:c>
      <x:c r="F219" s="462" t="n">
        <x:f>IF($J219&lt;&gt;"",REGEXREPLACE(TO_TEXT('_Supporto Listone'!F219),"(.)","$1"&amp;UNICHAR(822)),'_Supporto Listone'!F219)</x:f>
        <x:v>2</x:v>
      </x:c>
      <x:c r="G219" s="462" t="n">
        <x:f>IF($J219&lt;&gt;"",REGEXREPLACE(TO_TEXT('_Supporto Listone'!G219),"(.)","$1"&amp;UNICHAR(822)),'_Supporto Listone'!G219)</x:f>
        <x:v>4</x:v>
      </x:c>
      <x:c r="H219" s="462" t="n">
        <x:f>IF($J219&lt;&gt;"",REGEXREPLACE(TO_TEXT('_Supporto Listone'!H219),"(.)","$1"&amp;UNICHAR(822)),'_Supporto Listone'!H219)</x:f>
        <x:v>2</x:v>
      </x:c>
      <x:c r="I219" s="434"/>
      <x:c r="J219" s="433" t="str">
        <x:f>IF(COUNTIF(Asta!$B$4:$B$47,'_Supporto Listone'!B219)&gt;0,"Simone",IF(COUNTIF(Asta!$D$4:$D$47,'_Supporto Listone'!B219)&gt;0,"Giacomo",IF(COUNTIF(Asta!$F$4:$F$47,'_Supporto Listone'!B219)&gt;0,"Niko",IF(COUNTIF(Asta!$H$4:$H$47,'_Supporto Listone'!B219)&gt;0,"Quici",IF(COUNTIF(Asta!$J$4:$J$47,'_Supporto Listone'!B219)&gt;0,"Fratello Quici",IF(COUNTIF(Asta!$L$4:$L$47,'_Supporto Listone'!B219)&gt;0,"Nicolò",IF(COUNTIF(Asta!$N$4:$N$47,'_Supporto Listone'!B219)&gt;0,"Vi",IF(COUNTIF(Asta!$P$4:$P$47,'_Supporto Listone'!B219)&gt;0,"Lore",IF(COUNTIF(Asta!$R$4:$R$47,'_Supporto Listone'!B219)&gt;0,"Robbo",IF(COUNTIF(Asta!$T$4:$T$47,'_Supporto Listone'!B219)&gt;0,"Ale",""))))))))))</x:f>
      </x:c>
      <x:c r="K219" s="493" t="str">
        <x:f>IF(COUNTIF(Asta!$B$4:$B$47,'_Supporto Listone'!B219)&gt;0,INDEX(Asta!$C$4:$C$47,MATCH('_Supporto Listone'!B219,Asta!$B$4:$B$47,0)),IF(COUNTIF(Asta!$D$4:$D$47,'_Supporto Listone'!B219)&gt;0,INDEX(Asta!$E$4:$E$47,MATCH('_Supporto Listone'!B219,Asta!$D$4:$D$47,0)),IF(COUNTIF(Asta!$F$4:$F$47,'_Supporto Listone'!B219)&gt;0,INDEX(Asta!$G$4:$G$47,MATCH('_Supporto Listone'!B219,Asta!$F$4:$F$47,0)),IF(COUNTIF(Asta!$H$4:$H$47,'_Supporto Listone'!B219)&gt;0,INDEX(Asta!$I$4:$I$47,MATCH('_Supporto Listone'!B219,Asta!$H$4:$H$47,0)),IF(COUNTIF(Asta!$J$4:$J$47,'_Supporto Listone'!B219)&gt;0,INDEX(Asta!$K$4:$K$47,MATCH('_Supporto Listone'!B219,Asta!$J$4:$J$47,0)),IF(COUNTIF(Asta!$L$4:$L$47,'_Supporto Listone'!B219)&gt;0,INDEX(Asta!$M$4:$M$47,MATCH('_Supporto Listone'!B219,Asta!$L$4:$L$47,0)),IF(COUNTIF(Asta!$N$4:$N$47,'_Supporto Listone'!B219)&gt;0,INDEX(Asta!$O$4:$O$47,MATCH('_Supporto Listone'!B219,Asta!$N$4:$N$47,0)),IF(COUNTIF(Asta!$P$4:$P$47,'_Supporto Listone'!B219)&gt;0,INDEX(Asta!$Q$4:$Q$47,MATCH('_Supporto Listone'!B219,Asta!$P$4:$P$47,0)),IF(COUNTIF(Asta!$R$4:$R$47,'_Supporto Listone'!B219)&gt;0,INDEX(Asta!$S$4:$S$47,MATCH('_Supporto Listone'!B219,Asta!$R$4:$R$47,0)),IF(COUNTIF(Asta!$T$4:$T$47,'_Supporto Listone'!B219)&gt;0,INDEX(Asta!$U$4:$U$47,MATCH('_Supporto Listone'!B219,Asta!$T$4:$T$47,0)),""))))))))))</x:f>
      </x:c>
    </x:row>
    <x:row r="220">
      <x:c r="A220" s="432" t="str">
        <x:f>IF($J220&lt;&gt;"",REGEXREPLACE(TO_TEXT('_Supporto Listone'!A220),"(.)","$1"&amp;UNICHAR(822)),'_Supporto Listone'!A220)</x:f>
        <x:v>D</x:v>
      </x:c>
      <x:c r="B220" s="433" t="str">
        <x:f>IF($J220&lt;&gt;"",REGEXREPLACE(TO_TEXT('_Supporto Listone'!B220),"(.)","$1"&amp;UNICHAR(822)),'_Supporto Listone'!B220)</x:f>
        <x:v>De Silvestri</x:v>
      </x:c>
      <x:c r="C220" s="433" t="str">
        <x:f>IF($J220&lt;&gt;"",REGEXREPLACE(TO_TEXT('_Supporto Listone'!C220),"(.)","$1"&amp;UNICHAR(822)),'_Supporto Listone'!C220)</x:f>
        <x:v>Bologna</x:v>
      </x:c>
      <x:c r="D220" s="433" t="str">
        <x:f>IF($J220&lt;&gt;"",REGEXREPLACE(TO_TEXT('_Supporto Listone'!D220),"(.)","$1"&amp;UNICHAR(822)),'_Supporto Listone'!D220)</x:f>
        <x:v>Dd;E</x:v>
      </x:c>
      <x:c r="E220" s="433" t="str">
        <x:f>IF($J220&lt;&gt;"",REGEXREPLACE(TO_TEXT('_Supporto Listone'!E220),"(.)","$1"&amp;UNICHAR(822)),'_Supporto Listone'!E220)</x:f>
        <x:v>Riserva / rotazione</x:v>
      </x:c>
      <x:c r="F220" s="462" t="n">
        <x:f>IF($J220&lt;&gt;"",REGEXREPLACE(TO_TEXT('_Supporto Listone'!F220),"(.)","$1"&amp;UNICHAR(822)),'_Supporto Listone'!F220)</x:f>
        <x:v>1</x:v>
      </x:c>
      <x:c r="G220" s="462" t="n">
        <x:f>IF($J220&lt;&gt;"",REGEXREPLACE(TO_TEXT('_Supporto Listone'!G220),"(.)","$1"&amp;UNICHAR(822)),'_Supporto Listone'!G220)</x:f>
        <x:v>4</x:v>
      </x:c>
      <x:c r="H220" s="462" t="n">
        <x:f>IF($J220&lt;&gt;"",REGEXREPLACE(TO_TEXT('_Supporto Listone'!H220),"(.)","$1"&amp;UNICHAR(822)),'_Supporto Listone'!H220)</x:f>
        <x:v>2</x:v>
      </x:c>
      <x:c r="I220" s="434"/>
      <x:c r="J220" s="433" t="str">
        <x:f>IF(COUNTIF(Asta!$B$4:$B$47,'_Supporto Listone'!B220)&gt;0,"Simone",IF(COUNTIF(Asta!$D$4:$D$47,'_Supporto Listone'!B220)&gt;0,"Giacomo",IF(COUNTIF(Asta!$F$4:$F$47,'_Supporto Listone'!B220)&gt;0,"Niko",IF(COUNTIF(Asta!$H$4:$H$47,'_Supporto Listone'!B220)&gt;0,"Quici",IF(COUNTIF(Asta!$J$4:$J$47,'_Supporto Listone'!B220)&gt;0,"Fratello Quici",IF(COUNTIF(Asta!$L$4:$L$47,'_Supporto Listone'!B220)&gt;0,"Nicolò",IF(COUNTIF(Asta!$N$4:$N$47,'_Supporto Listone'!B220)&gt;0,"Vi",IF(COUNTIF(Asta!$P$4:$P$47,'_Supporto Listone'!B220)&gt;0,"Lore",IF(COUNTIF(Asta!$R$4:$R$47,'_Supporto Listone'!B220)&gt;0,"Robbo",IF(COUNTIF(Asta!$T$4:$T$47,'_Supporto Listone'!B220)&gt;0,"Ale",""))))))))))</x:f>
      </x:c>
      <x:c r="K220" s="493" t="str">
        <x:f>IF(COUNTIF(Asta!$B$4:$B$47,'_Supporto Listone'!B220)&gt;0,INDEX(Asta!$C$4:$C$47,MATCH('_Supporto Listone'!B220,Asta!$B$4:$B$47,0)),IF(COUNTIF(Asta!$D$4:$D$47,'_Supporto Listone'!B220)&gt;0,INDEX(Asta!$E$4:$E$47,MATCH('_Supporto Listone'!B220,Asta!$D$4:$D$47,0)),IF(COUNTIF(Asta!$F$4:$F$47,'_Supporto Listone'!B220)&gt;0,INDEX(Asta!$G$4:$G$47,MATCH('_Supporto Listone'!B220,Asta!$F$4:$F$47,0)),IF(COUNTIF(Asta!$H$4:$H$47,'_Supporto Listone'!B220)&gt;0,INDEX(Asta!$I$4:$I$47,MATCH('_Supporto Listone'!B220,Asta!$H$4:$H$47,0)),IF(COUNTIF(Asta!$J$4:$J$47,'_Supporto Listone'!B220)&gt;0,INDEX(Asta!$K$4:$K$47,MATCH('_Supporto Listone'!B220,Asta!$J$4:$J$47,0)),IF(COUNTIF(Asta!$L$4:$L$47,'_Supporto Listone'!B220)&gt;0,INDEX(Asta!$M$4:$M$47,MATCH('_Supporto Listone'!B220,Asta!$L$4:$L$47,0)),IF(COUNTIF(Asta!$N$4:$N$47,'_Supporto Listone'!B220)&gt;0,INDEX(Asta!$O$4:$O$47,MATCH('_Supporto Listone'!B220,Asta!$N$4:$N$47,0)),IF(COUNTIF(Asta!$P$4:$P$47,'_Supporto Listone'!B220)&gt;0,INDEX(Asta!$Q$4:$Q$47,MATCH('_Supporto Listone'!B220,Asta!$P$4:$P$47,0)),IF(COUNTIF(Asta!$R$4:$R$47,'_Supporto Listone'!B220)&gt;0,INDEX(Asta!$S$4:$S$47,MATCH('_Supporto Listone'!B220,Asta!$R$4:$R$47,0)),IF(COUNTIF(Asta!$T$4:$T$47,'_Supporto Listone'!B220)&gt;0,INDEX(Asta!$U$4:$U$47,MATCH('_Supporto Listone'!B220,Asta!$T$4:$T$47,0)),""))))))))))</x:f>
      </x:c>
    </x:row>
    <x:row r="221">
      <x:c r="A221" s="432" t="str">
        <x:f>IF($J221&lt;&gt;"",REGEXREPLACE(TO_TEXT('_Supporto Listone'!A221),"(.)","$1"&amp;UNICHAR(822)),'_Supporto Listone'!A221)</x:f>
        <x:v>D</x:v>
      </x:c>
      <x:c r="B221" s="433" t="str">
        <x:f>IF($J221&lt;&gt;"",REGEXREPLACE(TO_TEXT('_Supporto Listone'!B221),"(.)","$1"&amp;UNICHAR(822)),'_Supporto Listone'!B221)</x:f>
        <x:v>Raterink</x:v>
      </x:c>
      <x:c r="C221" s="433" t="str">
        <x:f>IF($J221&lt;&gt;"",REGEXREPLACE(TO_TEXT('_Supporto Listone'!C221),"(.)","$1"&amp;UNICHAR(822)),'_Supporto Listone'!C221)</x:f>
        <x:v>Cagliari</x:v>
      </x:c>
      <x:c r="D221" s="433" t="str">
        <x:f>IF($J221&lt;&gt;"",REGEXREPLACE(TO_TEXT('_Supporto Listone'!D221),"(.)","$1"&amp;UNICHAR(822)),'_Supporto Listone'!D221)</x:f>
        <x:v>Dd;E</x:v>
      </x:c>
      <x:c r="E221" s="433" t="str">
        <x:f>IF($J221&lt;&gt;"",REGEXREPLACE(TO_TEXT('_Supporto Listone'!E221),"(.)","$1"&amp;UNICHAR(822)),'_Supporto Listone'!E221)</x:f>
        <x:v>Riserva / rotazione</x:v>
      </x:c>
      <x:c r="F221" s="462" t="n">
        <x:f>IF($J221&lt;&gt;"",REGEXREPLACE(TO_TEXT('_Supporto Listone'!F221),"(.)","$1"&amp;UNICHAR(822)),'_Supporto Listone'!F221)</x:f>
        <x:v>1</x:v>
      </x:c>
      <x:c r="G221" s="462" t="n">
        <x:f>IF($J221&lt;&gt;"",REGEXREPLACE(TO_TEXT('_Supporto Listone'!G221),"(.)","$1"&amp;UNICHAR(822)),'_Supporto Listone'!G221)</x:f>
        <x:v>1</x:v>
      </x:c>
      <x:c r="H221" s="462" t="n">
        <x:f>IF($J221&lt;&gt;"",REGEXREPLACE(TO_TEXT('_Supporto Listone'!H221),"(.)","$1"&amp;UNICHAR(822)),'_Supporto Listone'!H221)</x:f>
        <x:v>1</x:v>
      </x:c>
      <x:c r="I221" s="434"/>
      <x:c r="J221" s="433" t="str">
        <x:f>IF(COUNTIF(Asta!$B$4:$B$47,'_Supporto Listone'!B221)&gt;0,"Simone",IF(COUNTIF(Asta!$D$4:$D$47,'_Supporto Listone'!B221)&gt;0,"Giacomo",IF(COUNTIF(Asta!$F$4:$F$47,'_Supporto Listone'!B221)&gt;0,"Niko",IF(COUNTIF(Asta!$H$4:$H$47,'_Supporto Listone'!B221)&gt;0,"Quici",IF(COUNTIF(Asta!$J$4:$J$47,'_Supporto Listone'!B221)&gt;0,"Fratello Quici",IF(COUNTIF(Asta!$L$4:$L$47,'_Supporto Listone'!B221)&gt;0,"Nicolò",IF(COUNTIF(Asta!$N$4:$N$47,'_Supporto Listone'!B221)&gt;0,"Vi",IF(COUNTIF(Asta!$P$4:$P$47,'_Supporto Listone'!B221)&gt;0,"Lore",IF(COUNTIF(Asta!$R$4:$R$47,'_Supporto Listone'!B221)&gt;0,"Robbo",IF(COUNTIF(Asta!$T$4:$T$47,'_Supporto Listone'!B221)&gt;0,"Ale",""))))))))))</x:f>
      </x:c>
      <x:c r="K221" s="493" t="str">
        <x:f>IF(COUNTIF(Asta!$B$4:$B$47,'_Supporto Listone'!B221)&gt;0,INDEX(Asta!$C$4:$C$47,MATCH('_Supporto Listone'!B221,Asta!$B$4:$B$47,0)),IF(COUNTIF(Asta!$D$4:$D$47,'_Supporto Listone'!B221)&gt;0,INDEX(Asta!$E$4:$E$47,MATCH('_Supporto Listone'!B221,Asta!$D$4:$D$47,0)),IF(COUNTIF(Asta!$F$4:$F$47,'_Supporto Listone'!B221)&gt;0,INDEX(Asta!$G$4:$G$47,MATCH('_Supporto Listone'!B221,Asta!$F$4:$F$47,0)),IF(COUNTIF(Asta!$H$4:$H$47,'_Supporto Listone'!B221)&gt;0,INDEX(Asta!$I$4:$I$47,MATCH('_Supporto Listone'!B221,Asta!$H$4:$H$47,0)),IF(COUNTIF(Asta!$J$4:$J$47,'_Supporto Listone'!B221)&gt;0,INDEX(Asta!$K$4:$K$47,MATCH('_Supporto Listone'!B221,Asta!$J$4:$J$47,0)),IF(COUNTIF(Asta!$L$4:$L$47,'_Supporto Listone'!B221)&gt;0,INDEX(Asta!$M$4:$M$47,MATCH('_Supporto Listone'!B221,Asta!$L$4:$L$47,0)),IF(COUNTIF(Asta!$N$4:$N$47,'_Supporto Listone'!B221)&gt;0,INDEX(Asta!$O$4:$O$47,MATCH('_Supporto Listone'!B221,Asta!$N$4:$N$47,0)),IF(COUNTIF(Asta!$P$4:$P$47,'_Supporto Listone'!B221)&gt;0,INDEX(Asta!$Q$4:$Q$47,MATCH('_Supporto Listone'!B221,Asta!$P$4:$P$47,0)),IF(COUNTIF(Asta!$R$4:$R$47,'_Supporto Listone'!B221)&gt;0,INDEX(Asta!$S$4:$S$47,MATCH('_Supporto Listone'!B221,Asta!$R$4:$R$47,0)),IF(COUNTIF(Asta!$T$4:$T$47,'_Supporto Listone'!B221)&gt;0,INDEX(Asta!$U$4:$U$47,MATCH('_Supporto Listone'!B221,Asta!$T$4:$T$47,0)),""))))))))))</x:f>
      </x:c>
    </x:row>
    <x:row r="222">
      <x:c r="A222" s="432" t="str">
        <x:f>IF($J222&lt;&gt;"",REGEXREPLACE(TO_TEXT('_Supporto Listone'!A222),"(.)","$1"&amp;UNICHAR(822)),'_Supporto Listone'!A222)</x:f>
        <x:v>D</x:v>
      </x:c>
      <x:c r="B222" s="433" t="str">
        <x:f>IF($J222&lt;&gt;"",REGEXREPLACE(TO_TEXT('_Supporto Listone'!B222),"(.)","$1"&amp;UNICHAR(822)),'_Supporto Listone'!B222)</x:f>
        <x:v>Cuenca A.</x:v>
      </x:c>
      <x:c r="C222" s="433" t="str">
        <x:f>IF($J222&lt;&gt;"",REGEXREPLACE(TO_TEXT('_Supporto Listone'!C222),"(.)","$1"&amp;UNICHAR(822)),'_Supporto Listone'!C222)</x:f>
        <x:v>Como</x:v>
      </x:c>
      <x:c r="D222" s="433" t="str">
        <x:f>IF($J222&lt;&gt;"",REGEXREPLACE(TO_TEXT('_Supporto Listone'!D222),"(.)","$1"&amp;UNICHAR(822)),'_Supporto Listone'!D222)</x:f>
        <x:v>Ds;Dc</x:v>
      </x:c>
      <x:c r="E222" s="433" t="str">
        <x:f>IF($J222&lt;&gt;"",REGEXREPLACE(TO_TEXT('_Supporto Listone'!E222),"(.)","$1"&amp;UNICHAR(822)),'_Supporto Listone'!E222)</x:f>
        <x:v>Riserva / rotazione</x:v>
      </x:c>
      <x:c r="F222" s="462" t="n">
        <x:f>IF($J222&lt;&gt;"",REGEXREPLACE(TO_TEXT('_Supporto Listone'!F222),"(.)","$1"&amp;UNICHAR(822)),'_Supporto Listone'!F222)</x:f>
        <x:v>1</x:v>
      </x:c>
      <x:c r="G222" s="462" t="n">
        <x:f>IF($J222&lt;&gt;"",REGEXREPLACE(TO_TEXT('_Supporto Listone'!G222),"(.)","$1"&amp;UNICHAR(822)),'_Supporto Listone'!G222)</x:f>
        <x:v>8</x:v>
      </x:c>
      <x:c r="H222" s="462" t="n">
        <x:f>IF($J222&lt;&gt;"",REGEXREPLACE(TO_TEXT('_Supporto Listone'!H222),"(.)","$1"&amp;UNICHAR(822)),'_Supporto Listone'!H222)</x:f>
        <x:v>4</x:v>
      </x:c>
      <x:c r="I222" s="434"/>
      <x:c r="J222" s="433" t="str">
        <x:f>IF(COUNTIF(Asta!$B$4:$B$47,'_Supporto Listone'!B222)&gt;0,"Simone",IF(COUNTIF(Asta!$D$4:$D$47,'_Supporto Listone'!B222)&gt;0,"Giacomo",IF(COUNTIF(Asta!$F$4:$F$47,'_Supporto Listone'!B222)&gt;0,"Niko",IF(COUNTIF(Asta!$H$4:$H$47,'_Supporto Listone'!B222)&gt;0,"Quici",IF(COUNTIF(Asta!$J$4:$J$47,'_Supporto Listone'!B222)&gt;0,"Fratello Quici",IF(COUNTIF(Asta!$L$4:$L$47,'_Supporto Listone'!B222)&gt;0,"Nicolò",IF(COUNTIF(Asta!$N$4:$N$47,'_Supporto Listone'!B222)&gt;0,"Vi",IF(COUNTIF(Asta!$P$4:$P$47,'_Supporto Listone'!B222)&gt;0,"Lore",IF(COUNTIF(Asta!$R$4:$R$47,'_Supporto Listone'!B222)&gt;0,"Robbo",IF(COUNTIF(Asta!$T$4:$T$47,'_Supporto Listone'!B222)&gt;0,"Ale",""))))))))))</x:f>
      </x:c>
      <x:c r="K222" s="493" t="str">
        <x:f>IF(COUNTIF(Asta!$B$4:$B$47,'_Supporto Listone'!B222)&gt;0,INDEX(Asta!$C$4:$C$47,MATCH('_Supporto Listone'!B222,Asta!$B$4:$B$47,0)),IF(COUNTIF(Asta!$D$4:$D$47,'_Supporto Listone'!B222)&gt;0,INDEX(Asta!$E$4:$E$47,MATCH('_Supporto Listone'!B222,Asta!$D$4:$D$47,0)),IF(COUNTIF(Asta!$F$4:$F$47,'_Supporto Listone'!B222)&gt;0,INDEX(Asta!$G$4:$G$47,MATCH('_Supporto Listone'!B222,Asta!$F$4:$F$47,0)),IF(COUNTIF(Asta!$H$4:$H$47,'_Supporto Listone'!B222)&gt;0,INDEX(Asta!$I$4:$I$47,MATCH('_Supporto Listone'!B222,Asta!$H$4:$H$47,0)),IF(COUNTIF(Asta!$J$4:$J$47,'_Supporto Listone'!B222)&gt;0,INDEX(Asta!$K$4:$K$47,MATCH('_Supporto Listone'!B222,Asta!$J$4:$J$47,0)),IF(COUNTIF(Asta!$L$4:$L$47,'_Supporto Listone'!B222)&gt;0,INDEX(Asta!$M$4:$M$47,MATCH('_Supporto Listone'!B222,Asta!$L$4:$L$47,0)),IF(COUNTIF(Asta!$N$4:$N$47,'_Supporto Listone'!B222)&gt;0,INDEX(Asta!$O$4:$O$47,MATCH('_Supporto Listone'!B222,Asta!$N$4:$N$47,0)),IF(COUNTIF(Asta!$P$4:$P$47,'_Supporto Listone'!B222)&gt;0,INDEX(Asta!$Q$4:$Q$47,MATCH('_Supporto Listone'!B222,Asta!$P$4:$P$47,0)),IF(COUNTIF(Asta!$R$4:$R$47,'_Supporto Listone'!B222)&gt;0,INDEX(Asta!$S$4:$S$47,MATCH('_Supporto Listone'!B222,Asta!$R$4:$R$47,0)),IF(COUNTIF(Asta!$T$4:$T$47,'_Supporto Listone'!B222)&gt;0,INDEX(Asta!$U$4:$U$47,MATCH('_Supporto Listone'!B222,Asta!$T$4:$T$47,0)),""))))))))))</x:f>
      </x:c>
    </x:row>
    <x:row r="223">
      <x:c r="A223" s="432" t="str">
        <x:f>IF($J223&lt;&gt;"",REGEXREPLACE(TO_TEXT('_Supporto Listone'!A223),"(.)","$1"&amp;UNICHAR(822)),'_Supporto Listone'!A223)</x:f>
        <x:v>D</x:v>
      </x:c>
      <x:c r="B223" s="433" t="str">
        <x:f>IF($J223&lt;&gt;"",REGEXREPLACE(TO_TEXT('_Supporto Listone'!B223),"(.)","$1"&amp;UNICHAR(822)),'_Supporto Listone'!B223)</x:f>
        <x:v>Goldaniga</x:v>
      </x:c>
      <x:c r="C223" s="433" t="str">
        <x:f>IF($J223&lt;&gt;"",REGEXREPLACE(TO_TEXT('_Supporto Listone'!C223),"(.)","$1"&amp;UNICHAR(822)),'_Supporto Listone'!C223)</x:f>
        <x:v>Como</x:v>
      </x:c>
      <x:c r="D223" s="433" t="str">
        <x:f>IF($J223&lt;&gt;"",REGEXREPLACE(TO_TEXT('_Supporto Listone'!D223),"(.)","$1"&amp;UNICHAR(822)),'_Supporto Listone'!D223)</x:f>
        <x:v>Dc</x:v>
      </x:c>
      <x:c r="E223" s="433" t="str">
        <x:f>IF($J223&lt;&gt;"",REGEXREPLACE(TO_TEXT('_Supporto Listone'!E223),"(.)","$1"&amp;UNICHAR(822)),'_Supporto Listone'!E223)</x:f>
        <x:v>Riserva / rotazione</x:v>
      </x:c>
      <x:c r="F223" s="462" t="n">
        <x:f>IF($J223&lt;&gt;"",REGEXREPLACE(TO_TEXT('_Supporto Listone'!F223),"(.)","$1"&amp;UNICHAR(822)),'_Supporto Listone'!F223)</x:f>
        <x:v>1</x:v>
      </x:c>
      <x:c r="G223" s="462" t="n">
        <x:f>IF($J223&lt;&gt;"",REGEXREPLACE(TO_TEXT('_Supporto Listone'!G223),"(.)","$1"&amp;UNICHAR(822)),'_Supporto Listone'!G223)</x:f>
        <x:v>1</x:v>
      </x:c>
      <x:c r="H223" s="462" t="n">
        <x:f>IF($J223&lt;&gt;"",REGEXREPLACE(TO_TEXT('_Supporto Listone'!H223),"(.)","$1"&amp;UNICHAR(822)),'_Supporto Listone'!H223)</x:f>
        <x:v>1</x:v>
      </x:c>
      <x:c r="I223" s="434"/>
      <x:c r="J223" s="433" t="str">
        <x:f>IF(COUNTIF(Asta!$B$4:$B$47,'_Supporto Listone'!B223)&gt;0,"Simone",IF(COUNTIF(Asta!$D$4:$D$47,'_Supporto Listone'!B223)&gt;0,"Giacomo",IF(COUNTIF(Asta!$F$4:$F$47,'_Supporto Listone'!B223)&gt;0,"Niko",IF(COUNTIF(Asta!$H$4:$H$47,'_Supporto Listone'!B223)&gt;0,"Quici",IF(COUNTIF(Asta!$J$4:$J$47,'_Supporto Listone'!B223)&gt;0,"Fratello Quici",IF(COUNTIF(Asta!$L$4:$L$47,'_Supporto Listone'!B223)&gt;0,"Nicolò",IF(COUNTIF(Asta!$N$4:$N$47,'_Supporto Listone'!B223)&gt;0,"Vi",IF(COUNTIF(Asta!$P$4:$P$47,'_Supporto Listone'!B223)&gt;0,"Lore",IF(COUNTIF(Asta!$R$4:$R$47,'_Supporto Listone'!B223)&gt;0,"Robbo",IF(COUNTIF(Asta!$T$4:$T$47,'_Supporto Listone'!B223)&gt;0,"Ale",""))))))))))</x:f>
      </x:c>
      <x:c r="K223" s="493" t="str">
        <x:f>IF(COUNTIF(Asta!$B$4:$B$47,'_Supporto Listone'!B223)&gt;0,INDEX(Asta!$C$4:$C$47,MATCH('_Supporto Listone'!B223,Asta!$B$4:$B$47,0)),IF(COUNTIF(Asta!$D$4:$D$47,'_Supporto Listone'!B223)&gt;0,INDEX(Asta!$E$4:$E$47,MATCH('_Supporto Listone'!B223,Asta!$D$4:$D$47,0)),IF(COUNTIF(Asta!$F$4:$F$47,'_Supporto Listone'!B223)&gt;0,INDEX(Asta!$G$4:$G$47,MATCH('_Supporto Listone'!B223,Asta!$F$4:$F$47,0)),IF(COUNTIF(Asta!$H$4:$H$47,'_Supporto Listone'!B223)&gt;0,INDEX(Asta!$I$4:$I$47,MATCH('_Supporto Listone'!B223,Asta!$H$4:$H$47,0)),IF(COUNTIF(Asta!$J$4:$J$47,'_Supporto Listone'!B223)&gt;0,INDEX(Asta!$K$4:$K$47,MATCH('_Supporto Listone'!B223,Asta!$J$4:$J$47,0)),IF(COUNTIF(Asta!$L$4:$L$47,'_Supporto Listone'!B223)&gt;0,INDEX(Asta!$M$4:$M$47,MATCH('_Supporto Listone'!B223,Asta!$L$4:$L$47,0)),IF(COUNTIF(Asta!$N$4:$N$47,'_Supporto Listone'!B223)&gt;0,INDEX(Asta!$O$4:$O$47,MATCH('_Supporto Listone'!B223,Asta!$N$4:$N$47,0)),IF(COUNTIF(Asta!$P$4:$P$47,'_Supporto Listone'!B223)&gt;0,INDEX(Asta!$Q$4:$Q$47,MATCH('_Supporto Listone'!B223,Asta!$P$4:$P$47,0)),IF(COUNTIF(Asta!$R$4:$R$47,'_Supporto Listone'!B223)&gt;0,INDEX(Asta!$S$4:$S$47,MATCH('_Supporto Listone'!B223,Asta!$R$4:$R$47,0)),IF(COUNTIF(Asta!$T$4:$T$47,'_Supporto Listone'!B223)&gt;0,INDEX(Asta!$U$4:$U$47,MATCH('_Supporto Listone'!B223,Asta!$T$4:$T$47,0)),""))))))))))</x:f>
      </x:c>
    </x:row>
    <x:row r="224">
      <x:c r="A224" s="432" t="str">
        <x:f>IF($J224&lt;&gt;"",REGEXREPLACE(TO_TEXT('_Supporto Listone'!A224),"(.)","$1"&amp;UNICHAR(822)),'_Supporto Listone'!A224)</x:f>
        <x:v>D</x:v>
      </x:c>
      <x:c r="B224" s="433" t="str">
        <x:f>IF($J224&lt;&gt;"",REGEXREPLACE(TO_TEXT('_Supporto Listone'!B224),"(.)","$1"&amp;UNICHAR(822)),'_Supporto Listone'!B224)</x:f>
        <x:v>Amey</x:v>
      </x:c>
      <x:c r="C224" s="433" t="str">
        <x:f>IF($J224&lt;&gt;"",REGEXREPLACE(TO_TEXT('_Supporto Listone'!C224),"(.)","$1"&amp;UNICHAR(822)),'_Supporto Listone'!C224)</x:f>
        <x:v>Frosinone</x:v>
      </x:c>
      <x:c r="D224" s="433" t="str">
        <x:f>IF($J224&lt;&gt;"",REGEXREPLACE(TO_TEXT('_Supporto Listone'!D224),"(.)","$1"&amp;UNICHAR(822)),'_Supporto Listone'!D224)</x:f>
        <x:v>Dc</x:v>
      </x:c>
      <x:c r="E224" s="433" t="str">
        <x:f>IF($J224&lt;&gt;"",REGEXREPLACE(TO_TEXT('_Supporto Listone'!E224),"(.)","$1"&amp;UNICHAR(822)),'_Supporto Listone'!E224)</x:f>
        <x:v>Riserva / rotazione</x:v>
      </x:c>
      <x:c r="F224" s="462" t="n">
        <x:f>IF($J224&lt;&gt;"",REGEXREPLACE(TO_TEXT('_Supporto Listone'!F224),"(.)","$1"&amp;UNICHAR(822)),'_Supporto Listone'!F224)</x:f>
        <x:v>1</x:v>
      </x:c>
      <x:c r="G224" s="462" t="n">
        <x:f>IF($J224&lt;&gt;"",REGEXREPLACE(TO_TEXT('_Supporto Listone'!G224),"(.)","$1"&amp;UNICHAR(822)),'_Supporto Listone'!G224)</x:f>
        <x:v>1</x:v>
      </x:c>
      <x:c r="H224" s="462" t="n">
        <x:f>IF($J224&lt;&gt;"",REGEXREPLACE(TO_TEXT('_Supporto Listone'!H224),"(.)","$1"&amp;UNICHAR(822)),'_Supporto Listone'!H224)</x:f>
        <x:v>1</x:v>
      </x:c>
      <x:c r="I224" s="434"/>
      <x:c r="J224" s="433" t="str">
        <x:f>IF(COUNTIF(Asta!$B$4:$B$47,'_Supporto Listone'!B224)&gt;0,"Simone",IF(COUNTIF(Asta!$D$4:$D$47,'_Supporto Listone'!B224)&gt;0,"Giacomo",IF(COUNTIF(Asta!$F$4:$F$47,'_Supporto Listone'!B224)&gt;0,"Niko",IF(COUNTIF(Asta!$H$4:$H$47,'_Supporto Listone'!B224)&gt;0,"Quici",IF(COUNTIF(Asta!$J$4:$J$47,'_Supporto Listone'!B224)&gt;0,"Fratello Quici",IF(COUNTIF(Asta!$L$4:$L$47,'_Supporto Listone'!B224)&gt;0,"Nicolò",IF(COUNTIF(Asta!$N$4:$N$47,'_Supporto Listone'!B224)&gt;0,"Vi",IF(COUNTIF(Asta!$P$4:$P$47,'_Supporto Listone'!B224)&gt;0,"Lore",IF(COUNTIF(Asta!$R$4:$R$47,'_Supporto Listone'!B224)&gt;0,"Robbo",IF(COUNTIF(Asta!$T$4:$T$47,'_Supporto Listone'!B224)&gt;0,"Ale",""))))))))))</x:f>
      </x:c>
      <x:c r="K224" s="493" t="str">
        <x:f>IF(COUNTIF(Asta!$B$4:$B$47,'_Supporto Listone'!B224)&gt;0,INDEX(Asta!$C$4:$C$47,MATCH('_Supporto Listone'!B224,Asta!$B$4:$B$47,0)),IF(COUNTIF(Asta!$D$4:$D$47,'_Supporto Listone'!B224)&gt;0,INDEX(Asta!$E$4:$E$47,MATCH('_Supporto Listone'!B224,Asta!$D$4:$D$47,0)),IF(COUNTIF(Asta!$F$4:$F$47,'_Supporto Listone'!B224)&gt;0,INDEX(Asta!$G$4:$G$47,MATCH('_Supporto Listone'!B224,Asta!$F$4:$F$47,0)),IF(COUNTIF(Asta!$H$4:$H$47,'_Supporto Listone'!B224)&gt;0,INDEX(Asta!$I$4:$I$47,MATCH('_Supporto Listone'!B224,Asta!$H$4:$H$47,0)),IF(COUNTIF(Asta!$J$4:$J$47,'_Supporto Listone'!B224)&gt;0,INDEX(Asta!$K$4:$K$47,MATCH('_Supporto Listone'!B224,Asta!$J$4:$J$47,0)),IF(COUNTIF(Asta!$L$4:$L$47,'_Supporto Listone'!B224)&gt;0,INDEX(Asta!$M$4:$M$47,MATCH('_Supporto Listone'!B224,Asta!$L$4:$L$47,0)),IF(COUNTIF(Asta!$N$4:$N$47,'_Supporto Listone'!B224)&gt;0,INDEX(Asta!$O$4:$O$47,MATCH('_Supporto Listone'!B224,Asta!$N$4:$N$47,0)),IF(COUNTIF(Asta!$P$4:$P$47,'_Supporto Listone'!B224)&gt;0,INDEX(Asta!$Q$4:$Q$47,MATCH('_Supporto Listone'!B224,Asta!$P$4:$P$47,0)),IF(COUNTIF(Asta!$R$4:$R$47,'_Supporto Listone'!B224)&gt;0,INDEX(Asta!$S$4:$S$47,MATCH('_Supporto Listone'!B224,Asta!$R$4:$R$47,0)),IF(COUNTIF(Asta!$T$4:$T$47,'_Supporto Listone'!B224)&gt;0,INDEX(Asta!$U$4:$U$47,MATCH('_Supporto Listone'!B224,Asta!$T$4:$T$47,0)),""))))))))))</x:f>
      </x:c>
    </x:row>
    <x:row r="225">
      <x:c r="A225" s="432" t="str">
        <x:f>IF($J225&lt;&gt;"",REGEXREPLACE(TO_TEXT('_Supporto Listone'!A225),"(.)","$1"&amp;UNICHAR(822)),'_Supporto Listone'!A225)</x:f>
        <x:v>D</x:v>
      </x:c>
      <x:c r="B225" s="433" t="str">
        <x:f>IF($J225&lt;&gt;"",REGEXREPLACE(TO_TEXT('_Supporto Listone'!B225),"(.)","$1"&amp;UNICHAR(822)),'_Supporto Listone'!B225)</x:f>
        <x:v>Corrado</x:v>
      </x:c>
      <x:c r="C225" s="433" t="str">
        <x:f>IF($J225&lt;&gt;"",REGEXREPLACE(TO_TEXT('_Supporto Listone'!C225),"(.)","$1"&amp;UNICHAR(822)),'_Supporto Listone'!C225)</x:f>
        <x:v>Frosinone</x:v>
      </x:c>
      <x:c r="D225" s="433" t="str">
        <x:f>IF($J225&lt;&gt;"",REGEXREPLACE(TO_TEXT('_Supporto Listone'!D225),"(.)","$1"&amp;UNICHAR(822)),'_Supporto Listone'!D225)</x:f>
        <x:v>Ds;E</x:v>
      </x:c>
      <x:c r="E225" s="433" t="str">
        <x:f>IF($J225&lt;&gt;"",REGEXREPLACE(TO_TEXT('_Supporto Listone'!E225),"(.)","$1"&amp;UNICHAR(822)),'_Supporto Listone'!E225)</x:f>
        <x:v>Riserva / rotazione</x:v>
      </x:c>
      <x:c r="F225" s="462" t="n">
        <x:f>IF($J225&lt;&gt;"",REGEXREPLACE(TO_TEXT('_Supporto Listone'!F225),"(.)","$1"&amp;UNICHAR(822)),'_Supporto Listone'!F225)</x:f>
        <x:v>1</x:v>
      </x:c>
      <x:c r="G225" s="462" t="n">
        <x:f>IF($J225&lt;&gt;"",REGEXREPLACE(TO_TEXT('_Supporto Listone'!G225),"(.)","$1"&amp;UNICHAR(822)),'_Supporto Listone'!G225)</x:f>
        <x:v>3</x:v>
      </x:c>
      <x:c r="H225" s="462" t="n">
        <x:f>IF($J225&lt;&gt;"",REGEXREPLACE(TO_TEXT('_Supporto Listone'!H225),"(.)","$1"&amp;UNICHAR(822)),'_Supporto Listone'!H225)</x:f>
        <x:v>2</x:v>
      </x:c>
      <x:c r="I225" s="434"/>
      <x:c r="J225" s="433" t="str">
        <x:f>IF(COUNTIF(Asta!$B$4:$B$47,'_Supporto Listone'!B225)&gt;0,"Simone",IF(COUNTIF(Asta!$D$4:$D$47,'_Supporto Listone'!B225)&gt;0,"Giacomo",IF(COUNTIF(Asta!$F$4:$F$47,'_Supporto Listone'!B225)&gt;0,"Niko",IF(COUNTIF(Asta!$H$4:$H$47,'_Supporto Listone'!B225)&gt;0,"Quici",IF(COUNTIF(Asta!$J$4:$J$47,'_Supporto Listone'!B225)&gt;0,"Fratello Quici",IF(COUNTIF(Asta!$L$4:$L$47,'_Supporto Listone'!B225)&gt;0,"Nicolò",IF(COUNTIF(Asta!$N$4:$N$47,'_Supporto Listone'!B225)&gt;0,"Vi",IF(COUNTIF(Asta!$P$4:$P$47,'_Supporto Listone'!B225)&gt;0,"Lore",IF(COUNTIF(Asta!$R$4:$R$47,'_Supporto Listone'!B225)&gt;0,"Robbo",IF(COUNTIF(Asta!$T$4:$T$47,'_Supporto Listone'!B225)&gt;0,"Ale",""))))))))))</x:f>
      </x:c>
      <x:c r="K225" s="493" t="str">
        <x:f>IF(COUNTIF(Asta!$B$4:$B$47,'_Supporto Listone'!B225)&gt;0,INDEX(Asta!$C$4:$C$47,MATCH('_Supporto Listone'!B225,Asta!$B$4:$B$47,0)),IF(COUNTIF(Asta!$D$4:$D$47,'_Supporto Listone'!B225)&gt;0,INDEX(Asta!$E$4:$E$47,MATCH('_Supporto Listone'!B225,Asta!$D$4:$D$47,0)),IF(COUNTIF(Asta!$F$4:$F$47,'_Supporto Listone'!B225)&gt;0,INDEX(Asta!$G$4:$G$47,MATCH('_Supporto Listone'!B225,Asta!$F$4:$F$47,0)),IF(COUNTIF(Asta!$H$4:$H$47,'_Supporto Listone'!B225)&gt;0,INDEX(Asta!$I$4:$I$47,MATCH('_Supporto Listone'!B225,Asta!$H$4:$H$47,0)),IF(COUNTIF(Asta!$J$4:$J$47,'_Supporto Listone'!B225)&gt;0,INDEX(Asta!$K$4:$K$47,MATCH('_Supporto Listone'!B225,Asta!$J$4:$J$47,0)),IF(COUNTIF(Asta!$L$4:$L$47,'_Supporto Listone'!B225)&gt;0,INDEX(Asta!$M$4:$M$47,MATCH('_Supporto Listone'!B225,Asta!$L$4:$L$47,0)),IF(COUNTIF(Asta!$N$4:$N$47,'_Supporto Listone'!B225)&gt;0,INDEX(Asta!$O$4:$O$47,MATCH('_Supporto Listone'!B225,Asta!$N$4:$N$47,0)),IF(COUNTIF(Asta!$P$4:$P$47,'_Supporto Listone'!B225)&gt;0,INDEX(Asta!$Q$4:$Q$47,MATCH('_Supporto Listone'!B225,Asta!$P$4:$P$47,0)),IF(COUNTIF(Asta!$R$4:$R$47,'_Supporto Listone'!B225)&gt;0,INDEX(Asta!$S$4:$S$47,MATCH('_Supporto Listone'!B225,Asta!$R$4:$R$47,0)),IF(COUNTIF(Asta!$T$4:$T$47,'_Supporto Listone'!B225)&gt;0,INDEX(Asta!$U$4:$U$47,MATCH('_Supporto Listone'!B225,Asta!$T$4:$T$47,0)),""))))))))))</x:f>
      </x:c>
    </x:row>
    <x:row r="226">
      <x:c r="A226" s="432" t="str">
        <x:f>IF($J226&lt;&gt;"",REGEXREPLACE(TO_TEXT('_Supporto Listone'!A226),"(.)","$1"&amp;UNICHAR(822)),'_Supporto Listone'!A226)</x:f>
        <x:v>D</x:v>
      </x:c>
      <x:c r="B226" s="433" t="str">
        <x:f>IF($J226&lt;&gt;"",REGEXREPLACE(TO_TEXT('_Supporto Listone'!B226),"(.)","$1"&amp;UNICHAR(822)),'_Supporto Listone'!B226)</x:f>
        <x:v>Gelli J.</x:v>
      </x:c>
      <x:c r="C226" s="433" t="str">
        <x:f>IF($J226&lt;&gt;"",REGEXREPLACE(TO_TEXT('_Supporto Listone'!C226),"(.)","$1"&amp;UNICHAR(822)),'_Supporto Listone'!C226)</x:f>
        <x:v>Frosinone</x:v>
      </x:c>
      <x:c r="D226" s="433" t="str">
        <x:f>IF($J226&lt;&gt;"",REGEXREPLACE(TO_TEXT('_Supporto Listone'!D226),"(.)","$1"&amp;UNICHAR(822)),'_Supporto Listone'!D226)</x:f>
        <x:v>Dc</x:v>
      </x:c>
      <x:c r="E226" s="433" t="str">
        <x:f>IF($J226&lt;&gt;"",REGEXREPLACE(TO_TEXT('_Supporto Listone'!E226),"(.)","$1"&amp;UNICHAR(822)),'_Supporto Listone'!E226)</x:f>
        <x:v>Riserva / rotazione</x:v>
      </x:c>
      <x:c r="F226" s="462" t="n">
        <x:f>IF($J226&lt;&gt;"",REGEXREPLACE(TO_TEXT('_Supporto Listone'!F226),"(.)","$1"&amp;UNICHAR(822)),'_Supporto Listone'!F226)</x:f>
        <x:v>1</x:v>
      </x:c>
      <x:c r="G226" s="462" t="n">
        <x:f>IF($J226&lt;&gt;"",REGEXREPLACE(TO_TEXT('_Supporto Listone'!G226),"(.)","$1"&amp;UNICHAR(822)),'_Supporto Listone'!G226)</x:f>
        <x:v>1</x:v>
      </x:c>
      <x:c r="H226" s="462" t="n">
        <x:f>IF($J226&lt;&gt;"",REGEXREPLACE(TO_TEXT('_Supporto Listone'!H226),"(.)","$1"&amp;UNICHAR(822)),'_Supporto Listone'!H226)</x:f>
        <x:v>1</x:v>
      </x:c>
      <x:c r="I226" s="434"/>
      <x:c r="J226" s="433" t="str">
        <x:f>IF(COUNTIF(Asta!$B$4:$B$47,'_Supporto Listone'!B226)&gt;0,"Simone",IF(COUNTIF(Asta!$D$4:$D$47,'_Supporto Listone'!B226)&gt;0,"Giacomo",IF(COUNTIF(Asta!$F$4:$F$47,'_Supporto Listone'!B226)&gt;0,"Niko",IF(COUNTIF(Asta!$H$4:$H$47,'_Supporto Listone'!B226)&gt;0,"Quici",IF(COUNTIF(Asta!$J$4:$J$47,'_Supporto Listone'!B226)&gt;0,"Fratello Quici",IF(COUNTIF(Asta!$L$4:$L$47,'_Supporto Listone'!B226)&gt;0,"Nicolò",IF(COUNTIF(Asta!$N$4:$N$47,'_Supporto Listone'!B226)&gt;0,"Vi",IF(COUNTIF(Asta!$P$4:$P$47,'_Supporto Listone'!B226)&gt;0,"Lore",IF(COUNTIF(Asta!$R$4:$R$47,'_Supporto Listone'!B226)&gt;0,"Robbo",IF(COUNTIF(Asta!$T$4:$T$47,'_Supporto Listone'!B226)&gt;0,"Ale",""))))))))))</x:f>
      </x:c>
      <x:c r="K226" s="493" t="str">
        <x:f>IF(COUNTIF(Asta!$B$4:$B$47,'_Supporto Listone'!B226)&gt;0,INDEX(Asta!$C$4:$C$47,MATCH('_Supporto Listone'!B226,Asta!$B$4:$B$47,0)),IF(COUNTIF(Asta!$D$4:$D$47,'_Supporto Listone'!B226)&gt;0,INDEX(Asta!$E$4:$E$47,MATCH('_Supporto Listone'!B226,Asta!$D$4:$D$47,0)),IF(COUNTIF(Asta!$F$4:$F$47,'_Supporto Listone'!B226)&gt;0,INDEX(Asta!$G$4:$G$47,MATCH('_Supporto Listone'!B226,Asta!$F$4:$F$47,0)),IF(COUNTIF(Asta!$H$4:$H$47,'_Supporto Listone'!B226)&gt;0,INDEX(Asta!$I$4:$I$47,MATCH('_Supporto Listone'!B226,Asta!$H$4:$H$47,0)),IF(COUNTIF(Asta!$J$4:$J$47,'_Supporto Listone'!B226)&gt;0,INDEX(Asta!$K$4:$K$47,MATCH('_Supporto Listone'!B226,Asta!$J$4:$J$47,0)),IF(COUNTIF(Asta!$L$4:$L$47,'_Supporto Listone'!B226)&gt;0,INDEX(Asta!$M$4:$M$47,MATCH('_Supporto Listone'!B226,Asta!$L$4:$L$47,0)),IF(COUNTIF(Asta!$N$4:$N$47,'_Supporto Listone'!B226)&gt;0,INDEX(Asta!$O$4:$O$47,MATCH('_Supporto Listone'!B226,Asta!$N$4:$N$47,0)),IF(COUNTIF(Asta!$P$4:$P$47,'_Supporto Listone'!B226)&gt;0,INDEX(Asta!$Q$4:$Q$47,MATCH('_Supporto Listone'!B226,Asta!$P$4:$P$47,0)),IF(COUNTIF(Asta!$R$4:$R$47,'_Supporto Listone'!B226)&gt;0,INDEX(Asta!$S$4:$S$47,MATCH('_Supporto Listone'!B226,Asta!$R$4:$R$47,0)),IF(COUNTIF(Asta!$T$4:$T$47,'_Supporto Listone'!B226)&gt;0,INDEX(Asta!$U$4:$U$47,MATCH('_Supporto Listone'!B226,Asta!$T$4:$T$47,0)),""))))))))))</x:f>
      </x:c>
    </x:row>
    <x:row r="227">
      <x:c r="A227" s="432" t="str">
        <x:f>IF($J227&lt;&gt;"",REGEXREPLACE(TO_TEXT('_Supporto Listone'!A227),"(.)","$1"&amp;UNICHAR(822)),'_Supporto Listone'!A227)</x:f>
        <x:v>D</x:v>
      </x:c>
      <x:c r="B227" s="433" t="str">
        <x:f>IF($J227&lt;&gt;"",REGEXREPLACE(TO_TEXT('_Supporto Listone'!B227),"(.)","$1"&amp;UNICHAR(822)),'_Supporto Listone'!B227)</x:f>
        <x:v>Oyono J.</x:v>
      </x:c>
      <x:c r="C227" s="433" t="str">
        <x:f>IF($J227&lt;&gt;"",REGEXREPLACE(TO_TEXT('_Supporto Listone'!C227),"(.)","$1"&amp;UNICHAR(822)),'_Supporto Listone'!C227)</x:f>
        <x:v>Frosinone</x:v>
      </x:c>
      <x:c r="D227" s="433" t="str">
        <x:f>IF($J227&lt;&gt;"",REGEXREPLACE(TO_TEXT('_Supporto Listone'!D227),"(.)","$1"&amp;UNICHAR(822)),'_Supporto Listone'!D227)</x:f>
        <x:v>Dd;E</x:v>
      </x:c>
      <x:c r="E227" s="433" t="str">
        <x:f>IF($J227&lt;&gt;"",REGEXREPLACE(TO_TEXT('_Supporto Listone'!E227),"(.)","$1"&amp;UNICHAR(822)),'_Supporto Listone'!E227)</x:f>
        <x:v>Ballottaggio</x:v>
      </x:c>
      <x:c r="F227" s="462" t="n">
        <x:f>IF($J227&lt;&gt;"",REGEXREPLACE(TO_TEXT('_Supporto Listone'!F227),"(.)","$1"&amp;UNICHAR(822)),'_Supporto Listone'!F227)</x:f>
        <x:v>1</x:v>
      </x:c>
      <x:c r="G227" s="462" t="n">
        <x:f>IF($J227&lt;&gt;"",REGEXREPLACE(TO_TEXT('_Supporto Listone'!G227),"(.)","$1"&amp;UNICHAR(822)),'_Supporto Listone'!G227)</x:f>
        <x:v>3</x:v>
      </x:c>
      <x:c r="H227" s="462" t="n">
        <x:f>IF($J227&lt;&gt;"",REGEXREPLACE(TO_TEXT('_Supporto Listone'!H227),"(.)","$1"&amp;UNICHAR(822)),'_Supporto Listone'!H227)</x:f>
        <x:v>2</x:v>
      </x:c>
      <x:c r="I227" s="434"/>
      <x:c r="J227" s="433" t="str">
        <x:f>IF(COUNTIF(Asta!$B$4:$B$47,'_Supporto Listone'!B227)&gt;0,"Simone",IF(COUNTIF(Asta!$D$4:$D$47,'_Supporto Listone'!B227)&gt;0,"Giacomo",IF(COUNTIF(Asta!$F$4:$F$47,'_Supporto Listone'!B227)&gt;0,"Niko",IF(COUNTIF(Asta!$H$4:$H$47,'_Supporto Listone'!B227)&gt;0,"Quici",IF(COUNTIF(Asta!$J$4:$J$47,'_Supporto Listone'!B227)&gt;0,"Fratello Quici",IF(COUNTIF(Asta!$L$4:$L$47,'_Supporto Listone'!B227)&gt;0,"Nicolò",IF(COUNTIF(Asta!$N$4:$N$47,'_Supporto Listone'!B227)&gt;0,"Vi",IF(COUNTIF(Asta!$P$4:$P$47,'_Supporto Listone'!B227)&gt;0,"Lore",IF(COUNTIF(Asta!$R$4:$R$47,'_Supporto Listone'!B227)&gt;0,"Robbo",IF(COUNTIF(Asta!$T$4:$T$47,'_Supporto Listone'!B227)&gt;0,"Ale",""))))))))))</x:f>
      </x:c>
      <x:c r="K227" s="493" t="str">
        <x:f>IF(COUNTIF(Asta!$B$4:$B$47,'_Supporto Listone'!B227)&gt;0,INDEX(Asta!$C$4:$C$47,MATCH('_Supporto Listone'!B227,Asta!$B$4:$B$47,0)),IF(COUNTIF(Asta!$D$4:$D$47,'_Supporto Listone'!B227)&gt;0,INDEX(Asta!$E$4:$E$47,MATCH('_Supporto Listone'!B227,Asta!$D$4:$D$47,0)),IF(COUNTIF(Asta!$F$4:$F$47,'_Supporto Listone'!B227)&gt;0,INDEX(Asta!$G$4:$G$47,MATCH('_Supporto Listone'!B227,Asta!$F$4:$F$47,0)),IF(COUNTIF(Asta!$H$4:$H$47,'_Supporto Listone'!B227)&gt;0,INDEX(Asta!$I$4:$I$47,MATCH('_Supporto Listone'!B227,Asta!$H$4:$H$47,0)),IF(COUNTIF(Asta!$J$4:$J$47,'_Supporto Listone'!B227)&gt;0,INDEX(Asta!$K$4:$K$47,MATCH('_Supporto Listone'!B227,Asta!$J$4:$J$47,0)),IF(COUNTIF(Asta!$L$4:$L$47,'_Supporto Listone'!B227)&gt;0,INDEX(Asta!$M$4:$M$47,MATCH('_Supporto Listone'!B227,Asta!$L$4:$L$47,0)),IF(COUNTIF(Asta!$N$4:$N$47,'_Supporto Listone'!B227)&gt;0,INDEX(Asta!$O$4:$O$47,MATCH('_Supporto Listone'!B227,Asta!$N$4:$N$47,0)),IF(COUNTIF(Asta!$P$4:$P$47,'_Supporto Listone'!B227)&gt;0,INDEX(Asta!$Q$4:$Q$47,MATCH('_Supporto Listone'!B227,Asta!$P$4:$P$47,0)),IF(COUNTIF(Asta!$R$4:$R$47,'_Supporto Listone'!B227)&gt;0,INDEX(Asta!$S$4:$S$47,MATCH('_Supporto Listone'!B227,Asta!$R$4:$R$47,0)),IF(COUNTIF(Asta!$T$4:$T$47,'_Supporto Listone'!B227)&gt;0,INDEX(Asta!$U$4:$U$47,MATCH('_Supporto Listone'!B227,Asta!$T$4:$T$47,0)),""))))))))))</x:f>
      </x:c>
    </x:row>
    <x:row r="228">
      <x:c r="A228" s="432" t="str">
        <x:f>IF($J228&lt;&gt;"",REGEXREPLACE(TO_TEXT('_Supporto Listone'!A228),"(.)","$1"&amp;UNICHAR(822)),'_Supporto Listone'!A228)</x:f>
        <x:v>D</x:v>
      </x:c>
      <x:c r="B228" s="433" t="str">
        <x:f>IF($J228&lt;&gt;"",REGEXREPLACE(TO_TEXT('_Supporto Listone'!B228),"(.)","$1"&amp;UNICHAR(822)),'_Supporto Listone'!B228)</x:f>
        <x:v>Matturro</x:v>
      </x:c>
      <x:c r="C228" s="433" t="str">
        <x:f>IF($J228&lt;&gt;"",REGEXREPLACE(TO_TEXT('_Supporto Listone'!C228),"(.)","$1"&amp;UNICHAR(822)),'_Supporto Listone'!C228)</x:f>
        <x:v>Genoa</x:v>
      </x:c>
      <x:c r="D228" s="433" t="str">
        <x:f>IF($J228&lt;&gt;"",REGEXREPLACE(TO_TEXT('_Supporto Listone'!D228),"(.)","$1"&amp;UNICHAR(822)),'_Supporto Listone'!D228)</x:f>
        <x:v>Ds;Dc</x:v>
      </x:c>
      <x:c r="E228" s="433" t="str">
        <x:f>IF($J228&lt;&gt;"",REGEXREPLACE(TO_TEXT('_Supporto Listone'!E228),"(.)","$1"&amp;UNICHAR(822)),'_Supporto Listone'!E228)</x:f>
        <x:v>Riserva / rotazione</x:v>
      </x:c>
      <x:c r="F228" s="462" t="n">
        <x:f>IF($J228&lt;&gt;"",REGEXREPLACE(TO_TEXT('_Supporto Listone'!F228),"(.)","$1"&amp;UNICHAR(822)),'_Supporto Listone'!F228)</x:f>
        <x:v>1</x:v>
      </x:c>
      <x:c r="G228" s="462" t="n">
        <x:f>IF($J228&lt;&gt;"",REGEXREPLACE(TO_TEXT('_Supporto Listone'!G228),"(.)","$1"&amp;UNICHAR(822)),'_Supporto Listone'!G228)</x:f>
        <x:v>2</x:v>
      </x:c>
      <x:c r="H228" s="462" t="n">
        <x:f>IF($J228&lt;&gt;"",REGEXREPLACE(TO_TEXT('_Supporto Listone'!H228),"(.)","$1"&amp;UNICHAR(822)),'_Supporto Listone'!H228)</x:f>
        <x:v>1</x:v>
      </x:c>
      <x:c r="I228" s="434"/>
      <x:c r="J228" s="433" t="str">
        <x:f>IF(COUNTIF(Asta!$B$4:$B$47,'_Supporto Listone'!B228)&gt;0,"Simone",IF(COUNTIF(Asta!$D$4:$D$47,'_Supporto Listone'!B228)&gt;0,"Giacomo",IF(COUNTIF(Asta!$F$4:$F$47,'_Supporto Listone'!B228)&gt;0,"Niko",IF(COUNTIF(Asta!$H$4:$H$47,'_Supporto Listone'!B228)&gt;0,"Quici",IF(COUNTIF(Asta!$J$4:$J$47,'_Supporto Listone'!B228)&gt;0,"Fratello Quici",IF(COUNTIF(Asta!$L$4:$L$47,'_Supporto Listone'!B228)&gt;0,"Nicolò",IF(COUNTIF(Asta!$N$4:$N$47,'_Supporto Listone'!B228)&gt;0,"Vi",IF(COUNTIF(Asta!$P$4:$P$47,'_Supporto Listone'!B228)&gt;0,"Lore",IF(COUNTIF(Asta!$R$4:$R$47,'_Supporto Listone'!B228)&gt;0,"Robbo",IF(COUNTIF(Asta!$T$4:$T$47,'_Supporto Listone'!B228)&gt;0,"Ale",""))))))))))</x:f>
      </x:c>
      <x:c r="K228" s="493" t="str">
        <x:f>IF(COUNTIF(Asta!$B$4:$B$47,'_Supporto Listone'!B228)&gt;0,INDEX(Asta!$C$4:$C$47,MATCH('_Supporto Listone'!B228,Asta!$B$4:$B$47,0)),IF(COUNTIF(Asta!$D$4:$D$47,'_Supporto Listone'!B228)&gt;0,INDEX(Asta!$E$4:$E$47,MATCH('_Supporto Listone'!B228,Asta!$D$4:$D$47,0)),IF(COUNTIF(Asta!$F$4:$F$47,'_Supporto Listone'!B228)&gt;0,INDEX(Asta!$G$4:$G$47,MATCH('_Supporto Listone'!B228,Asta!$F$4:$F$47,0)),IF(COUNTIF(Asta!$H$4:$H$47,'_Supporto Listone'!B228)&gt;0,INDEX(Asta!$I$4:$I$47,MATCH('_Supporto Listone'!B228,Asta!$H$4:$H$47,0)),IF(COUNTIF(Asta!$J$4:$J$47,'_Supporto Listone'!B228)&gt;0,INDEX(Asta!$K$4:$K$47,MATCH('_Supporto Listone'!B228,Asta!$J$4:$J$47,0)),IF(COUNTIF(Asta!$L$4:$L$47,'_Supporto Listone'!B228)&gt;0,INDEX(Asta!$M$4:$M$47,MATCH('_Supporto Listone'!B228,Asta!$L$4:$L$47,0)),IF(COUNTIF(Asta!$N$4:$N$47,'_Supporto Listone'!B228)&gt;0,INDEX(Asta!$O$4:$O$47,MATCH('_Supporto Listone'!B228,Asta!$N$4:$N$47,0)),IF(COUNTIF(Asta!$P$4:$P$47,'_Supporto Listone'!B228)&gt;0,INDEX(Asta!$Q$4:$Q$47,MATCH('_Supporto Listone'!B228,Asta!$P$4:$P$47,0)),IF(COUNTIF(Asta!$R$4:$R$47,'_Supporto Listone'!B228)&gt;0,INDEX(Asta!$S$4:$S$47,MATCH('_Supporto Listone'!B228,Asta!$R$4:$R$47,0)),IF(COUNTIF(Asta!$T$4:$T$47,'_Supporto Listone'!B228)&gt;0,INDEX(Asta!$U$4:$U$47,MATCH('_Supporto Listone'!B228,Asta!$T$4:$T$47,0)),""))))))))))</x:f>
      </x:c>
    </x:row>
    <x:row r="229">
      <x:c r="A229" s="432" t="str">
        <x:f>IF($J229&lt;&gt;"",REGEXREPLACE(TO_TEXT('_Supporto Listone'!A229),"(.)","$1"&amp;UNICHAR(822)),'_Supporto Listone'!A229)</x:f>
        <x:v>D</x:v>
      </x:c>
      <x:c r="B229" s="433" t="str">
        <x:f>IF($J229&lt;&gt;"",REGEXREPLACE(TO_TEXT('_Supporto Listone'!B229),"(.)","$1"&amp;UNICHAR(822)),'_Supporto Listone'!B229)</x:f>
        <x:v>Vogliacco</x:v>
      </x:c>
      <x:c r="C229" s="433" t="str">
        <x:f>IF($J229&lt;&gt;"",REGEXREPLACE(TO_TEXT('_Supporto Listone'!C229),"(.)","$1"&amp;UNICHAR(822)),'_Supporto Listone'!C229)</x:f>
        <x:v>Genoa</x:v>
      </x:c>
      <x:c r="D229" s="433" t="str">
        <x:f>IF($J229&lt;&gt;"",REGEXREPLACE(TO_TEXT('_Supporto Listone'!D229),"(.)","$1"&amp;UNICHAR(822)),'_Supporto Listone'!D229)</x:f>
        <x:v>Dd;Dc</x:v>
      </x:c>
      <x:c r="E229" s="433" t="str">
        <x:f>IF($J229&lt;&gt;"",REGEXREPLACE(TO_TEXT('_Supporto Listone'!E229),"(.)","$1"&amp;UNICHAR(822)),'_Supporto Listone'!E229)</x:f>
        <x:v>Riserva / rotazione</x:v>
      </x:c>
      <x:c r="F229" s="462" t="n">
        <x:f>IF($J229&lt;&gt;"",REGEXREPLACE(TO_TEXT('_Supporto Listone'!F229),"(.)","$1"&amp;UNICHAR(822)),'_Supporto Listone'!F229)</x:f>
        <x:v>1</x:v>
      </x:c>
      <x:c r="G229" s="462" t="n">
        <x:f>IF($J229&lt;&gt;"",REGEXREPLACE(TO_TEXT('_Supporto Listone'!G229),"(.)","$1"&amp;UNICHAR(822)),'_Supporto Listone'!G229)</x:f>
        <x:v>2</x:v>
      </x:c>
      <x:c r="H229" s="462" t="n">
        <x:f>IF($J229&lt;&gt;"",REGEXREPLACE(TO_TEXT('_Supporto Listone'!H229),"(.)","$1"&amp;UNICHAR(822)),'_Supporto Listone'!H229)</x:f>
        <x:v>1</x:v>
      </x:c>
      <x:c r="I229" s="434"/>
      <x:c r="J229" s="433" t="str">
        <x:f>IF(COUNTIF(Asta!$B$4:$B$47,'_Supporto Listone'!B229)&gt;0,"Simone",IF(COUNTIF(Asta!$D$4:$D$47,'_Supporto Listone'!B229)&gt;0,"Giacomo",IF(COUNTIF(Asta!$F$4:$F$47,'_Supporto Listone'!B229)&gt;0,"Niko",IF(COUNTIF(Asta!$H$4:$H$47,'_Supporto Listone'!B229)&gt;0,"Quici",IF(COUNTIF(Asta!$J$4:$J$47,'_Supporto Listone'!B229)&gt;0,"Fratello Quici",IF(COUNTIF(Asta!$L$4:$L$47,'_Supporto Listone'!B229)&gt;0,"Nicolò",IF(COUNTIF(Asta!$N$4:$N$47,'_Supporto Listone'!B229)&gt;0,"Vi",IF(COUNTIF(Asta!$P$4:$P$47,'_Supporto Listone'!B229)&gt;0,"Lore",IF(COUNTIF(Asta!$R$4:$R$47,'_Supporto Listone'!B229)&gt;0,"Robbo",IF(COUNTIF(Asta!$T$4:$T$47,'_Supporto Listone'!B229)&gt;0,"Ale",""))))))))))</x:f>
      </x:c>
      <x:c r="K229" s="493" t="str">
        <x:f>IF(COUNTIF(Asta!$B$4:$B$47,'_Supporto Listone'!B229)&gt;0,INDEX(Asta!$C$4:$C$47,MATCH('_Supporto Listone'!B229,Asta!$B$4:$B$47,0)),IF(COUNTIF(Asta!$D$4:$D$47,'_Supporto Listone'!B229)&gt;0,INDEX(Asta!$E$4:$E$47,MATCH('_Supporto Listone'!B229,Asta!$D$4:$D$47,0)),IF(COUNTIF(Asta!$F$4:$F$47,'_Supporto Listone'!B229)&gt;0,INDEX(Asta!$G$4:$G$47,MATCH('_Supporto Listone'!B229,Asta!$F$4:$F$47,0)),IF(COUNTIF(Asta!$H$4:$H$47,'_Supporto Listone'!B229)&gt;0,INDEX(Asta!$I$4:$I$47,MATCH('_Supporto Listone'!B229,Asta!$H$4:$H$47,0)),IF(COUNTIF(Asta!$J$4:$J$47,'_Supporto Listone'!B229)&gt;0,INDEX(Asta!$K$4:$K$47,MATCH('_Supporto Listone'!B229,Asta!$J$4:$J$47,0)),IF(COUNTIF(Asta!$L$4:$L$47,'_Supporto Listone'!B229)&gt;0,INDEX(Asta!$M$4:$M$47,MATCH('_Supporto Listone'!B229,Asta!$L$4:$L$47,0)),IF(COUNTIF(Asta!$N$4:$N$47,'_Supporto Listone'!B229)&gt;0,INDEX(Asta!$O$4:$O$47,MATCH('_Supporto Listone'!B229,Asta!$N$4:$N$47,0)),IF(COUNTIF(Asta!$P$4:$P$47,'_Supporto Listone'!B229)&gt;0,INDEX(Asta!$Q$4:$Q$47,MATCH('_Supporto Listone'!B229,Asta!$P$4:$P$47,0)),IF(COUNTIF(Asta!$R$4:$R$47,'_Supporto Listone'!B229)&gt;0,INDEX(Asta!$S$4:$S$47,MATCH('_Supporto Listone'!B229,Asta!$R$4:$R$47,0)),IF(COUNTIF(Asta!$T$4:$T$47,'_Supporto Listone'!B229)&gt;0,INDEX(Asta!$U$4:$U$47,MATCH('_Supporto Listone'!B229,Asta!$T$4:$T$47,0)),""))))))))))</x:f>
      </x:c>
    </x:row>
    <x:row r="230">
      <x:c r="A230" s="432" t="str">
        <x:f>IF($J230&lt;&gt;"",REGEXREPLACE(TO_TEXT('_Supporto Listone'!A230),"(.)","$1"&amp;UNICHAR(822)),'_Supporto Listone'!A230)</x:f>
        <x:v>D</x:v>
      </x:c>
      <x:c r="B230" s="433" t="str">
        <x:f>IF($J230&lt;&gt;"",REGEXREPLACE(TO_TEXT('_Supporto Listone'!B230),"(.)","$1"&amp;UNICHAR(822)),'_Supporto Listone'!B230)</x:f>
        <x:v>Cabal</x:v>
      </x:c>
      <x:c r="C230" s="433" t="str">
        <x:f>IF($J230&lt;&gt;"",REGEXREPLACE(TO_TEXT('_Supporto Listone'!C230),"(.)","$1"&amp;UNICHAR(822)),'_Supporto Listone'!C230)</x:f>
        <x:v>Juventus</x:v>
      </x:c>
      <x:c r="D230" s="433" t="str">
        <x:f>IF($J230&lt;&gt;"",REGEXREPLACE(TO_TEXT('_Supporto Listone'!D230),"(.)","$1"&amp;UNICHAR(822)),'_Supporto Listone'!D230)</x:f>
        <x:v>B;Ds;E</x:v>
      </x:c>
      <x:c r="E230" s="433" t="str">
        <x:f>IF($J230&lt;&gt;"",REGEXREPLACE(TO_TEXT('_Supporto Listone'!E230),"(.)","$1"&amp;UNICHAR(822)),'_Supporto Listone'!E230)</x:f>
        <x:v>Riserva / rotazione</x:v>
      </x:c>
      <x:c r="F230" s="462" t="n">
        <x:f>IF($J230&lt;&gt;"",REGEXREPLACE(TO_TEXT('_Supporto Listone'!F230),"(.)","$1"&amp;UNICHAR(822)),'_Supporto Listone'!F230)</x:f>
        <x:v>1</x:v>
      </x:c>
      <x:c r="G230" s="462" t="n">
        <x:f>IF($J230&lt;&gt;"",REGEXREPLACE(TO_TEXT('_Supporto Listone'!G230),"(.)","$1"&amp;UNICHAR(822)),'_Supporto Listone'!G230)</x:f>
        <x:v>4</x:v>
      </x:c>
      <x:c r="H230" s="462" t="n">
        <x:f>IF($J230&lt;&gt;"",REGEXREPLACE(TO_TEXT('_Supporto Listone'!H230),"(.)","$1"&amp;UNICHAR(822)),'_Supporto Listone'!H230)</x:f>
        <x:v>2</x:v>
      </x:c>
      <x:c r="I230" s="434"/>
      <x:c r="J230" s="433" t="str">
        <x:f>IF(COUNTIF(Asta!$B$4:$B$47,'_Supporto Listone'!B230)&gt;0,"Simone",IF(COUNTIF(Asta!$D$4:$D$47,'_Supporto Listone'!B230)&gt;0,"Giacomo",IF(COUNTIF(Asta!$F$4:$F$47,'_Supporto Listone'!B230)&gt;0,"Niko",IF(COUNTIF(Asta!$H$4:$H$47,'_Supporto Listone'!B230)&gt;0,"Quici",IF(COUNTIF(Asta!$J$4:$J$47,'_Supporto Listone'!B230)&gt;0,"Fratello Quici",IF(COUNTIF(Asta!$L$4:$L$47,'_Supporto Listone'!B230)&gt;0,"Nicolò",IF(COUNTIF(Asta!$N$4:$N$47,'_Supporto Listone'!B230)&gt;0,"Vi",IF(COUNTIF(Asta!$P$4:$P$47,'_Supporto Listone'!B230)&gt;0,"Lore",IF(COUNTIF(Asta!$R$4:$R$47,'_Supporto Listone'!B230)&gt;0,"Robbo",IF(COUNTIF(Asta!$T$4:$T$47,'_Supporto Listone'!B230)&gt;0,"Ale",""))))))))))</x:f>
      </x:c>
      <x:c r="K230" s="493" t="str">
        <x:f>IF(COUNTIF(Asta!$B$4:$B$47,'_Supporto Listone'!B230)&gt;0,INDEX(Asta!$C$4:$C$47,MATCH('_Supporto Listone'!B230,Asta!$B$4:$B$47,0)),IF(COUNTIF(Asta!$D$4:$D$47,'_Supporto Listone'!B230)&gt;0,INDEX(Asta!$E$4:$E$47,MATCH('_Supporto Listone'!B230,Asta!$D$4:$D$47,0)),IF(COUNTIF(Asta!$F$4:$F$47,'_Supporto Listone'!B230)&gt;0,INDEX(Asta!$G$4:$G$47,MATCH('_Supporto Listone'!B230,Asta!$F$4:$F$47,0)),IF(COUNTIF(Asta!$H$4:$H$47,'_Supporto Listone'!B230)&gt;0,INDEX(Asta!$I$4:$I$47,MATCH('_Supporto Listone'!B230,Asta!$H$4:$H$47,0)),IF(COUNTIF(Asta!$J$4:$J$47,'_Supporto Listone'!B230)&gt;0,INDEX(Asta!$K$4:$K$47,MATCH('_Supporto Listone'!B230,Asta!$J$4:$J$47,0)),IF(COUNTIF(Asta!$L$4:$L$47,'_Supporto Listone'!B230)&gt;0,INDEX(Asta!$M$4:$M$47,MATCH('_Supporto Listone'!B230,Asta!$L$4:$L$47,0)),IF(COUNTIF(Asta!$N$4:$N$47,'_Supporto Listone'!B230)&gt;0,INDEX(Asta!$O$4:$O$47,MATCH('_Supporto Listone'!B230,Asta!$N$4:$N$47,0)),IF(COUNTIF(Asta!$P$4:$P$47,'_Supporto Listone'!B230)&gt;0,INDEX(Asta!$Q$4:$Q$47,MATCH('_Supporto Listone'!B230,Asta!$P$4:$P$47,0)),IF(COUNTIF(Asta!$R$4:$R$47,'_Supporto Listone'!B230)&gt;0,INDEX(Asta!$S$4:$S$47,MATCH('_Supporto Listone'!B230,Asta!$R$4:$R$47,0)),IF(COUNTIF(Asta!$T$4:$T$47,'_Supporto Listone'!B230)&gt;0,INDEX(Asta!$U$4:$U$47,MATCH('_Supporto Listone'!B230,Asta!$T$4:$T$47,0)),""))))))))))</x:f>
      </x:c>
    </x:row>
    <x:row r="231">
      <x:c r="A231" s="432" t="str">
        <x:f>IF($J231&lt;&gt;"",REGEXREPLACE(TO_TEXT('_Supporto Listone'!A231),"(.)","$1"&amp;UNICHAR(822)),'_Supporto Listone'!A231)</x:f>
        <x:v>D</x:v>
      </x:c>
      <x:c r="B231" s="433" t="str">
        <x:f>IF($J231&lt;&gt;"",REGEXREPLACE(TO_TEXT('_Supporto Listone'!B231),"(.)","$1"&amp;UNICHAR(822)),'_Supporto Listone'!B231)</x:f>
        <x:v>Rugani</x:v>
      </x:c>
      <x:c r="C231" s="433" t="str">
        <x:f>IF($J231&lt;&gt;"",REGEXREPLACE(TO_TEXT('_Supporto Listone'!C231),"(.)","$1"&amp;UNICHAR(822)),'_Supporto Listone'!C231)</x:f>
        <x:v>Juventus</x:v>
      </x:c>
      <x:c r="D231" s="433" t="str">
        <x:f>IF($J231&lt;&gt;"",REGEXREPLACE(TO_TEXT('_Supporto Listone'!D231),"(.)","$1"&amp;UNICHAR(822)),'_Supporto Listone'!D231)</x:f>
        <x:v>Dc</x:v>
      </x:c>
      <x:c r="E231" s="433" t="str">
        <x:f>IF($J231&lt;&gt;"",REGEXREPLACE(TO_TEXT('_Supporto Listone'!E231),"(.)","$1"&amp;UNICHAR(822)),'_Supporto Listone'!E231)</x:f>
        <x:v>Riserva / rotazione</x:v>
      </x:c>
      <x:c r="F231" s="462" t="n">
        <x:f>IF($J231&lt;&gt;"",REGEXREPLACE(TO_TEXT('_Supporto Listone'!F231),"(.)","$1"&amp;UNICHAR(822)),'_Supporto Listone'!F231)</x:f>
        <x:v>1</x:v>
      </x:c>
      <x:c r="G231" s="462" t="n">
        <x:f>IF($J231&lt;&gt;"",REGEXREPLACE(TO_TEXT('_Supporto Listone'!G231),"(.)","$1"&amp;UNICHAR(822)),'_Supporto Listone'!G231)</x:f>
        <x:v>3</x:v>
      </x:c>
      <x:c r="H231" s="462" t="n">
        <x:f>IF($J231&lt;&gt;"",REGEXREPLACE(TO_TEXT('_Supporto Listone'!H231),"(.)","$1"&amp;UNICHAR(822)),'_Supporto Listone'!H231)</x:f>
        <x:v>2</x:v>
      </x:c>
      <x:c r="I231" s="434"/>
      <x:c r="J231" s="433" t="str">
        <x:f>IF(COUNTIF(Asta!$B$4:$B$47,'_Supporto Listone'!B231)&gt;0,"Simone",IF(COUNTIF(Asta!$D$4:$D$47,'_Supporto Listone'!B231)&gt;0,"Giacomo",IF(COUNTIF(Asta!$F$4:$F$47,'_Supporto Listone'!B231)&gt;0,"Niko",IF(COUNTIF(Asta!$H$4:$H$47,'_Supporto Listone'!B231)&gt;0,"Quici",IF(COUNTIF(Asta!$J$4:$J$47,'_Supporto Listone'!B231)&gt;0,"Fratello Quici",IF(COUNTIF(Asta!$L$4:$L$47,'_Supporto Listone'!B231)&gt;0,"Nicolò",IF(COUNTIF(Asta!$N$4:$N$47,'_Supporto Listone'!B231)&gt;0,"Vi",IF(COUNTIF(Asta!$P$4:$P$47,'_Supporto Listone'!B231)&gt;0,"Lore",IF(COUNTIF(Asta!$R$4:$R$47,'_Supporto Listone'!B231)&gt;0,"Robbo",IF(COUNTIF(Asta!$T$4:$T$47,'_Supporto Listone'!B231)&gt;0,"Ale",""))))))))))</x:f>
      </x:c>
      <x:c r="K231" s="493" t="str">
        <x:f>IF(COUNTIF(Asta!$B$4:$B$47,'_Supporto Listone'!B231)&gt;0,INDEX(Asta!$C$4:$C$47,MATCH('_Supporto Listone'!B231,Asta!$B$4:$B$47,0)),IF(COUNTIF(Asta!$D$4:$D$47,'_Supporto Listone'!B231)&gt;0,INDEX(Asta!$E$4:$E$47,MATCH('_Supporto Listone'!B231,Asta!$D$4:$D$47,0)),IF(COUNTIF(Asta!$F$4:$F$47,'_Supporto Listone'!B231)&gt;0,INDEX(Asta!$G$4:$G$47,MATCH('_Supporto Listone'!B231,Asta!$F$4:$F$47,0)),IF(COUNTIF(Asta!$H$4:$H$47,'_Supporto Listone'!B231)&gt;0,INDEX(Asta!$I$4:$I$47,MATCH('_Supporto Listone'!B231,Asta!$H$4:$H$47,0)),IF(COUNTIF(Asta!$J$4:$J$47,'_Supporto Listone'!B231)&gt;0,INDEX(Asta!$K$4:$K$47,MATCH('_Supporto Listone'!B231,Asta!$J$4:$J$47,0)),IF(COUNTIF(Asta!$L$4:$L$47,'_Supporto Listone'!B231)&gt;0,INDEX(Asta!$M$4:$M$47,MATCH('_Supporto Listone'!B231,Asta!$L$4:$L$47,0)),IF(COUNTIF(Asta!$N$4:$N$47,'_Supporto Listone'!B231)&gt;0,INDEX(Asta!$O$4:$O$47,MATCH('_Supporto Listone'!B231,Asta!$N$4:$N$47,0)),IF(COUNTIF(Asta!$P$4:$P$47,'_Supporto Listone'!B231)&gt;0,INDEX(Asta!$Q$4:$Q$47,MATCH('_Supporto Listone'!B231,Asta!$P$4:$P$47,0)),IF(COUNTIF(Asta!$R$4:$R$47,'_Supporto Listone'!B231)&gt;0,INDEX(Asta!$S$4:$S$47,MATCH('_Supporto Listone'!B231,Asta!$R$4:$R$47,0)),IF(COUNTIF(Asta!$T$4:$T$47,'_Supporto Listone'!B231)&gt;0,INDEX(Asta!$U$4:$U$47,MATCH('_Supporto Listone'!B231,Asta!$T$4:$T$47,0)),""))))))))))</x:f>
      </x:c>
    </x:row>
    <x:row r="232">
      <x:c r="A232" s="432" t="str">
        <x:f>IF($J232&lt;&gt;"",REGEXREPLACE(TO_TEXT('_Supporto Listone'!A232),"(.)","$1"&amp;UNICHAR(822)),'_Supporto Listone'!A232)</x:f>
        <x:v>D</x:v>
      </x:c>
      <x:c r="B232" s="433" t="str">
        <x:f>IF($J232&lt;&gt;"",REGEXREPLACE(TO_TEXT('_Supporto Listone'!B232),"(.)","$1"&amp;UNICHAR(822)),'_Supporto Listone'!B232)</x:f>
        <x:v>Patric</x:v>
      </x:c>
      <x:c r="C232" s="433" t="str">
        <x:f>IF($J232&lt;&gt;"",REGEXREPLACE(TO_TEXT('_Supporto Listone'!C232),"(.)","$1"&amp;UNICHAR(822)),'_Supporto Listone'!C232)</x:f>
        <x:v>Lazio</x:v>
      </x:c>
      <x:c r="D232" s="433" t="str">
        <x:f>IF($J232&lt;&gt;"",REGEXREPLACE(TO_TEXT('_Supporto Listone'!D232),"(.)","$1"&amp;UNICHAR(822)),'_Supporto Listone'!D232)</x:f>
        <x:v>Dd;Dc</x:v>
      </x:c>
      <x:c r="E232" s="433" t="str">
        <x:f>IF($J232&lt;&gt;"",REGEXREPLACE(TO_TEXT('_Supporto Listone'!E232),"(.)","$1"&amp;UNICHAR(822)),'_Supporto Listone'!E232)</x:f>
        <x:v>Riserva / rotazione</x:v>
      </x:c>
      <x:c r="F232" s="462" t="n">
        <x:f>IF($J232&lt;&gt;"",REGEXREPLACE(TO_TEXT('_Supporto Listone'!F232),"(.)","$1"&amp;UNICHAR(822)),'_Supporto Listone'!F232)</x:f>
        <x:v>1</x:v>
      </x:c>
      <x:c r="G232" s="462" t="n">
        <x:f>IF($J232&lt;&gt;"",REGEXREPLACE(TO_TEXT('_Supporto Listone'!G232),"(.)","$1"&amp;UNICHAR(822)),'_Supporto Listone'!G232)</x:f>
        <x:v>4</x:v>
      </x:c>
      <x:c r="H232" s="462" t="n">
        <x:f>IF($J232&lt;&gt;"",REGEXREPLACE(TO_TEXT('_Supporto Listone'!H232),"(.)","$1"&amp;UNICHAR(822)),'_Supporto Listone'!H232)</x:f>
        <x:v>2</x:v>
      </x:c>
      <x:c r="I232" s="434"/>
      <x:c r="J232" s="433" t="str">
        <x:f>IF(COUNTIF(Asta!$B$4:$B$47,'_Supporto Listone'!B232)&gt;0,"Simone",IF(COUNTIF(Asta!$D$4:$D$47,'_Supporto Listone'!B232)&gt;0,"Giacomo",IF(COUNTIF(Asta!$F$4:$F$47,'_Supporto Listone'!B232)&gt;0,"Niko",IF(COUNTIF(Asta!$H$4:$H$47,'_Supporto Listone'!B232)&gt;0,"Quici",IF(COUNTIF(Asta!$J$4:$J$47,'_Supporto Listone'!B232)&gt;0,"Fratello Quici",IF(COUNTIF(Asta!$L$4:$L$47,'_Supporto Listone'!B232)&gt;0,"Nicolò",IF(COUNTIF(Asta!$N$4:$N$47,'_Supporto Listone'!B232)&gt;0,"Vi",IF(COUNTIF(Asta!$P$4:$P$47,'_Supporto Listone'!B232)&gt;0,"Lore",IF(COUNTIF(Asta!$R$4:$R$47,'_Supporto Listone'!B232)&gt;0,"Robbo",IF(COUNTIF(Asta!$T$4:$T$47,'_Supporto Listone'!B232)&gt;0,"Ale",""))))))))))</x:f>
      </x:c>
      <x:c r="K232" s="493" t="str">
        <x:f>IF(COUNTIF(Asta!$B$4:$B$47,'_Supporto Listone'!B232)&gt;0,INDEX(Asta!$C$4:$C$47,MATCH('_Supporto Listone'!B232,Asta!$B$4:$B$47,0)),IF(COUNTIF(Asta!$D$4:$D$47,'_Supporto Listone'!B232)&gt;0,INDEX(Asta!$E$4:$E$47,MATCH('_Supporto Listone'!B232,Asta!$D$4:$D$47,0)),IF(COUNTIF(Asta!$F$4:$F$47,'_Supporto Listone'!B232)&gt;0,INDEX(Asta!$G$4:$G$47,MATCH('_Supporto Listone'!B232,Asta!$F$4:$F$47,0)),IF(COUNTIF(Asta!$H$4:$H$47,'_Supporto Listone'!B232)&gt;0,INDEX(Asta!$I$4:$I$47,MATCH('_Supporto Listone'!B232,Asta!$H$4:$H$47,0)),IF(COUNTIF(Asta!$J$4:$J$47,'_Supporto Listone'!B232)&gt;0,INDEX(Asta!$K$4:$K$47,MATCH('_Supporto Listone'!B232,Asta!$J$4:$J$47,0)),IF(COUNTIF(Asta!$L$4:$L$47,'_Supporto Listone'!B232)&gt;0,INDEX(Asta!$M$4:$M$47,MATCH('_Supporto Listone'!B232,Asta!$L$4:$L$47,0)),IF(COUNTIF(Asta!$N$4:$N$47,'_Supporto Listone'!B232)&gt;0,INDEX(Asta!$O$4:$O$47,MATCH('_Supporto Listone'!B232,Asta!$N$4:$N$47,0)),IF(COUNTIF(Asta!$P$4:$P$47,'_Supporto Listone'!B232)&gt;0,INDEX(Asta!$Q$4:$Q$47,MATCH('_Supporto Listone'!B232,Asta!$P$4:$P$47,0)),IF(COUNTIF(Asta!$R$4:$R$47,'_Supporto Listone'!B232)&gt;0,INDEX(Asta!$S$4:$S$47,MATCH('_Supporto Listone'!B232,Asta!$R$4:$R$47,0)),IF(COUNTIF(Asta!$T$4:$T$47,'_Supporto Listone'!B232)&gt;0,INDEX(Asta!$U$4:$U$47,MATCH('_Supporto Listone'!B232,Asta!$T$4:$T$47,0)),""))))))))))</x:f>
      </x:c>
    </x:row>
    <x:row r="233">
      <x:c r="A233" s="432" t="str">
        <x:f>IF($J233&lt;&gt;"",REGEXREPLACE(TO_TEXT('_Supporto Listone'!A233),"(.)","$1"&amp;UNICHAR(822)),'_Supporto Listone'!A233)</x:f>
        <x:v>D</x:v>
      </x:c>
      <x:c r="B233" s="433" t="str">
        <x:f>IF($J233&lt;&gt;"",REGEXREPLACE(TO_TEXT('_Supporto Listone'!B233),"(.)","$1"&amp;UNICHAR(822)),'_Supporto Listone'!B233)</x:f>
        <x:v>Ndaba</x:v>
      </x:c>
      <x:c r="C233" s="433" t="str">
        <x:f>IF($J233&lt;&gt;"",REGEXREPLACE(TO_TEXT('_Supporto Listone'!C233),"(.)","$1"&amp;UNICHAR(822)),'_Supporto Listone'!C233)</x:f>
        <x:v>Lecce</x:v>
      </x:c>
      <x:c r="D233" s="433" t="str">
        <x:f>IF($J233&lt;&gt;"",REGEXREPLACE(TO_TEXT('_Supporto Listone'!D233),"(.)","$1"&amp;UNICHAR(822)),'_Supporto Listone'!D233)</x:f>
        <x:v>Ds;E</x:v>
      </x:c>
      <x:c r="E233" s="433" t="str">
        <x:f>IF($J233&lt;&gt;"",REGEXREPLACE(TO_TEXT('_Supporto Listone'!E233),"(.)","$1"&amp;UNICHAR(822)),'_Supporto Listone'!E233)</x:f>
        <x:v>Riserva / rotazione</x:v>
      </x:c>
      <x:c r="F233" s="462" t="n">
        <x:f>IF($J233&lt;&gt;"",REGEXREPLACE(TO_TEXT('_Supporto Listone'!F233),"(.)","$1"&amp;UNICHAR(822)),'_Supporto Listone'!F233)</x:f>
        <x:v>1</x:v>
      </x:c>
      <x:c r="G233" s="462" t="n">
        <x:f>IF($J233&lt;&gt;"",REGEXREPLACE(TO_TEXT('_Supporto Listone'!G233),"(.)","$1"&amp;UNICHAR(822)),'_Supporto Listone'!G233)</x:f>
        <x:v>4</x:v>
      </x:c>
      <x:c r="H233" s="462" t="n">
        <x:f>IF($J233&lt;&gt;"",REGEXREPLACE(TO_TEXT('_Supporto Listone'!H233),"(.)","$1"&amp;UNICHAR(822)),'_Supporto Listone'!H233)</x:f>
        <x:v>2</x:v>
      </x:c>
      <x:c r="I233" s="434"/>
      <x:c r="J233" s="433" t="str">
        <x:f>IF(COUNTIF(Asta!$B$4:$B$47,'_Supporto Listone'!B233)&gt;0,"Simone",IF(COUNTIF(Asta!$D$4:$D$47,'_Supporto Listone'!B233)&gt;0,"Giacomo",IF(COUNTIF(Asta!$F$4:$F$47,'_Supporto Listone'!B233)&gt;0,"Niko",IF(COUNTIF(Asta!$H$4:$H$47,'_Supporto Listone'!B233)&gt;0,"Quici",IF(COUNTIF(Asta!$J$4:$J$47,'_Supporto Listone'!B233)&gt;0,"Fratello Quici",IF(COUNTIF(Asta!$L$4:$L$47,'_Supporto Listone'!B233)&gt;0,"Nicolò",IF(COUNTIF(Asta!$N$4:$N$47,'_Supporto Listone'!B233)&gt;0,"Vi",IF(COUNTIF(Asta!$P$4:$P$47,'_Supporto Listone'!B233)&gt;0,"Lore",IF(COUNTIF(Asta!$R$4:$R$47,'_Supporto Listone'!B233)&gt;0,"Robbo",IF(COUNTIF(Asta!$T$4:$T$47,'_Supporto Listone'!B233)&gt;0,"Ale",""))))))))))</x:f>
      </x:c>
      <x:c r="K233" s="493" t="str">
        <x:f>IF(COUNTIF(Asta!$B$4:$B$47,'_Supporto Listone'!B233)&gt;0,INDEX(Asta!$C$4:$C$47,MATCH('_Supporto Listone'!B233,Asta!$B$4:$B$47,0)),IF(COUNTIF(Asta!$D$4:$D$47,'_Supporto Listone'!B233)&gt;0,INDEX(Asta!$E$4:$E$47,MATCH('_Supporto Listone'!B233,Asta!$D$4:$D$47,0)),IF(COUNTIF(Asta!$F$4:$F$47,'_Supporto Listone'!B233)&gt;0,INDEX(Asta!$G$4:$G$47,MATCH('_Supporto Listone'!B233,Asta!$F$4:$F$47,0)),IF(COUNTIF(Asta!$H$4:$H$47,'_Supporto Listone'!B233)&gt;0,INDEX(Asta!$I$4:$I$47,MATCH('_Supporto Listone'!B233,Asta!$H$4:$H$47,0)),IF(COUNTIF(Asta!$J$4:$J$47,'_Supporto Listone'!B233)&gt;0,INDEX(Asta!$K$4:$K$47,MATCH('_Supporto Listone'!B233,Asta!$J$4:$J$47,0)),IF(COUNTIF(Asta!$L$4:$L$47,'_Supporto Listone'!B233)&gt;0,INDEX(Asta!$M$4:$M$47,MATCH('_Supporto Listone'!B233,Asta!$L$4:$L$47,0)),IF(COUNTIF(Asta!$N$4:$N$47,'_Supporto Listone'!B233)&gt;0,INDEX(Asta!$O$4:$O$47,MATCH('_Supporto Listone'!B233,Asta!$N$4:$N$47,0)),IF(COUNTIF(Asta!$P$4:$P$47,'_Supporto Listone'!B233)&gt;0,INDEX(Asta!$Q$4:$Q$47,MATCH('_Supporto Listone'!B233,Asta!$P$4:$P$47,0)),IF(COUNTIF(Asta!$R$4:$R$47,'_Supporto Listone'!B233)&gt;0,INDEX(Asta!$S$4:$S$47,MATCH('_Supporto Listone'!B233,Asta!$R$4:$R$47,0)),IF(COUNTIF(Asta!$T$4:$T$47,'_Supporto Listone'!B233)&gt;0,INDEX(Asta!$U$4:$U$47,MATCH('_Supporto Listone'!B233,Asta!$T$4:$T$47,0)),""))))))))))</x:f>
      </x:c>
    </x:row>
    <x:row r="234">
      <x:c r="A234" s="432" t="str">
        <x:f>IF($J234&lt;&gt;"",REGEXREPLACE(TO_TEXT('_Supporto Listone'!A234),"(.)","$1"&amp;UNICHAR(822)),'_Supporto Listone'!A234)</x:f>
        <x:v>D</x:v>
      </x:c>
      <x:c r="B234" s="433" t="str">
        <x:f>IF($J234&lt;&gt;"",REGEXREPLACE(TO_TEXT('_Supporto Listone'!B234),"(.)","$1"&amp;UNICHAR(822)),'_Supporto Listone'!B234)</x:f>
        <x:v>Perez M.</x:v>
      </x:c>
      <x:c r="C234" s="433" t="str">
        <x:f>IF($J234&lt;&gt;"",REGEXREPLACE(TO_TEXT('_Supporto Listone'!C234),"(.)","$1"&amp;UNICHAR(822)),'_Supporto Listone'!C234)</x:f>
        <x:v>Lecce</x:v>
      </x:c>
      <x:c r="D234" s="433" t="str">
        <x:f>IF($J234&lt;&gt;"",REGEXREPLACE(TO_TEXT('_Supporto Listone'!D234),"(.)","$1"&amp;UNICHAR(822)),'_Supporto Listone'!D234)</x:f>
        <x:v>Dd;Dc</x:v>
      </x:c>
      <x:c r="E234" s="433" t="str">
        <x:f>IF($J234&lt;&gt;"",REGEXREPLACE(TO_TEXT('_Supporto Listone'!E234),"(.)","$1"&amp;UNICHAR(822)),'_Supporto Listone'!E234)</x:f>
        <x:v>Riserva / rotazione</x:v>
      </x:c>
      <x:c r="F234" s="462" t="n">
        <x:f>IF($J234&lt;&gt;"",REGEXREPLACE(TO_TEXT('_Supporto Listone'!F234),"(.)","$1"&amp;UNICHAR(822)),'_Supporto Listone'!F234)</x:f>
        <x:v>1</x:v>
      </x:c>
      <x:c r="G234" s="462" t="n">
        <x:f>IF($J234&lt;&gt;"",REGEXREPLACE(TO_TEXT('_Supporto Listone'!G234),"(.)","$1"&amp;UNICHAR(822)),'_Supporto Listone'!G234)</x:f>
        <x:v>1</x:v>
      </x:c>
      <x:c r="H234" s="462" t="n">
        <x:f>IF($J234&lt;&gt;"",REGEXREPLACE(TO_TEXT('_Supporto Listone'!H234),"(.)","$1"&amp;UNICHAR(822)),'_Supporto Listone'!H234)</x:f>
        <x:v>1</x:v>
      </x:c>
      <x:c r="I234" s="434"/>
      <x:c r="J234" s="433" t="str">
        <x:f>IF(COUNTIF(Asta!$B$4:$B$47,'_Supporto Listone'!B234)&gt;0,"Simone",IF(COUNTIF(Asta!$D$4:$D$47,'_Supporto Listone'!B234)&gt;0,"Giacomo",IF(COUNTIF(Asta!$F$4:$F$47,'_Supporto Listone'!B234)&gt;0,"Niko",IF(COUNTIF(Asta!$H$4:$H$47,'_Supporto Listone'!B234)&gt;0,"Quici",IF(COUNTIF(Asta!$J$4:$J$47,'_Supporto Listone'!B234)&gt;0,"Fratello Quici",IF(COUNTIF(Asta!$L$4:$L$47,'_Supporto Listone'!B234)&gt;0,"Nicolò",IF(COUNTIF(Asta!$N$4:$N$47,'_Supporto Listone'!B234)&gt;0,"Vi",IF(COUNTIF(Asta!$P$4:$P$47,'_Supporto Listone'!B234)&gt;0,"Lore",IF(COUNTIF(Asta!$R$4:$R$47,'_Supporto Listone'!B234)&gt;0,"Robbo",IF(COUNTIF(Asta!$T$4:$T$47,'_Supporto Listone'!B234)&gt;0,"Ale",""))))))))))</x:f>
      </x:c>
      <x:c r="K234" s="493" t="str">
        <x:f>IF(COUNTIF(Asta!$B$4:$B$47,'_Supporto Listone'!B234)&gt;0,INDEX(Asta!$C$4:$C$47,MATCH('_Supporto Listone'!B234,Asta!$B$4:$B$47,0)),IF(COUNTIF(Asta!$D$4:$D$47,'_Supporto Listone'!B234)&gt;0,INDEX(Asta!$E$4:$E$47,MATCH('_Supporto Listone'!B234,Asta!$D$4:$D$47,0)),IF(COUNTIF(Asta!$F$4:$F$47,'_Supporto Listone'!B234)&gt;0,INDEX(Asta!$G$4:$G$47,MATCH('_Supporto Listone'!B234,Asta!$F$4:$F$47,0)),IF(COUNTIF(Asta!$H$4:$H$47,'_Supporto Listone'!B234)&gt;0,INDEX(Asta!$I$4:$I$47,MATCH('_Supporto Listone'!B234,Asta!$H$4:$H$47,0)),IF(COUNTIF(Asta!$J$4:$J$47,'_Supporto Listone'!B234)&gt;0,INDEX(Asta!$K$4:$K$47,MATCH('_Supporto Listone'!B234,Asta!$J$4:$J$47,0)),IF(COUNTIF(Asta!$L$4:$L$47,'_Supporto Listone'!B234)&gt;0,INDEX(Asta!$M$4:$M$47,MATCH('_Supporto Listone'!B234,Asta!$L$4:$L$47,0)),IF(COUNTIF(Asta!$N$4:$N$47,'_Supporto Listone'!B234)&gt;0,INDEX(Asta!$O$4:$O$47,MATCH('_Supporto Listone'!B234,Asta!$N$4:$N$47,0)),IF(COUNTIF(Asta!$P$4:$P$47,'_Supporto Listone'!B234)&gt;0,INDEX(Asta!$Q$4:$Q$47,MATCH('_Supporto Listone'!B234,Asta!$P$4:$P$47,0)),IF(COUNTIF(Asta!$R$4:$R$47,'_Supporto Listone'!B234)&gt;0,INDEX(Asta!$S$4:$S$47,MATCH('_Supporto Listone'!B234,Asta!$R$4:$R$47,0)),IF(COUNTIF(Asta!$T$4:$T$47,'_Supporto Listone'!B234)&gt;0,INDEX(Asta!$U$4:$U$47,MATCH('_Supporto Listone'!B234,Asta!$T$4:$T$47,0)),""))))))))))</x:f>
      </x:c>
    </x:row>
    <x:row r="235">
      <x:c r="A235" s="432" t="str">
        <x:f>IF($J235&lt;&gt;"",REGEXREPLACE(TO_TEXT('_Supporto Listone'!A235),"(.)","$1"&amp;UNICHAR(822)),'_Supporto Listone'!A235)</x:f>
        <x:v>D</x:v>
      </x:c>
      <x:c r="B235" s="433" t="str">
        <x:f>IF($J235&lt;&gt;"",REGEXREPLACE(TO_TEXT('_Supporto Listone'!B235),"(.)","$1"&amp;UNICHAR(822)),'_Supporto Listone'!B235)</x:f>
        <x:v>Antov</x:v>
      </x:c>
      <x:c r="C235" s="433" t="str">
        <x:f>IF($J235&lt;&gt;"",REGEXREPLACE(TO_TEXT('_Supporto Listone'!C235),"(.)","$1"&amp;UNICHAR(822)),'_Supporto Listone'!C235)</x:f>
        <x:v>Monza</x:v>
      </x:c>
      <x:c r="D235" s="433" t="str">
        <x:f>IF($J235&lt;&gt;"",REGEXREPLACE(TO_TEXT('_Supporto Listone'!D235),"(.)","$1"&amp;UNICHAR(822)),'_Supporto Listone'!D235)</x:f>
        <x:v>Dc</x:v>
      </x:c>
      <x:c r="E235" s="433" t="str">
        <x:f>IF($J235&lt;&gt;"",REGEXREPLACE(TO_TEXT('_Supporto Listone'!E235),"(.)","$1"&amp;UNICHAR(822)),'_Supporto Listone'!E235)</x:f>
        <x:v>Riserva / rotazione</x:v>
      </x:c>
      <x:c r="F235" s="462" t="n">
        <x:f>IF($J235&lt;&gt;"",REGEXREPLACE(TO_TEXT('_Supporto Listone'!F235),"(.)","$1"&amp;UNICHAR(822)),'_Supporto Listone'!F235)</x:f>
        <x:v>1</x:v>
      </x:c>
      <x:c r="G235" s="462" t="n">
        <x:f>IF($J235&lt;&gt;"",REGEXREPLACE(TO_TEXT('_Supporto Listone'!G235),"(.)","$1"&amp;UNICHAR(822)),'_Supporto Listone'!G235)</x:f>
        <x:v>2</x:v>
      </x:c>
      <x:c r="H235" s="462" t="n">
        <x:f>IF($J235&lt;&gt;"",REGEXREPLACE(TO_TEXT('_Supporto Listone'!H235),"(.)","$1"&amp;UNICHAR(822)),'_Supporto Listone'!H235)</x:f>
        <x:v>1</x:v>
      </x:c>
      <x:c r="I235" s="434"/>
      <x:c r="J235" s="433" t="str">
        <x:f>IF(COUNTIF(Asta!$B$4:$B$47,'_Supporto Listone'!B235)&gt;0,"Simone",IF(COUNTIF(Asta!$D$4:$D$47,'_Supporto Listone'!B235)&gt;0,"Giacomo",IF(COUNTIF(Asta!$F$4:$F$47,'_Supporto Listone'!B235)&gt;0,"Niko",IF(COUNTIF(Asta!$H$4:$H$47,'_Supporto Listone'!B235)&gt;0,"Quici",IF(COUNTIF(Asta!$J$4:$J$47,'_Supporto Listone'!B235)&gt;0,"Fratello Quici",IF(COUNTIF(Asta!$L$4:$L$47,'_Supporto Listone'!B235)&gt;0,"Nicolò",IF(COUNTIF(Asta!$N$4:$N$47,'_Supporto Listone'!B235)&gt;0,"Vi",IF(COUNTIF(Asta!$P$4:$P$47,'_Supporto Listone'!B235)&gt;0,"Lore",IF(COUNTIF(Asta!$R$4:$R$47,'_Supporto Listone'!B235)&gt;0,"Robbo",IF(COUNTIF(Asta!$T$4:$T$47,'_Supporto Listone'!B235)&gt;0,"Ale",""))))))))))</x:f>
      </x:c>
      <x:c r="K235" s="493" t="str">
        <x:f>IF(COUNTIF(Asta!$B$4:$B$47,'_Supporto Listone'!B235)&gt;0,INDEX(Asta!$C$4:$C$47,MATCH('_Supporto Listone'!B235,Asta!$B$4:$B$47,0)),IF(COUNTIF(Asta!$D$4:$D$47,'_Supporto Listone'!B235)&gt;0,INDEX(Asta!$E$4:$E$47,MATCH('_Supporto Listone'!B235,Asta!$D$4:$D$47,0)),IF(COUNTIF(Asta!$F$4:$F$47,'_Supporto Listone'!B235)&gt;0,INDEX(Asta!$G$4:$G$47,MATCH('_Supporto Listone'!B235,Asta!$F$4:$F$47,0)),IF(COUNTIF(Asta!$H$4:$H$47,'_Supporto Listone'!B235)&gt;0,INDEX(Asta!$I$4:$I$47,MATCH('_Supporto Listone'!B235,Asta!$H$4:$H$47,0)),IF(COUNTIF(Asta!$J$4:$J$47,'_Supporto Listone'!B235)&gt;0,INDEX(Asta!$K$4:$K$47,MATCH('_Supporto Listone'!B235,Asta!$J$4:$J$47,0)),IF(COUNTIF(Asta!$L$4:$L$47,'_Supporto Listone'!B235)&gt;0,INDEX(Asta!$M$4:$M$47,MATCH('_Supporto Listone'!B235,Asta!$L$4:$L$47,0)),IF(COUNTIF(Asta!$N$4:$N$47,'_Supporto Listone'!B235)&gt;0,INDEX(Asta!$O$4:$O$47,MATCH('_Supporto Listone'!B235,Asta!$N$4:$N$47,0)),IF(COUNTIF(Asta!$P$4:$P$47,'_Supporto Listone'!B235)&gt;0,INDEX(Asta!$Q$4:$Q$47,MATCH('_Supporto Listone'!B235,Asta!$P$4:$P$47,0)),IF(COUNTIF(Asta!$R$4:$R$47,'_Supporto Listone'!B235)&gt;0,INDEX(Asta!$S$4:$S$47,MATCH('_Supporto Listone'!B235,Asta!$R$4:$R$47,0)),IF(COUNTIF(Asta!$T$4:$T$47,'_Supporto Listone'!B235)&gt;0,INDEX(Asta!$U$4:$U$47,MATCH('_Supporto Listone'!B235,Asta!$T$4:$T$47,0)),""))))))))))</x:f>
      </x:c>
    </x:row>
    <x:row r="236">
      <x:c r="A236" s="432" t="str">
        <x:f>IF($J236&lt;&gt;"",REGEXREPLACE(TO_TEXT('_Supporto Listone'!A236),"(.)","$1"&amp;UNICHAR(822)),'_Supporto Listone'!A236)</x:f>
        <x:v>D</x:v>
      </x:c>
      <x:c r="B236" s="433" t="str">
        <x:f>IF($J236&lt;&gt;"",REGEXREPLACE(TO_TEXT('_Supporto Listone'!B236),"(.)","$1"&amp;UNICHAR(822)),'_Supporto Listone'!B236)</x:f>
        <x:v>Bakoune</x:v>
      </x:c>
      <x:c r="C236" s="433" t="str">
        <x:f>IF($J236&lt;&gt;"",REGEXREPLACE(TO_TEXT('_Supporto Listone'!C236),"(.)","$1"&amp;UNICHAR(822)),'_Supporto Listone'!C236)</x:f>
        <x:v>Monza</x:v>
      </x:c>
      <x:c r="D236" s="433" t="str">
        <x:f>IF($J236&lt;&gt;"",REGEXREPLACE(TO_TEXT('_Supporto Listone'!D236),"(.)","$1"&amp;UNICHAR(822)),'_Supporto Listone'!D236)</x:f>
        <x:v>Dd;E</x:v>
      </x:c>
      <x:c r="E236" s="433" t="str">
        <x:f>IF($J236&lt;&gt;"",REGEXREPLACE(TO_TEXT('_Supporto Listone'!E236),"(.)","$1"&amp;UNICHAR(822)),'_Supporto Listone'!E236)</x:f>
        <x:v>Riserva / rotazione</x:v>
      </x:c>
      <x:c r="F236" s="462" t="n">
        <x:f>IF($J236&lt;&gt;"",REGEXREPLACE(TO_TEXT('_Supporto Listone'!F236),"(.)","$1"&amp;UNICHAR(822)),'_Supporto Listone'!F236)</x:f>
        <x:v>1</x:v>
      </x:c>
      <x:c r="G236" s="462" t="n">
        <x:f>IF($J236&lt;&gt;"",REGEXREPLACE(TO_TEXT('_Supporto Listone'!G236),"(.)","$1"&amp;UNICHAR(822)),'_Supporto Listone'!G236)</x:f>
        <x:v>4</x:v>
      </x:c>
      <x:c r="H236" s="462" t="n">
        <x:f>IF($J236&lt;&gt;"",REGEXREPLACE(TO_TEXT('_Supporto Listone'!H236),"(.)","$1"&amp;UNICHAR(822)),'_Supporto Listone'!H236)</x:f>
        <x:v>2</x:v>
      </x:c>
      <x:c r="I236" s="434"/>
      <x:c r="J236" s="433" t="str">
        <x:f>IF(COUNTIF(Asta!$B$4:$B$47,'_Supporto Listone'!B236)&gt;0,"Simone",IF(COUNTIF(Asta!$D$4:$D$47,'_Supporto Listone'!B236)&gt;0,"Giacomo",IF(COUNTIF(Asta!$F$4:$F$47,'_Supporto Listone'!B236)&gt;0,"Niko",IF(COUNTIF(Asta!$H$4:$H$47,'_Supporto Listone'!B236)&gt;0,"Quici",IF(COUNTIF(Asta!$J$4:$J$47,'_Supporto Listone'!B236)&gt;0,"Fratello Quici",IF(COUNTIF(Asta!$L$4:$L$47,'_Supporto Listone'!B236)&gt;0,"Nicolò",IF(COUNTIF(Asta!$N$4:$N$47,'_Supporto Listone'!B236)&gt;0,"Vi",IF(COUNTIF(Asta!$P$4:$P$47,'_Supporto Listone'!B236)&gt;0,"Lore",IF(COUNTIF(Asta!$R$4:$R$47,'_Supporto Listone'!B236)&gt;0,"Robbo",IF(COUNTIF(Asta!$T$4:$T$47,'_Supporto Listone'!B236)&gt;0,"Ale",""))))))))))</x:f>
      </x:c>
      <x:c r="K236" s="493" t="str">
        <x:f>IF(COUNTIF(Asta!$B$4:$B$47,'_Supporto Listone'!B236)&gt;0,INDEX(Asta!$C$4:$C$47,MATCH('_Supporto Listone'!B236,Asta!$B$4:$B$47,0)),IF(COUNTIF(Asta!$D$4:$D$47,'_Supporto Listone'!B236)&gt;0,INDEX(Asta!$E$4:$E$47,MATCH('_Supporto Listone'!B236,Asta!$D$4:$D$47,0)),IF(COUNTIF(Asta!$F$4:$F$47,'_Supporto Listone'!B236)&gt;0,INDEX(Asta!$G$4:$G$47,MATCH('_Supporto Listone'!B236,Asta!$F$4:$F$47,0)),IF(COUNTIF(Asta!$H$4:$H$47,'_Supporto Listone'!B236)&gt;0,INDEX(Asta!$I$4:$I$47,MATCH('_Supporto Listone'!B236,Asta!$H$4:$H$47,0)),IF(COUNTIF(Asta!$J$4:$J$47,'_Supporto Listone'!B236)&gt;0,INDEX(Asta!$K$4:$K$47,MATCH('_Supporto Listone'!B236,Asta!$J$4:$J$47,0)),IF(COUNTIF(Asta!$L$4:$L$47,'_Supporto Listone'!B236)&gt;0,INDEX(Asta!$M$4:$M$47,MATCH('_Supporto Listone'!B236,Asta!$L$4:$L$47,0)),IF(COUNTIF(Asta!$N$4:$N$47,'_Supporto Listone'!B236)&gt;0,INDEX(Asta!$O$4:$O$47,MATCH('_Supporto Listone'!B236,Asta!$N$4:$N$47,0)),IF(COUNTIF(Asta!$P$4:$P$47,'_Supporto Listone'!B236)&gt;0,INDEX(Asta!$Q$4:$Q$47,MATCH('_Supporto Listone'!B236,Asta!$P$4:$P$47,0)),IF(COUNTIF(Asta!$R$4:$R$47,'_Supporto Listone'!B236)&gt;0,INDEX(Asta!$S$4:$S$47,MATCH('_Supporto Listone'!B236,Asta!$R$4:$R$47,0)),IF(COUNTIF(Asta!$T$4:$T$47,'_Supporto Listone'!B236)&gt;0,INDEX(Asta!$U$4:$U$47,MATCH('_Supporto Listone'!B236,Asta!$T$4:$T$47,0)),""))))))))))</x:f>
      </x:c>
    </x:row>
    <x:row r="237">
      <x:c r="A237" s="432" t="str">
        <x:f>IF($J237&lt;&gt;"",REGEXREPLACE(TO_TEXT('_Supporto Listone'!A237),"(.)","$1"&amp;UNICHAR(822)),'_Supporto Listone'!A237)</x:f>
        <x:v>D</x:v>
      </x:c>
      <x:c r="B237" s="433" t="str">
        <x:f>IF($J237&lt;&gt;"",REGEXREPLACE(TO_TEXT('_Supporto Listone'!B237),"(.)","$1"&amp;UNICHAR(822)),'_Supporto Listone'!B237)</x:f>
        <x:v>Marianucci</x:v>
      </x:c>
      <x:c r="C237" s="433" t="str">
        <x:f>IF($J237&lt;&gt;"",REGEXREPLACE(TO_TEXT('_Supporto Listone'!C237),"(.)","$1"&amp;UNICHAR(822)),'_Supporto Listone'!C237)</x:f>
        <x:v>Napoli</x:v>
      </x:c>
      <x:c r="D237" s="433" t="str">
        <x:f>IF($J237&lt;&gt;"",REGEXREPLACE(TO_TEXT('_Supporto Listone'!D237),"(.)","$1"&amp;UNICHAR(822)),'_Supporto Listone'!D237)</x:f>
        <x:v>Dc</x:v>
      </x:c>
      <x:c r="E237" s="433" t="str">
        <x:f>IF($J237&lt;&gt;"",REGEXREPLACE(TO_TEXT('_Supporto Listone'!E237),"(.)","$1"&amp;UNICHAR(822)),'_Supporto Listone'!E237)</x:f>
        <x:v>Riserva / rotazione</x:v>
      </x:c>
      <x:c r="F237" s="462" t="n">
        <x:f>IF($J237&lt;&gt;"",REGEXREPLACE(TO_TEXT('_Supporto Listone'!F237),"(.)","$1"&amp;UNICHAR(822)),'_Supporto Listone'!F237)</x:f>
        <x:v>1</x:v>
      </x:c>
      <x:c r="G237" s="462" t="n">
        <x:f>IF($J237&lt;&gt;"",REGEXREPLACE(TO_TEXT('_Supporto Listone'!G237),"(.)","$1"&amp;UNICHAR(822)),'_Supporto Listone'!G237)</x:f>
        <x:v>5</x:v>
      </x:c>
      <x:c r="H237" s="462" t="n">
        <x:f>IF($J237&lt;&gt;"",REGEXREPLACE(TO_TEXT('_Supporto Listone'!H237),"(.)","$1"&amp;UNICHAR(822)),'_Supporto Listone'!H237)</x:f>
        <x:v>3</x:v>
      </x:c>
      <x:c r="I237" s="434"/>
      <x:c r="J237" s="433" t="str">
        <x:f>IF(COUNTIF(Asta!$B$4:$B$47,'_Supporto Listone'!B237)&gt;0,"Simone",IF(COUNTIF(Asta!$D$4:$D$47,'_Supporto Listone'!B237)&gt;0,"Giacomo",IF(COUNTIF(Asta!$F$4:$F$47,'_Supporto Listone'!B237)&gt;0,"Niko",IF(COUNTIF(Asta!$H$4:$H$47,'_Supporto Listone'!B237)&gt;0,"Quici",IF(COUNTIF(Asta!$J$4:$J$47,'_Supporto Listone'!B237)&gt;0,"Fratello Quici",IF(COUNTIF(Asta!$L$4:$L$47,'_Supporto Listone'!B237)&gt;0,"Nicolò",IF(COUNTIF(Asta!$N$4:$N$47,'_Supporto Listone'!B237)&gt;0,"Vi",IF(COUNTIF(Asta!$P$4:$P$47,'_Supporto Listone'!B237)&gt;0,"Lore",IF(COUNTIF(Asta!$R$4:$R$47,'_Supporto Listone'!B237)&gt;0,"Robbo",IF(COUNTIF(Asta!$T$4:$T$47,'_Supporto Listone'!B237)&gt;0,"Ale",""))))))))))</x:f>
      </x:c>
      <x:c r="K237" s="493" t="str">
        <x:f>IF(COUNTIF(Asta!$B$4:$B$47,'_Supporto Listone'!B237)&gt;0,INDEX(Asta!$C$4:$C$47,MATCH('_Supporto Listone'!B237,Asta!$B$4:$B$47,0)),IF(COUNTIF(Asta!$D$4:$D$47,'_Supporto Listone'!B237)&gt;0,INDEX(Asta!$E$4:$E$47,MATCH('_Supporto Listone'!B237,Asta!$D$4:$D$47,0)),IF(COUNTIF(Asta!$F$4:$F$47,'_Supporto Listone'!B237)&gt;0,INDEX(Asta!$G$4:$G$47,MATCH('_Supporto Listone'!B237,Asta!$F$4:$F$47,0)),IF(COUNTIF(Asta!$H$4:$H$47,'_Supporto Listone'!B237)&gt;0,INDEX(Asta!$I$4:$I$47,MATCH('_Supporto Listone'!B237,Asta!$H$4:$H$47,0)),IF(COUNTIF(Asta!$J$4:$J$47,'_Supporto Listone'!B237)&gt;0,INDEX(Asta!$K$4:$K$47,MATCH('_Supporto Listone'!B237,Asta!$J$4:$J$47,0)),IF(COUNTIF(Asta!$L$4:$L$47,'_Supporto Listone'!B237)&gt;0,INDEX(Asta!$M$4:$M$47,MATCH('_Supporto Listone'!B237,Asta!$L$4:$L$47,0)),IF(COUNTIF(Asta!$N$4:$N$47,'_Supporto Listone'!B237)&gt;0,INDEX(Asta!$O$4:$O$47,MATCH('_Supporto Listone'!B237,Asta!$N$4:$N$47,0)),IF(COUNTIF(Asta!$P$4:$P$47,'_Supporto Listone'!B237)&gt;0,INDEX(Asta!$Q$4:$Q$47,MATCH('_Supporto Listone'!B237,Asta!$P$4:$P$47,0)),IF(COUNTIF(Asta!$R$4:$R$47,'_Supporto Listone'!B237)&gt;0,INDEX(Asta!$S$4:$S$47,MATCH('_Supporto Listone'!B237,Asta!$R$4:$R$47,0)),IF(COUNTIF(Asta!$T$4:$T$47,'_Supporto Listone'!B237)&gt;0,INDEX(Asta!$U$4:$U$47,MATCH('_Supporto Listone'!B237,Asta!$T$4:$T$47,0)),""))))))))))</x:f>
      </x:c>
    </x:row>
    <x:row r="238">
      <x:c r="A238" s="432" t="str">
        <x:f>IF($J238&lt;&gt;"",REGEXREPLACE(TO_TEXT('_Supporto Listone'!A238),"(.)","$1"&amp;UNICHAR(822)),'_Supporto Listone'!A238)</x:f>
        <x:v>D</x:v>
      </x:c>
      <x:c r="B238" s="433" t="str">
        <x:f>IF($J238&lt;&gt;"",REGEXREPLACE(TO_TEXT('_Supporto Listone'!B238),"(.)","$1"&amp;UNICHAR(822)),'_Supporto Listone'!B238)</x:f>
        <x:v>Mazzocchi</x:v>
      </x:c>
      <x:c r="C238" s="433" t="str">
        <x:f>IF($J238&lt;&gt;"",REGEXREPLACE(TO_TEXT('_Supporto Listone'!C238),"(.)","$1"&amp;UNICHAR(822)),'_Supporto Listone'!C238)</x:f>
        <x:v>Napoli</x:v>
      </x:c>
      <x:c r="D238" s="433" t="str">
        <x:f>IF($J238&lt;&gt;"",REGEXREPLACE(TO_TEXT('_Supporto Listone'!D238),"(.)","$1"&amp;UNICHAR(822)),'_Supporto Listone'!D238)</x:f>
        <x:v>Dd;Ds;E</x:v>
      </x:c>
      <x:c r="E238" s="433" t="str">
        <x:f>IF($J238&lt;&gt;"",REGEXREPLACE(TO_TEXT('_Supporto Listone'!E238),"(.)","$1"&amp;UNICHAR(822)),'_Supporto Listone'!E238)</x:f>
        <x:v>Riserva / rotazione</x:v>
      </x:c>
      <x:c r="F238" s="462" t="n">
        <x:f>IF($J238&lt;&gt;"",REGEXREPLACE(TO_TEXT('_Supporto Listone'!F238),"(.)","$1"&amp;UNICHAR(822)),'_Supporto Listone'!F238)</x:f>
        <x:v>1</x:v>
      </x:c>
      <x:c r="G238" s="462" t="n">
        <x:f>IF($J238&lt;&gt;"",REGEXREPLACE(TO_TEXT('_Supporto Listone'!G238),"(.)","$1"&amp;UNICHAR(822)),'_Supporto Listone'!G238)</x:f>
        <x:v>3</x:v>
      </x:c>
      <x:c r="H238" s="462" t="n">
        <x:f>IF($J238&lt;&gt;"",REGEXREPLACE(TO_TEXT('_Supporto Listone'!H238),"(.)","$1"&amp;UNICHAR(822)),'_Supporto Listone'!H238)</x:f>
        <x:v>2</x:v>
      </x:c>
      <x:c r="I238" s="434"/>
      <x:c r="J238" s="433" t="str">
        <x:f>IF(COUNTIF(Asta!$B$4:$B$47,'_Supporto Listone'!B238)&gt;0,"Simone",IF(COUNTIF(Asta!$D$4:$D$47,'_Supporto Listone'!B238)&gt;0,"Giacomo",IF(COUNTIF(Asta!$F$4:$F$47,'_Supporto Listone'!B238)&gt;0,"Niko",IF(COUNTIF(Asta!$H$4:$H$47,'_Supporto Listone'!B238)&gt;0,"Quici",IF(COUNTIF(Asta!$J$4:$J$47,'_Supporto Listone'!B238)&gt;0,"Fratello Quici",IF(COUNTIF(Asta!$L$4:$L$47,'_Supporto Listone'!B238)&gt;0,"Nicolò",IF(COUNTIF(Asta!$N$4:$N$47,'_Supporto Listone'!B238)&gt;0,"Vi",IF(COUNTIF(Asta!$P$4:$P$47,'_Supporto Listone'!B238)&gt;0,"Lore",IF(COUNTIF(Asta!$R$4:$R$47,'_Supporto Listone'!B238)&gt;0,"Robbo",IF(COUNTIF(Asta!$T$4:$T$47,'_Supporto Listone'!B238)&gt;0,"Ale",""))))))))))</x:f>
      </x:c>
      <x:c r="K238" s="493" t="str">
        <x:f>IF(COUNTIF(Asta!$B$4:$B$47,'_Supporto Listone'!B238)&gt;0,INDEX(Asta!$C$4:$C$47,MATCH('_Supporto Listone'!B238,Asta!$B$4:$B$47,0)),IF(COUNTIF(Asta!$D$4:$D$47,'_Supporto Listone'!B238)&gt;0,INDEX(Asta!$E$4:$E$47,MATCH('_Supporto Listone'!B238,Asta!$D$4:$D$47,0)),IF(COUNTIF(Asta!$F$4:$F$47,'_Supporto Listone'!B238)&gt;0,INDEX(Asta!$G$4:$G$47,MATCH('_Supporto Listone'!B238,Asta!$F$4:$F$47,0)),IF(COUNTIF(Asta!$H$4:$H$47,'_Supporto Listone'!B238)&gt;0,INDEX(Asta!$I$4:$I$47,MATCH('_Supporto Listone'!B238,Asta!$H$4:$H$47,0)),IF(COUNTIF(Asta!$J$4:$J$47,'_Supporto Listone'!B238)&gt;0,INDEX(Asta!$K$4:$K$47,MATCH('_Supporto Listone'!B238,Asta!$J$4:$J$47,0)),IF(COUNTIF(Asta!$L$4:$L$47,'_Supporto Listone'!B238)&gt;0,INDEX(Asta!$M$4:$M$47,MATCH('_Supporto Listone'!B238,Asta!$L$4:$L$47,0)),IF(COUNTIF(Asta!$N$4:$N$47,'_Supporto Listone'!B238)&gt;0,INDEX(Asta!$O$4:$O$47,MATCH('_Supporto Listone'!B238,Asta!$N$4:$N$47,0)),IF(COUNTIF(Asta!$P$4:$P$47,'_Supporto Listone'!B238)&gt;0,INDEX(Asta!$Q$4:$Q$47,MATCH('_Supporto Listone'!B238,Asta!$P$4:$P$47,0)),IF(COUNTIF(Asta!$R$4:$R$47,'_Supporto Listone'!B238)&gt;0,INDEX(Asta!$S$4:$S$47,MATCH('_Supporto Listone'!B238,Asta!$R$4:$R$47,0)),IF(COUNTIF(Asta!$T$4:$T$47,'_Supporto Listone'!B238)&gt;0,INDEX(Asta!$U$4:$U$47,MATCH('_Supporto Listone'!B238,Asta!$T$4:$T$47,0)),""))))))))))</x:f>
      </x:c>
    </x:row>
    <x:row r="239">
      <x:c r="A239" s="432" t="str">
        <x:f>IF($J239&lt;&gt;"",REGEXREPLACE(TO_TEXT('_Supporto Listone'!A239),"(.)","$1"&amp;UNICHAR(822)),'_Supporto Listone'!A239)</x:f>
        <x:v>D</x:v>
      </x:c>
      <x:c r="B239" s="433" t="str">
        <x:f>IF($J239&lt;&gt;"",REGEXREPLACE(TO_TEXT('_Supporto Listone'!B239),"(.)","$1"&amp;UNICHAR(822)),'_Supporto Listone'!B239)</x:f>
        <x:v>Carboni F.</x:v>
      </x:c>
      <x:c r="C239" s="433" t="str">
        <x:f>IF($J239&lt;&gt;"",REGEXREPLACE(TO_TEXT('_Supporto Listone'!C239),"(.)","$1"&amp;UNICHAR(822)),'_Supporto Listone'!C239)</x:f>
        <x:v>Parma</x:v>
      </x:c>
      <x:c r="D239" s="433" t="str">
        <x:f>IF($J239&lt;&gt;"",REGEXREPLACE(TO_TEXT('_Supporto Listone'!D239),"(.)","$1"&amp;UNICHAR(822)),'_Supporto Listone'!D239)</x:f>
        <x:v>Ds;E</x:v>
      </x:c>
      <x:c r="E239" s="433" t="str">
        <x:f>IF($J239&lt;&gt;"",REGEXREPLACE(TO_TEXT('_Supporto Listone'!E239),"(.)","$1"&amp;UNICHAR(822)),'_Supporto Listone'!E239)</x:f>
        <x:v>Riserva / rotazione</x:v>
      </x:c>
      <x:c r="F239" s="462" t="n">
        <x:f>IF($J239&lt;&gt;"",REGEXREPLACE(TO_TEXT('_Supporto Listone'!F239),"(.)","$1"&amp;UNICHAR(822)),'_Supporto Listone'!F239)</x:f>
        <x:v>1</x:v>
      </x:c>
      <x:c r="G239" s="462" t="n">
        <x:f>IF($J239&lt;&gt;"",REGEXREPLACE(TO_TEXT('_Supporto Listone'!G239),"(.)","$1"&amp;UNICHAR(822)),'_Supporto Listone'!G239)</x:f>
        <x:v>3</x:v>
      </x:c>
      <x:c r="H239" s="462" t="n">
        <x:f>IF($J239&lt;&gt;"",REGEXREPLACE(TO_TEXT('_Supporto Listone'!H239),"(.)","$1"&amp;UNICHAR(822)),'_Supporto Listone'!H239)</x:f>
        <x:v>2</x:v>
      </x:c>
      <x:c r="I239" s="434"/>
      <x:c r="J239" s="433" t="str">
        <x:f>IF(COUNTIF(Asta!$B$4:$B$47,'_Supporto Listone'!B239)&gt;0,"Simone",IF(COUNTIF(Asta!$D$4:$D$47,'_Supporto Listone'!B239)&gt;0,"Giacomo",IF(COUNTIF(Asta!$F$4:$F$47,'_Supporto Listone'!B239)&gt;0,"Niko",IF(COUNTIF(Asta!$H$4:$H$47,'_Supporto Listone'!B239)&gt;0,"Quici",IF(COUNTIF(Asta!$J$4:$J$47,'_Supporto Listone'!B239)&gt;0,"Fratello Quici",IF(COUNTIF(Asta!$L$4:$L$47,'_Supporto Listone'!B239)&gt;0,"Nicolò",IF(COUNTIF(Asta!$N$4:$N$47,'_Supporto Listone'!B239)&gt;0,"Vi",IF(COUNTIF(Asta!$P$4:$P$47,'_Supporto Listone'!B239)&gt;0,"Lore",IF(COUNTIF(Asta!$R$4:$R$47,'_Supporto Listone'!B239)&gt;0,"Robbo",IF(COUNTIF(Asta!$T$4:$T$47,'_Supporto Listone'!B239)&gt;0,"Ale",""))))))))))</x:f>
      </x:c>
      <x:c r="K239" s="493" t="str">
        <x:f>IF(COUNTIF(Asta!$B$4:$B$47,'_Supporto Listone'!B239)&gt;0,INDEX(Asta!$C$4:$C$47,MATCH('_Supporto Listone'!B239,Asta!$B$4:$B$47,0)),IF(COUNTIF(Asta!$D$4:$D$47,'_Supporto Listone'!B239)&gt;0,INDEX(Asta!$E$4:$E$47,MATCH('_Supporto Listone'!B239,Asta!$D$4:$D$47,0)),IF(COUNTIF(Asta!$F$4:$F$47,'_Supporto Listone'!B239)&gt;0,INDEX(Asta!$G$4:$G$47,MATCH('_Supporto Listone'!B239,Asta!$F$4:$F$47,0)),IF(COUNTIF(Asta!$H$4:$H$47,'_Supporto Listone'!B239)&gt;0,INDEX(Asta!$I$4:$I$47,MATCH('_Supporto Listone'!B239,Asta!$H$4:$H$47,0)),IF(COUNTIF(Asta!$J$4:$J$47,'_Supporto Listone'!B239)&gt;0,INDEX(Asta!$K$4:$K$47,MATCH('_Supporto Listone'!B239,Asta!$J$4:$J$47,0)),IF(COUNTIF(Asta!$L$4:$L$47,'_Supporto Listone'!B239)&gt;0,INDEX(Asta!$M$4:$M$47,MATCH('_Supporto Listone'!B239,Asta!$L$4:$L$47,0)),IF(COUNTIF(Asta!$N$4:$N$47,'_Supporto Listone'!B239)&gt;0,INDEX(Asta!$O$4:$O$47,MATCH('_Supporto Listone'!B239,Asta!$N$4:$N$47,0)),IF(COUNTIF(Asta!$P$4:$P$47,'_Supporto Listone'!B239)&gt;0,INDEX(Asta!$Q$4:$Q$47,MATCH('_Supporto Listone'!B239,Asta!$P$4:$P$47,0)),IF(COUNTIF(Asta!$R$4:$R$47,'_Supporto Listone'!B239)&gt;0,INDEX(Asta!$S$4:$S$47,MATCH('_Supporto Listone'!B239,Asta!$R$4:$R$47,0)),IF(COUNTIF(Asta!$T$4:$T$47,'_Supporto Listone'!B239)&gt;0,INDEX(Asta!$U$4:$U$47,MATCH('_Supporto Listone'!B239,Asta!$T$4:$T$47,0)),""))))))))))</x:f>
      </x:c>
    </x:row>
    <x:row r="240">
      <x:c r="A240" s="432" t="str">
        <x:f>IF($J240&lt;&gt;"",REGEXREPLACE(TO_TEXT('_Supporto Listone'!A240),"(.)","$1"&amp;UNICHAR(822)),'_Supporto Listone'!A240)</x:f>
        <x:v>D</x:v>
      </x:c>
      <x:c r="B240" s="433" t="str">
        <x:f>IF($J240&lt;&gt;"",REGEXREPLACE(TO_TEXT('_Supporto Listone'!B240),"(.)","$1"&amp;UNICHAR(822)),'_Supporto Listone'!B240)</x:f>
        <x:v>Ndiaye</x:v>
      </x:c>
      <x:c r="C240" s="433" t="str">
        <x:f>IF($J240&lt;&gt;"",REGEXREPLACE(TO_TEXT('_Supporto Listone'!C240),"(.)","$1"&amp;UNICHAR(822)),'_Supporto Listone'!C240)</x:f>
        <x:v>Parma</x:v>
      </x:c>
      <x:c r="D240" s="433" t="str">
        <x:f>IF($J240&lt;&gt;"",REGEXREPLACE(TO_TEXT('_Supporto Listone'!D240),"(.)","$1"&amp;UNICHAR(822)),'_Supporto Listone'!D240)</x:f>
        <x:v>Dc</x:v>
      </x:c>
      <x:c r="E240" s="433" t="str">
        <x:f>IF($J240&lt;&gt;"",REGEXREPLACE(TO_TEXT('_Supporto Listone'!E240),"(.)","$1"&amp;UNICHAR(822)),'_Supporto Listone'!E240)</x:f>
        <x:v>Riserva / rotazione</x:v>
      </x:c>
      <x:c r="F240" s="462" t="n">
        <x:f>IF($J240&lt;&gt;"",REGEXREPLACE(TO_TEXT('_Supporto Listone'!F240),"(.)","$1"&amp;UNICHAR(822)),'_Supporto Listone'!F240)</x:f>
        <x:v>1</x:v>
      </x:c>
      <x:c r="G240" s="462" t="n">
        <x:f>IF($J240&lt;&gt;"",REGEXREPLACE(TO_TEXT('_Supporto Listone'!G240),"(.)","$1"&amp;UNICHAR(822)),'_Supporto Listone'!G240)</x:f>
        <x:v>4</x:v>
      </x:c>
      <x:c r="H240" s="462" t="n">
        <x:f>IF($J240&lt;&gt;"",REGEXREPLACE(TO_TEXT('_Supporto Listone'!H240),"(.)","$1"&amp;UNICHAR(822)),'_Supporto Listone'!H240)</x:f>
        <x:v>2</x:v>
      </x:c>
      <x:c r="I240" s="434"/>
      <x:c r="J240" s="433" t="str">
        <x:f>IF(COUNTIF(Asta!$B$4:$B$47,'_Supporto Listone'!B240)&gt;0,"Simone",IF(COUNTIF(Asta!$D$4:$D$47,'_Supporto Listone'!B240)&gt;0,"Giacomo",IF(COUNTIF(Asta!$F$4:$F$47,'_Supporto Listone'!B240)&gt;0,"Niko",IF(COUNTIF(Asta!$H$4:$H$47,'_Supporto Listone'!B240)&gt;0,"Quici",IF(COUNTIF(Asta!$J$4:$J$47,'_Supporto Listone'!B240)&gt;0,"Fratello Quici",IF(COUNTIF(Asta!$L$4:$L$47,'_Supporto Listone'!B240)&gt;0,"Nicolò",IF(COUNTIF(Asta!$N$4:$N$47,'_Supporto Listone'!B240)&gt;0,"Vi",IF(COUNTIF(Asta!$P$4:$P$47,'_Supporto Listone'!B240)&gt;0,"Lore",IF(COUNTIF(Asta!$R$4:$R$47,'_Supporto Listone'!B240)&gt;0,"Robbo",IF(COUNTIF(Asta!$T$4:$T$47,'_Supporto Listone'!B240)&gt;0,"Ale",""))))))))))</x:f>
      </x:c>
      <x:c r="K240" s="493" t="str">
        <x:f>IF(COUNTIF(Asta!$B$4:$B$47,'_Supporto Listone'!B240)&gt;0,INDEX(Asta!$C$4:$C$47,MATCH('_Supporto Listone'!B240,Asta!$B$4:$B$47,0)),IF(COUNTIF(Asta!$D$4:$D$47,'_Supporto Listone'!B240)&gt;0,INDEX(Asta!$E$4:$E$47,MATCH('_Supporto Listone'!B240,Asta!$D$4:$D$47,0)),IF(COUNTIF(Asta!$F$4:$F$47,'_Supporto Listone'!B240)&gt;0,INDEX(Asta!$G$4:$G$47,MATCH('_Supporto Listone'!B240,Asta!$F$4:$F$47,0)),IF(COUNTIF(Asta!$H$4:$H$47,'_Supporto Listone'!B240)&gt;0,INDEX(Asta!$I$4:$I$47,MATCH('_Supporto Listone'!B240,Asta!$H$4:$H$47,0)),IF(COUNTIF(Asta!$J$4:$J$47,'_Supporto Listone'!B240)&gt;0,INDEX(Asta!$K$4:$K$47,MATCH('_Supporto Listone'!B240,Asta!$J$4:$J$47,0)),IF(COUNTIF(Asta!$L$4:$L$47,'_Supporto Listone'!B240)&gt;0,INDEX(Asta!$M$4:$M$47,MATCH('_Supporto Listone'!B240,Asta!$L$4:$L$47,0)),IF(COUNTIF(Asta!$N$4:$N$47,'_Supporto Listone'!B240)&gt;0,INDEX(Asta!$O$4:$O$47,MATCH('_Supporto Listone'!B240,Asta!$N$4:$N$47,0)),IF(COUNTIF(Asta!$P$4:$P$47,'_Supporto Listone'!B240)&gt;0,INDEX(Asta!$Q$4:$Q$47,MATCH('_Supporto Listone'!B240,Asta!$P$4:$P$47,0)),IF(COUNTIF(Asta!$R$4:$R$47,'_Supporto Listone'!B240)&gt;0,INDEX(Asta!$S$4:$S$47,MATCH('_Supporto Listone'!B240,Asta!$R$4:$R$47,0)),IF(COUNTIF(Asta!$T$4:$T$47,'_Supporto Listone'!B240)&gt;0,INDEX(Asta!$U$4:$U$47,MATCH('_Supporto Listone'!B240,Asta!$T$4:$T$47,0)),""))))))))))</x:f>
      </x:c>
    </x:row>
    <x:row r="241">
      <x:c r="A241" s="432" t="str">
        <x:f>IF($J241&lt;&gt;"",REGEXREPLACE(TO_TEXT('_Supporto Listone'!A241),"(.)","$1"&amp;UNICHAR(822)),'_Supporto Listone'!A241)</x:f>
        <x:v>D</x:v>
      </x:c>
      <x:c r="B241" s="433" t="str">
        <x:f>IF($J241&lt;&gt;"",REGEXREPLACE(TO_TEXT('_Supporto Listone'!B241),"(.)","$1"&amp;UNICHAR(822)),'_Supporto Listone'!B241)</x:f>
        <x:v>Ziolkowski</x:v>
      </x:c>
      <x:c r="C241" s="433" t="str">
        <x:f>IF($J241&lt;&gt;"",REGEXREPLACE(TO_TEXT('_Supporto Listone'!C241),"(.)","$1"&amp;UNICHAR(822)),'_Supporto Listone'!C241)</x:f>
        <x:v>Roma</x:v>
      </x:c>
      <x:c r="D241" s="433" t="str">
        <x:f>IF($J241&lt;&gt;"",REGEXREPLACE(TO_TEXT('_Supporto Listone'!D241),"(.)","$1"&amp;UNICHAR(822)),'_Supporto Listone'!D241)</x:f>
        <x:v>Dc</x:v>
      </x:c>
      <x:c r="E241" s="433" t="str">
        <x:f>IF($J241&lt;&gt;"",REGEXREPLACE(TO_TEXT('_Supporto Listone'!E241),"(.)","$1"&amp;UNICHAR(822)),'_Supporto Listone'!E241)</x:f>
        <x:v>Riserva / rotazione</x:v>
      </x:c>
      <x:c r="F241" s="462" t="n">
        <x:f>IF($J241&lt;&gt;"",REGEXREPLACE(TO_TEXT('_Supporto Listone'!F241),"(.)","$1"&amp;UNICHAR(822)),'_Supporto Listone'!F241)</x:f>
        <x:v>1</x:v>
      </x:c>
      <x:c r="G241" s="462" t="n">
        <x:f>IF($J241&lt;&gt;"",REGEXREPLACE(TO_TEXT('_Supporto Listone'!G241),"(.)","$1"&amp;UNICHAR(822)),'_Supporto Listone'!G241)</x:f>
        <x:v>2</x:v>
      </x:c>
      <x:c r="H241" s="462" t="n">
        <x:f>IF($J241&lt;&gt;"",REGEXREPLACE(TO_TEXT('_Supporto Listone'!H241),"(.)","$1"&amp;UNICHAR(822)),'_Supporto Listone'!H241)</x:f>
        <x:v>1</x:v>
      </x:c>
      <x:c r="I241" s="434"/>
      <x:c r="J241" s="433" t="str">
        <x:f>IF(COUNTIF(Asta!$B$4:$B$47,'_Supporto Listone'!B241)&gt;0,"Simone",IF(COUNTIF(Asta!$D$4:$D$47,'_Supporto Listone'!B241)&gt;0,"Giacomo",IF(COUNTIF(Asta!$F$4:$F$47,'_Supporto Listone'!B241)&gt;0,"Niko",IF(COUNTIF(Asta!$H$4:$H$47,'_Supporto Listone'!B241)&gt;0,"Quici",IF(COUNTIF(Asta!$J$4:$J$47,'_Supporto Listone'!B241)&gt;0,"Fratello Quici",IF(COUNTIF(Asta!$L$4:$L$47,'_Supporto Listone'!B241)&gt;0,"Nicolò",IF(COUNTIF(Asta!$N$4:$N$47,'_Supporto Listone'!B241)&gt;0,"Vi",IF(COUNTIF(Asta!$P$4:$P$47,'_Supporto Listone'!B241)&gt;0,"Lore",IF(COUNTIF(Asta!$R$4:$R$47,'_Supporto Listone'!B241)&gt;0,"Robbo",IF(COUNTIF(Asta!$T$4:$T$47,'_Supporto Listone'!B241)&gt;0,"Ale",""))))))))))</x:f>
      </x:c>
      <x:c r="K241" s="493" t="str">
        <x:f>IF(COUNTIF(Asta!$B$4:$B$47,'_Supporto Listone'!B241)&gt;0,INDEX(Asta!$C$4:$C$47,MATCH('_Supporto Listone'!B241,Asta!$B$4:$B$47,0)),IF(COUNTIF(Asta!$D$4:$D$47,'_Supporto Listone'!B241)&gt;0,INDEX(Asta!$E$4:$E$47,MATCH('_Supporto Listone'!B241,Asta!$D$4:$D$47,0)),IF(COUNTIF(Asta!$F$4:$F$47,'_Supporto Listone'!B241)&gt;0,INDEX(Asta!$G$4:$G$47,MATCH('_Supporto Listone'!B241,Asta!$F$4:$F$47,0)),IF(COUNTIF(Asta!$H$4:$H$47,'_Supporto Listone'!B241)&gt;0,INDEX(Asta!$I$4:$I$47,MATCH('_Supporto Listone'!B241,Asta!$H$4:$H$47,0)),IF(COUNTIF(Asta!$J$4:$J$47,'_Supporto Listone'!B241)&gt;0,INDEX(Asta!$K$4:$K$47,MATCH('_Supporto Listone'!B241,Asta!$J$4:$J$47,0)),IF(COUNTIF(Asta!$L$4:$L$47,'_Supporto Listone'!B241)&gt;0,INDEX(Asta!$M$4:$M$47,MATCH('_Supporto Listone'!B241,Asta!$L$4:$L$47,0)),IF(COUNTIF(Asta!$N$4:$N$47,'_Supporto Listone'!B241)&gt;0,INDEX(Asta!$O$4:$O$47,MATCH('_Supporto Listone'!B241,Asta!$N$4:$N$47,0)),IF(COUNTIF(Asta!$P$4:$P$47,'_Supporto Listone'!B241)&gt;0,INDEX(Asta!$Q$4:$Q$47,MATCH('_Supporto Listone'!B241,Asta!$P$4:$P$47,0)),IF(COUNTIF(Asta!$R$4:$R$47,'_Supporto Listone'!B241)&gt;0,INDEX(Asta!$S$4:$S$47,MATCH('_Supporto Listone'!B241,Asta!$R$4:$R$47,0)),IF(COUNTIF(Asta!$T$4:$T$47,'_Supporto Listone'!B241)&gt;0,INDEX(Asta!$U$4:$U$47,MATCH('_Supporto Listone'!B241,Asta!$T$4:$T$47,0)),""))))))))))</x:f>
      </x:c>
    </x:row>
    <x:row r="242">
      <x:c r="A242" s="432" t="str">
        <x:f>IF($J242&lt;&gt;"",REGEXREPLACE(TO_TEXT('_Supporto Listone'!A242),"(.)","$1"&amp;UNICHAR(822)),'_Supporto Listone'!A242)</x:f>
        <x:v>D</x:v>
      </x:c>
      <x:c r="B242" s="433" t="str">
        <x:f>IF($J242&lt;&gt;"",REGEXREPLACE(TO_TEXT('_Supporto Listone'!B242),"(.)","$1"&amp;UNICHAR(822)),'_Supporto Listone'!B242)</x:f>
        <x:v>Missori</x:v>
      </x:c>
      <x:c r="C242" s="433" t="str">
        <x:f>IF($J242&lt;&gt;"",REGEXREPLACE(TO_TEXT('_Supporto Listone'!C242),"(.)","$1"&amp;UNICHAR(822)),'_Supporto Listone'!C242)</x:f>
        <x:v>Sassuolo</x:v>
      </x:c>
      <x:c r="D242" s="433" t="str">
        <x:f>IF($J242&lt;&gt;"",REGEXREPLACE(TO_TEXT('_Supporto Listone'!D242),"(.)","$1"&amp;UNICHAR(822)),'_Supporto Listone'!D242)</x:f>
        <x:v>Dd;E</x:v>
      </x:c>
      <x:c r="E242" s="433" t="str">
        <x:f>IF($J242&lt;&gt;"",REGEXREPLACE(TO_TEXT('_Supporto Listone'!E242),"(.)","$1"&amp;UNICHAR(822)),'_Supporto Listone'!E242)</x:f>
        <x:v>Riserva / rotazione</x:v>
      </x:c>
      <x:c r="F242" s="462" t="n">
        <x:f>IF($J242&lt;&gt;"",REGEXREPLACE(TO_TEXT('_Supporto Listone'!F242),"(.)","$1"&amp;UNICHAR(822)),'_Supporto Listone'!F242)</x:f>
        <x:v>1</x:v>
      </x:c>
      <x:c r="G242" s="462" t="n">
        <x:f>IF($J242&lt;&gt;"",REGEXREPLACE(TO_TEXT('_Supporto Listone'!G242),"(.)","$1"&amp;UNICHAR(822)),'_Supporto Listone'!G242)</x:f>
        <x:v>2</x:v>
      </x:c>
      <x:c r="H242" s="462" t="n">
        <x:f>IF($J242&lt;&gt;"",REGEXREPLACE(TO_TEXT('_Supporto Listone'!H242),"(.)","$1"&amp;UNICHAR(822)),'_Supporto Listone'!H242)</x:f>
        <x:v>1</x:v>
      </x:c>
      <x:c r="I242" s="434"/>
      <x:c r="J242" s="433" t="str">
        <x:f>IF(COUNTIF(Asta!$B$4:$B$47,'_Supporto Listone'!B242)&gt;0,"Simone",IF(COUNTIF(Asta!$D$4:$D$47,'_Supporto Listone'!B242)&gt;0,"Giacomo",IF(COUNTIF(Asta!$F$4:$F$47,'_Supporto Listone'!B242)&gt;0,"Niko",IF(COUNTIF(Asta!$H$4:$H$47,'_Supporto Listone'!B242)&gt;0,"Quici",IF(COUNTIF(Asta!$J$4:$J$47,'_Supporto Listone'!B242)&gt;0,"Fratello Quici",IF(COUNTIF(Asta!$L$4:$L$47,'_Supporto Listone'!B242)&gt;0,"Nicolò",IF(COUNTIF(Asta!$N$4:$N$47,'_Supporto Listone'!B242)&gt;0,"Vi",IF(COUNTIF(Asta!$P$4:$P$47,'_Supporto Listone'!B242)&gt;0,"Lore",IF(COUNTIF(Asta!$R$4:$R$47,'_Supporto Listone'!B242)&gt;0,"Robbo",IF(COUNTIF(Asta!$T$4:$T$47,'_Supporto Listone'!B242)&gt;0,"Ale",""))))))))))</x:f>
      </x:c>
      <x:c r="K242" s="493" t="str">
        <x:f>IF(COUNTIF(Asta!$B$4:$B$47,'_Supporto Listone'!B242)&gt;0,INDEX(Asta!$C$4:$C$47,MATCH('_Supporto Listone'!B242,Asta!$B$4:$B$47,0)),IF(COUNTIF(Asta!$D$4:$D$47,'_Supporto Listone'!B242)&gt;0,INDEX(Asta!$E$4:$E$47,MATCH('_Supporto Listone'!B242,Asta!$D$4:$D$47,0)),IF(COUNTIF(Asta!$F$4:$F$47,'_Supporto Listone'!B242)&gt;0,INDEX(Asta!$G$4:$G$47,MATCH('_Supporto Listone'!B242,Asta!$F$4:$F$47,0)),IF(COUNTIF(Asta!$H$4:$H$47,'_Supporto Listone'!B242)&gt;0,INDEX(Asta!$I$4:$I$47,MATCH('_Supporto Listone'!B242,Asta!$H$4:$H$47,0)),IF(COUNTIF(Asta!$J$4:$J$47,'_Supporto Listone'!B242)&gt;0,INDEX(Asta!$K$4:$K$47,MATCH('_Supporto Listone'!B242,Asta!$J$4:$J$47,0)),IF(COUNTIF(Asta!$L$4:$L$47,'_Supporto Listone'!B242)&gt;0,INDEX(Asta!$M$4:$M$47,MATCH('_Supporto Listone'!B242,Asta!$L$4:$L$47,0)),IF(COUNTIF(Asta!$N$4:$N$47,'_Supporto Listone'!B242)&gt;0,INDEX(Asta!$O$4:$O$47,MATCH('_Supporto Listone'!B242,Asta!$N$4:$N$47,0)),IF(COUNTIF(Asta!$P$4:$P$47,'_Supporto Listone'!B242)&gt;0,INDEX(Asta!$Q$4:$Q$47,MATCH('_Supporto Listone'!B242,Asta!$P$4:$P$47,0)),IF(COUNTIF(Asta!$R$4:$R$47,'_Supporto Listone'!B242)&gt;0,INDEX(Asta!$S$4:$S$47,MATCH('_Supporto Listone'!B242,Asta!$R$4:$R$47,0)),IF(COUNTIF(Asta!$T$4:$T$47,'_Supporto Listone'!B242)&gt;0,INDEX(Asta!$U$4:$U$47,MATCH('_Supporto Listone'!B242,Asta!$T$4:$T$47,0)),""))))))))))</x:f>
      </x:c>
    </x:row>
    <x:row r="243">
      <x:c r="A243" s="432" t="str">
        <x:f>IF($J243&lt;&gt;"",REGEXREPLACE(TO_TEXT('_Supporto Listone'!A243),"(.)","$1"&amp;UNICHAR(822)),'_Supporto Listone'!A243)</x:f>
        <x:v>D</x:v>
      </x:c>
      <x:c r="B243" s="433" t="str">
        <x:f>IF($J243&lt;&gt;"",REGEXREPLACE(TO_TEXT('_Supporto Listone'!B243),"(.)","$1"&amp;UNICHAR(822)),'_Supporto Listone'!B243)</x:f>
        <x:v>Pieragnolo</x:v>
      </x:c>
      <x:c r="C243" s="433" t="str">
        <x:f>IF($J243&lt;&gt;"",REGEXREPLACE(TO_TEXT('_Supporto Listone'!C243),"(.)","$1"&amp;UNICHAR(822)),'_Supporto Listone'!C243)</x:f>
        <x:v>Sassuolo</x:v>
      </x:c>
      <x:c r="D243" s="433" t="str">
        <x:f>IF($J243&lt;&gt;"",REGEXREPLACE(TO_TEXT('_Supporto Listone'!D243),"(.)","$1"&amp;UNICHAR(822)),'_Supporto Listone'!D243)</x:f>
        <x:v>Ds;E</x:v>
      </x:c>
      <x:c r="E243" s="433" t="str">
        <x:f>IF($J243&lt;&gt;"",REGEXREPLACE(TO_TEXT('_Supporto Listone'!E243),"(.)","$1"&amp;UNICHAR(822)),'_Supporto Listone'!E243)</x:f>
        <x:v>Riserva / rotazione</x:v>
      </x:c>
      <x:c r="F243" s="462" t="n">
        <x:f>IF($J243&lt;&gt;"",REGEXREPLACE(TO_TEXT('_Supporto Listone'!F243),"(.)","$1"&amp;UNICHAR(822)),'_Supporto Listone'!F243)</x:f>
        <x:v>1</x:v>
      </x:c>
      <x:c r="G243" s="462" t="n">
        <x:f>IF($J243&lt;&gt;"",REGEXREPLACE(TO_TEXT('_Supporto Listone'!G243),"(.)","$1"&amp;UNICHAR(822)),'_Supporto Listone'!G243)</x:f>
        <x:v>1</x:v>
      </x:c>
      <x:c r="H243" s="462" t="n">
        <x:f>IF($J243&lt;&gt;"",REGEXREPLACE(TO_TEXT('_Supporto Listone'!H243),"(.)","$1"&amp;UNICHAR(822)),'_Supporto Listone'!H243)</x:f>
        <x:v>1</x:v>
      </x:c>
      <x:c r="I243" s="434"/>
      <x:c r="J243" s="433" t="str">
        <x:f>IF(COUNTIF(Asta!$B$4:$B$47,'_Supporto Listone'!B243)&gt;0,"Simone",IF(COUNTIF(Asta!$D$4:$D$47,'_Supporto Listone'!B243)&gt;0,"Giacomo",IF(COUNTIF(Asta!$F$4:$F$47,'_Supporto Listone'!B243)&gt;0,"Niko",IF(COUNTIF(Asta!$H$4:$H$47,'_Supporto Listone'!B243)&gt;0,"Quici",IF(COUNTIF(Asta!$J$4:$J$47,'_Supporto Listone'!B243)&gt;0,"Fratello Quici",IF(COUNTIF(Asta!$L$4:$L$47,'_Supporto Listone'!B243)&gt;0,"Nicolò",IF(COUNTIF(Asta!$N$4:$N$47,'_Supporto Listone'!B243)&gt;0,"Vi",IF(COUNTIF(Asta!$P$4:$P$47,'_Supporto Listone'!B243)&gt;0,"Lore",IF(COUNTIF(Asta!$R$4:$R$47,'_Supporto Listone'!B243)&gt;0,"Robbo",IF(COUNTIF(Asta!$T$4:$T$47,'_Supporto Listone'!B243)&gt;0,"Ale",""))))))))))</x:f>
      </x:c>
      <x:c r="K243" s="493" t="str">
        <x:f>IF(COUNTIF(Asta!$B$4:$B$47,'_Supporto Listone'!B243)&gt;0,INDEX(Asta!$C$4:$C$47,MATCH('_Supporto Listone'!B243,Asta!$B$4:$B$47,0)),IF(COUNTIF(Asta!$D$4:$D$47,'_Supporto Listone'!B243)&gt;0,INDEX(Asta!$E$4:$E$47,MATCH('_Supporto Listone'!B243,Asta!$D$4:$D$47,0)),IF(COUNTIF(Asta!$F$4:$F$47,'_Supporto Listone'!B243)&gt;0,INDEX(Asta!$G$4:$G$47,MATCH('_Supporto Listone'!B243,Asta!$F$4:$F$47,0)),IF(COUNTIF(Asta!$H$4:$H$47,'_Supporto Listone'!B243)&gt;0,INDEX(Asta!$I$4:$I$47,MATCH('_Supporto Listone'!B243,Asta!$H$4:$H$47,0)),IF(COUNTIF(Asta!$J$4:$J$47,'_Supporto Listone'!B243)&gt;0,INDEX(Asta!$K$4:$K$47,MATCH('_Supporto Listone'!B243,Asta!$J$4:$J$47,0)),IF(COUNTIF(Asta!$L$4:$L$47,'_Supporto Listone'!B243)&gt;0,INDEX(Asta!$M$4:$M$47,MATCH('_Supporto Listone'!B243,Asta!$L$4:$L$47,0)),IF(COUNTIF(Asta!$N$4:$N$47,'_Supporto Listone'!B243)&gt;0,INDEX(Asta!$O$4:$O$47,MATCH('_Supporto Listone'!B243,Asta!$N$4:$N$47,0)),IF(COUNTIF(Asta!$P$4:$P$47,'_Supporto Listone'!B243)&gt;0,INDEX(Asta!$Q$4:$Q$47,MATCH('_Supporto Listone'!B243,Asta!$P$4:$P$47,0)),IF(COUNTIF(Asta!$R$4:$R$47,'_Supporto Listone'!B243)&gt;0,INDEX(Asta!$S$4:$S$47,MATCH('_Supporto Listone'!B243,Asta!$R$4:$R$47,0)),IF(COUNTIF(Asta!$T$4:$T$47,'_Supporto Listone'!B243)&gt;0,INDEX(Asta!$U$4:$U$47,MATCH('_Supporto Listone'!B243,Asta!$T$4:$T$47,0)),""))))))))))</x:f>
      </x:c>
    </x:row>
    <x:row r="244">
      <x:c r="A244" s="432" t="str">
        <x:f>IF($J244&lt;&gt;"",REGEXREPLACE(TO_TEXT('_Supporto Listone'!A244),"(.)","$1"&amp;UNICHAR(822)),'_Supporto Listone'!A244)</x:f>
        <x:v>D</x:v>
      </x:c>
      <x:c r="B244" s="433" t="str">
        <x:f>IF($J244&lt;&gt;"",REGEXREPLACE(TO_TEXT('_Supporto Listone'!B244),"(.)","$1"&amp;UNICHAR(822)),'_Supporto Listone'!B244)</x:f>
        <x:v>Abankwah</x:v>
      </x:c>
      <x:c r="C244" s="433" t="str">
        <x:f>IF($J244&lt;&gt;"",REGEXREPLACE(TO_TEXT('_Supporto Listone'!C244),"(.)","$1"&amp;UNICHAR(822)),'_Supporto Listone'!C244)</x:f>
        <x:v>Udinese</x:v>
      </x:c>
      <x:c r="D244" s="433" t="str">
        <x:f>IF($J244&lt;&gt;"",REGEXREPLACE(TO_TEXT('_Supporto Listone'!D244),"(.)","$1"&amp;UNICHAR(822)),'_Supporto Listone'!D244)</x:f>
        <x:v>Dd;Dc</x:v>
      </x:c>
      <x:c r="E244" s="433" t="str">
        <x:f>IF($J244&lt;&gt;"",REGEXREPLACE(TO_TEXT('_Supporto Listone'!E244),"(.)","$1"&amp;UNICHAR(822)),'_Supporto Listone'!E244)</x:f>
        <x:v>Ballottaggio</x:v>
      </x:c>
      <x:c r="F244" s="462" t="n">
        <x:f>IF($J244&lt;&gt;"",REGEXREPLACE(TO_TEXT('_Supporto Listone'!F244),"(.)","$1"&amp;UNICHAR(822)),'_Supporto Listone'!F244)</x:f>
        <x:v>1</x:v>
      </x:c>
      <x:c r="G244" s="462" t="n">
        <x:f>IF($J244&lt;&gt;"",REGEXREPLACE(TO_TEXT('_Supporto Listone'!G244),"(.)","$1"&amp;UNICHAR(822)),'_Supporto Listone'!G244)</x:f>
        <x:v>3</x:v>
      </x:c>
      <x:c r="H244" s="462" t="n">
        <x:f>IF($J244&lt;&gt;"",REGEXREPLACE(TO_TEXT('_Supporto Listone'!H244),"(.)","$1"&amp;UNICHAR(822)),'_Supporto Listone'!H244)</x:f>
        <x:v>2</x:v>
      </x:c>
      <x:c r="I244" s="434"/>
      <x:c r="J244" s="433" t="str">
        <x:f>IF(COUNTIF(Asta!$B$4:$B$47,'_Supporto Listone'!B244)&gt;0,"Simone",IF(COUNTIF(Asta!$D$4:$D$47,'_Supporto Listone'!B244)&gt;0,"Giacomo",IF(COUNTIF(Asta!$F$4:$F$47,'_Supporto Listone'!B244)&gt;0,"Niko",IF(COUNTIF(Asta!$H$4:$H$47,'_Supporto Listone'!B244)&gt;0,"Quici",IF(COUNTIF(Asta!$J$4:$J$47,'_Supporto Listone'!B244)&gt;0,"Fratello Quici",IF(COUNTIF(Asta!$L$4:$L$47,'_Supporto Listone'!B244)&gt;0,"Nicolò",IF(COUNTIF(Asta!$N$4:$N$47,'_Supporto Listone'!B244)&gt;0,"Vi",IF(COUNTIF(Asta!$P$4:$P$47,'_Supporto Listone'!B244)&gt;0,"Lore",IF(COUNTIF(Asta!$R$4:$R$47,'_Supporto Listone'!B244)&gt;0,"Robbo",IF(COUNTIF(Asta!$T$4:$T$47,'_Supporto Listone'!B244)&gt;0,"Ale",""))))))))))</x:f>
      </x:c>
      <x:c r="K244" s="493" t="str">
        <x:f>IF(COUNTIF(Asta!$B$4:$B$47,'_Supporto Listone'!B244)&gt;0,INDEX(Asta!$C$4:$C$47,MATCH('_Supporto Listone'!B244,Asta!$B$4:$B$47,0)),IF(COUNTIF(Asta!$D$4:$D$47,'_Supporto Listone'!B244)&gt;0,INDEX(Asta!$E$4:$E$47,MATCH('_Supporto Listone'!B244,Asta!$D$4:$D$47,0)),IF(COUNTIF(Asta!$F$4:$F$47,'_Supporto Listone'!B244)&gt;0,INDEX(Asta!$G$4:$G$47,MATCH('_Supporto Listone'!B244,Asta!$F$4:$F$47,0)),IF(COUNTIF(Asta!$H$4:$H$47,'_Supporto Listone'!B244)&gt;0,INDEX(Asta!$I$4:$I$47,MATCH('_Supporto Listone'!B244,Asta!$H$4:$H$47,0)),IF(COUNTIF(Asta!$J$4:$J$47,'_Supporto Listone'!B244)&gt;0,INDEX(Asta!$K$4:$K$47,MATCH('_Supporto Listone'!B244,Asta!$J$4:$J$47,0)),IF(COUNTIF(Asta!$L$4:$L$47,'_Supporto Listone'!B244)&gt;0,INDEX(Asta!$M$4:$M$47,MATCH('_Supporto Listone'!B244,Asta!$L$4:$L$47,0)),IF(COUNTIF(Asta!$N$4:$N$47,'_Supporto Listone'!B244)&gt;0,INDEX(Asta!$O$4:$O$47,MATCH('_Supporto Listone'!B244,Asta!$N$4:$N$47,0)),IF(COUNTIF(Asta!$P$4:$P$47,'_Supporto Listone'!B244)&gt;0,INDEX(Asta!$Q$4:$Q$47,MATCH('_Supporto Listone'!B244,Asta!$P$4:$P$47,0)),IF(COUNTIF(Asta!$R$4:$R$47,'_Supporto Listone'!B244)&gt;0,INDEX(Asta!$S$4:$S$47,MATCH('_Supporto Listone'!B244,Asta!$R$4:$R$47,0)),IF(COUNTIF(Asta!$T$4:$T$47,'_Supporto Listone'!B244)&gt;0,INDEX(Asta!$U$4:$U$47,MATCH('_Supporto Listone'!B244,Asta!$T$4:$T$47,0)),""))))))))))</x:f>
      </x:c>
    </x:row>
    <x:row r="245">
      <x:c r="A245" s="432" t="str">
        <x:f>IF($J245&lt;&gt;"",REGEXREPLACE(TO_TEXT('_Supporto Listone'!A245),"(.)","$1"&amp;UNICHAR(822)),'_Supporto Listone'!A245)</x:f>
        <x:v>D</x:v>
      </x:c>
      <x:c r="B245" s="433" t="str">
        <x:f>IF($J245&lt;&gt;"",REGEXREPLACE(TO_TEXT('_Supporto Listone'!B245),"(.)","$1"&amp;UNICHAR(822)),'_Supporto Listone'!B245)</x:f>
        <x:v>Mlacic</x:v>
      </x:c>
      <x:c r="C245" s="433" t="str">
        <x:f>IF($J245&lt;&gt;"",REGEXREPLACE(TO_TEXT('_Supporto Listone'!C245),"(.)","$1"&amp;UNICHAR(822)),'_Supporto Listone'!C245)</x:f>
        <x:v>Udinese</x:v>
      </x:c>
      <x:c r="D245" s="433" t="str">
        <x:f>IF($J245&lt;&gt;"",REGEXREPLACE(TO_TEXT('_Supporto Listone'!D245),"(.)","$1"&amp;UNICHAR(822)),'_Supporto Listone'!D245)</x:f>
        <x:v>Dc</x:v>
      </x:c>
      <x:c r="E245" s="433" t="str">
        <x:f>IF($J245&lt;&gt;"",REGEXREPLACE(TO_TEXT('_Supporto Listone'!E245),"(.)","$1"&amp;UNICHAR(822)),'_Supporto Listone'!E245)</x:f>
        <x:v>Riserva / rotazione</x:v>
      </x:c>
      <x:c r="F245" s="462" t="n">
        <x:f>IF($J245&lt;&gt;"",REGEXREPLACE(TO_TEXT('_Supporto Listone'!F245),"(.)","$1"&amp;UNICHAR(822)),'_Supporto Listone'!F245)</x:f>
        <x:v>1</x:v>
      </x:c>
      <x:c r="G245" s="462" t="n">
        <x:f>IF($J245&lt;&gt;"",REGEXREPLACE(TO_TEXT('_Supporto Listone'!G245),"(.)","$1"&amp;UNICHAR(822)),'_Supporto Listone'!G245)</x:f>
        <x:v>3</x:v>
      </x:c>
      <x:c r="H245" s="462" t="n">
        <x:f>IF($J245&lt;&gt;"",REGEXREPLACE(TO_TEXT('_Supporto Listone'!H245),"(.)","$1"&amp;UNICHAR(822)),'_Supporto Listone'!H245)</x:f>
        <x:v>2</x:v>
      </x:c>
      <x:c r="I245" s="434"/>
      <x:c r="J245" s="433" t="str">
        <x:f>IF(COUNTIF(Asta!$B$4:$B$47,'_Supporto Listone'!B245)&gt;0,"Simone",IF(COUNTIF(Asta!$D$4:$D$47,'_Supporto Listone'!B245)&gt;0,"Giacomo",IF(COUNTIF(Asta!$F$4:$F$47,'_Supporto Listone'!B245)&gt;0,"Niko",IF(COUNTIF(Asta!$H$4:$H$47,'_Supporto Listone'!B245)&gt;0,"Quici",IF(COUNTIF(Asta!$J$4:$J$47,'_Supporto Listone'!B245)&gt;0,"Fratello Quici",IF(COUNTIF(Asta!$L$4:$L$47,'_Supporto Listone'!B245)&gt;0,"Nicolò",IF(COUNTIF(Asta!$N$4:$N$47,'_Supporto Listone'!B245)&gt;0,"Vi",IF(COUNTIF(Asta!$P$4:$P$47,'_Supporto Listone'!B245)&gt;0,"Lore",IF(COUNTIF(Asta!$R$4:$R$47,'_Supporto Listone'!B245)&gt;0,"Robbo",IF(COUNTIF(Asta!$T$4:$T$47,'_Supporto Listone'!B245)&gt;0,"Ale",""))))))))))</x:f>
      </x:c>
      <x:c r="K245" s="493" t="str">
        <x:f>IF(COUNTIF(Asta!$B$4:$B$47,'_Supporto Listone'!B245)&gt;0,INDEX(Asta!$C$4:$C$47,MATCH('_Supporto Listone'!B245,Asta!$B$4:$B$47,0)),IF(COUNTIF(Asta!$D$4:$D$47,'_Supporto Listone'!B245)&gt;0,INDEX(Asta!$E$4:$E$47,MATCH('_Supporto Listone'!B245,Asta!$D$4:$D$47,0)),IF(COUNTIF(Asta!$F$4:$F$47,'_Supporto Listone'!B245)&gt;0,INDEX(Asta!$G$4:$G$47,MATCH('_Supporto Listone'!B245,Asta!$F$4:$F$47,0)),IF(COUNTIF(Asta!$H$4:$H$47,'_Supporto Listone'!B245)&gt;0,INDEX(Asta!$I$4:$I$47,MATCH('_Supporto Listone'!B245,Asta!$H$4:$H$47,0)),IF(COUNTIF(Asta!$J$4:$J$47,'_Supporto Listone'!B245)&gt;0,INDEX(Asta!$K$4:$K$47,MATCH('_Supporto Listone'!B245,Asta!$J$4:$J$47,0)),IF(COUNTIF(Asta!$L$4:$L$47,'_Supporto Listone'!B245)&gt;0,INDEX(Asta!$M$4:$M$47,MATCH('_Supporto Listone'!B245,Asta!$L$4:$L$47,0)),IF(COUNTIF(Asta!$N$4:$N$47,'_Supporto Listone'!B245)&gt;0,INDEX(Asta!$O$4:$O$47,MATCH('_Supporto Listone'!B245,Asta!$N$4:$N$47,0)),IF(COUNTIF(Asta!$P$4:$P$47,'_Supporto Listone'!B245)&gt;0,INDEX(Asta!$Q$4:$Q$47,MATCH('_Supporto Listone'!B245,Asta!$P$4:$P$47,0)),IF(COUNTIF(Asta!$R$4:$R$47,'_Supporto Listone'!B245)&gt;0,INDEX(Asta!$S$4:$S$47,MATCH('_Supporto Listone'!B245,Asta!$R$4:$R$47,0)),IF(COUNTIF(Asta!$T$4:$T$47,'_Supporto Listone'!B245)&gt;0,INDEX(Asta!$U$4:$U$47,MATCH('_Supporto Listone'!B245,Asta!$T$4:$T$47,0)),""))))))))))</x:f>
      </x:c>
    </x:row>
    <x:row r="246">
      <x:c r="A246" s="436" t="str">
        <x:f>IF($J246&lt;&gt;"",REGEXREPLACE(TO_TEXT('_Supporto Listone'!A246),"(.)","$1"&amp;UNICHAR(822)),'_Supporto Listone'!A246)</x:f>
        <x:v>D</x:v>
      </x:c>
      <x:c r="B246" s="437" t="str">
        <x:f>IF($J246&lt;&gt;"",REGEXREPLACE(TO_TEXT('_Supporto Listone'!B246),"(.)","$1"&amp;UNICHAR(822)),'_Supporto Listone'!B246)</x:f>
        <x:v>Gomes</x:v>
      </x:c>
      <x:c r="C246" s="437" t="str">
        <x:f>IF($J246&lt;&gt;"",REGEXREPLACE(TO_TEXT('_Supporto Listone'!C246),"(.)","$1"&amp;UNICHAR(822)),'_Supporto Listone'!C246)</x:f>
        <x:v>Venezia</x:v>
      </x:c>
      <x:c r="D246" s="437" t="str">
        <x:f>IF($J246&lt;&gt;"",REGEXREPLACE(TO_TEXT('_Supporto Listone'!D246),"(.)","$1"&amp;UNICHAR(822)),'_Supporto Listone'!D246)</x:f>
        <x:v>Ds;Dc</x:v>
      </x:c>
      <x:c r="E246" s="437" t="str">
        <x:f>IF($J246&lt;&gt;"",REGEXREPLACE(TO_TEXT('_Supporto Listone'!E246),"(.)","$1"&amp;UNICHAR(822)),'_Supporto Listone'!E246)</x:f>
        <x:v>Riserva / rotazione</x:v>
      </x:c>
      <x:c r="F246" s="463" t="n">
        <x:f>IF($J246&lt;&gt;"",REGEXREPLACE(TO_TEXT('_Supporto Listone'!F246),"(.)","$1"&amp;UNICHAR(822)),'_Supporto Listone'!F246)</x:f>
        <x:v>1</x:v>
      </x:c>
      <x:c r="G246" s="463" t="n">
        <x:f>IF($J246&lt;&gt;"",REGEXREPLACE(TO_TEXT('_Supporto Listone'!G246),"(.)","$1"&amp;UNICHAR(822)),'_Supporto Listone'!G246)</x:f>
        <x:v>1</x:v>
      </x:c>
      <x:c r="H246" s="463" t="n">
        <x:f>IF($J246&lt;&gt;"",REGEXREPLACE(TO_TEXT('_Supporto Listone'!H246),"(.)","$1"&amp;UNICHAR(822)),'_Supporto Listone'!H246)</x:f>
        <x:v>1</x:v>
      </x:c>
      <x:c r="I246" s="438"/>
      <x:c r="J246" s="437" t="str">
        <x:f>IF(COUNTIF(Asta!$B$4:$B$47,'_Supporto Listone'!B246)&gt;0,"Simone",IF(COUNTIF(Asta!$D$4:$D$47,'_Supporto Listone'!B246)&gt;0,"Giacomo",IF(COUNTIF(Asta!$F$4:$F$47,'_Supporto Listone'!B246)&gt;0,"Niko",IF(COUNTIF(Asta!$H$4:$H$47,'_Supporto Listone'!B246)&gt;0,"Quici",IF(COUNTIF(Asta!$J$4:$J$47,'_Supporto Listone'!B246)&gt;0,"Fratello Quici",IF(COUNTIF(Asta!$L$4:$L$47,'_Supporto Listone'!B246)&gt;0,"Nicolò",IF(COUNTIF(Asta!$N$4:$N$47,'_Supporto Listone'!B246)&gt;0,"Vi",IF(COUNTIF(Asta!$P$4:$P$47,'_Supporto Listone'!B246)&gt;0,"Lore",IF(COUNTIF(Asta!$R$4:$R$47,'_Supporto Listone'!B246)&gt;0,"Robbo",IF(COUNTIF(Asta!$T$4:$T$47,'_Supporto Listone'!B246)&gt;0,"Ale",""))))))))))</x:f>
      </x:c>
      <x:c r="K246" s="494" t="str">
        <x:f>IF(COUNTIF(Asta!$B$4:$B$47,'_Supporto Listone'!B246)&gt;0,INDEX(Asta!$C$4:$C$47,MATCH('_Supporto Listone'!B246,Asta!$B$4:$B$47,0)),IF(COUNTIF(Asta!$D$4:$D$47,'_Supporto Listone'!B246)&gt;0,INDEX(Asta!$E$4:$E$47,MATCH('_Supporto Listone'!B246,Asta!$D$4:$D$47,0)),IF(COUNTIF(Asta!$F$4:$F$47,'_Supporto Listone'!B246)&gt;0,INDEX(Asta!$G$4:$G$47,MATCH('_Supporto Listone'!B246,Asta!$F$4:$F$47,0)),IF(COUNTIF(Asta!$H$4:$H$47,'_Supporto Listone'!B246)&gt;0,INDEX(Asta!$I$4:$I$47,MATCH('_Supporto Listone'!B246,Asta!$H$4:$H$47,0)),IF(COUNTIF(Asta!$J$4:$J$47,'_Supporto Listone'!B246)&gt;0,INDEX(Asta!$K$4:$K$47,MATCH('_Supporto Listone'!B246,Asta!$J$4:$J$47,0)),IF(COUNTIF(Asta!$L$4:$L$47,'_Supporto Listone'!B246)&gt;0,INDEX(Asta!$M$4:$M$47,MATCH('_Supporto Listone'!B246,Asta!$L$4:$L$47,0)),IF(COUNTIF(Asta!$N$4:$N$47,'_Supporto Listone'!B246)&gt;0,INDEX(Asta!$O$4:$O$47,MATCH('_Supporto Listone'!B246,Asta!$N$4:$N$47,0)),IF(COUNTIF(Asta!$P$4:$P$47,'_Supporto Listone'!B246)&gt;0,INDEX(Asta!$Q$4:$Q$47,MATCH('_Supporto Listone'!B246,Asta!$P$4:$P$47,0)),IF(COUNTIF(Asta!$R$4:$R$47,'_Supporto Listone'!B246)&gt;0,INDEX(Asta!$S$4:$S$47,MATCH('_Supporto Listone'!B246,Asta!$R$4:$R$47,0)),IF(COUNTIF(Asta!$T$4:$T$47,'_Supporto Listone'!B246)&gt;0,INDEX(Asta!$U$4:$U$47,MATCH('_Supporto Listone'!B246,Asta!$T$4:$T$47,0)),""))))))))))</x:f>
      </x:c>
    </x:row>
    <x:row r="247">
      <x:c r="A247" s="262" t="n"/>
      <x:c r="B247" s="262" t="n"/>
      <x:c r="C247" s="262" t="n"/>
      <x:c r="D247" s="262" t="n"/>
      <x:c r="E247" s="262" t="n"/>
      <x:c r="F247" s="460" t="n"/>
      <x:c r="G247" s="460" t="n"/>
      <x:c r="H247" s="460" t="n"/>
      <x:c r="I247" s="262" t="n"/>
      <x:c r="J247" s="262" t="n"/>
      <x:c r="K247" s="272" t="n"/>
    </x:row>
    <x:row r="248">
      <x:c r="A248" s="491" t="inlineStr">
        <x:is>
          <x:t xml:space="preserve">CENTROCAMPISTI</x:t>
        </x:is>
      </x:c>
    </x:row>
    <x:row r="249">
      <x:c r="A249" s="431" t="inlineStr">
        <x:is>
          <x:t xml:space="preserve">Ruolo</x:t>
        </x:is>
      </x:c>
      <x:c r="B249" s="418" t="inlineStr">
        <x:is>
          <x:t xml:space="preserve">Calciatore</x:t>
        </x:is>
      </x:c>
      <x:c r="C249" s="418" t="inlineStr">
        <x:is>
          <x:t xml:space="preserve">Squadra</x:t>
        </x:is>
      </x:c>
      <x:c r="D249" s="418" t="inlineStr">
        <x:is>
          <x:t xml:space="preserve">Posizione specifica</x:t>
        </x:is>
      </x:c>
      <x:c r="E249" s="418" t="inlineStr">
        <x:is>
          <x:t xml:space="preserve">Status</x:t>
        </x:is>
      </x:c>
      <x:c r="F249" s="418" t="inlineStr">
        <x:is>
          <x:t xml:space="preserve">Quotazione</x:t>
        </x:is>
      </x:c>
      <x:c r="G249" s="418" t="inlineStr">
        <x:is>
          <x:t xml:space="preserve">FVM / 1000</x:t>
        </x:is>
      </x:c>
      <x:c r="H249" s="418" t="inlineStr">
        <x:is>
          <x:t xml:space="preserve">FVM su 504</x:t>
        </x:is>
      </x:c>
      <x:c r="I249" s="418" t="inlineStr">
        <x:is>
          <x:t xml:space="preserve">Specialità</x:t>
        </x:is>
      </x:c>
      <x:c r="J249" s="418" t="inlineStr">
        <x:is>
          <x:t xml:space="preserve">Acquistato da</x:t>
        </x:is>
      </x:c>
      <x:c r="K249" s="492" t="inlineStr">
        <x:is>
          <x:t xml:space="preserve">Prezzo asta</x:t>
        </x:is>
      </x:c>
    </x:row>
    <x:row r="250">
      <x:c r="A250" s="440" t="str">
        <x:f>IF($J250&lt;&gt;"",REGEXREPLACE(TO_TEXT('_Supporto Listone'!A250),"(.)","$1"&amp;UNICHAR(822)),'_Supporto Listone'!A250)</x:f>
        <x:v>C</x:v>
      </x:c>
      <x:c r="B250" s="441" t="str">
        <x:f>IF($J250&lt;&gt;"",REGEXREPLACE(TO_TEXT('_Supporto Listone'!B250),"(.)","$1"&amp;UNICHAR(822)),'_Supporto Listone'!B250)</x:f>
        <x:v>Paz N.</x:v>
      </x:c>
      <x:c r="C250" s="441" t="str">
        <x:f>IF($J250&lt;&gt;"",REGEXREPLACE(TO_TEXT('_Supporto Listone'!C250),"(.)","$1"&amp;UNICHAR(822)),'_Supporto Listone'!C250)</x:f>
        <x:v>Como</x:v>
      </x:c>
      <x:c r="D250" s="441" t="str">
        <x:f>IF($J250&lt;&gt;"",REGEXREPLACE(TO_TEXT('_Supporto Listone'!D250),"(.)","$1"&amp;UNICHAR(822)),'_Supporto Listone'!D250)</x:f>
        <x:v>T;A</x:v>
      </x:c>
      <x:c r="E250" s="441" t="str">
        <x:f>IF($J250&lt;&gt;"",REGEXREPLACE(TO_TEXT('_Supporto Listone'!E250),"(.)","$1"&amp;UNICHAR(822)),'_Supporto Listone'!E250)</x:f>
        <x:v>Titolare</x:v>
      </x:c>
      <x:c r="F250" s="464" t="n">
        <x:f>IF($J250&lt;&gt;"",REGEXREPLACE(TO_TEXT('_Supporto Listone'!F250),"(.)","$1"&amp;UNICHAR(822)),'_Supporto Listone'!F250)</x:f>
        <x:v>30</x:v>
      </x:c>
      <x:c r="G250" s="464" t="n">
        <x:f>IF($J250&lt;&gt;"",REGEXREPLACE(TO_TEXT('_Supporto Listone'!G250),"(.)","$1"&amp;UNICHAR(822)),'_Supporto Listone'!G250)</x:f>
        <x:v>250</x:v>
      </x:c>
      <x:c r="H250" s="464" t="n">
        <x:f>IF($J250&lt;&gt;"",REGEXREPLACE(TO_TEXT('_Supporto Listone'!H250),"(.)","$1"&amp;UNICHAR(822)),'_Supporto Listone'!H250)</x:f>
        <x:v>126</x:v>
      </x:c>
      <x:c r="I250" s="442" t="str">
        <x:f>IF($J250&lt;&gt;"",REGEXREPLACE(TO_TEXT('_Supporto Listone'!I250),"(.)","$1"&amp;UNICHAR(822)),'_Supporto Listone'!I250)</x:f>
        <x:v>Piazzati</x:v>
      </x:c>
      <x:c r="J250" s="441" t="str">
        <x:f>IF(COUNTIF(Asta!$B$4:$B$47,'_Supporto Listone'!B250)&gt;0,"Simone",IF(COUNTIF(Asta!$D$4:$D$47,'_Supporto Listone'!B250)&gt;0,"Giacomo",IF(COUNTIF(Asta!$F$4:$F$47,'_Supporto Listone'!B250)&gt;0,"Niko",IF(COUNTIF(Asta!$H$4:$H$47,'_Supporto Listone'!B250)&gt;0,"Quici",IF(COUNTIF(Asta!$J$4:$J$47,'_Supporto Listone'!B250)&gt;0,"Fratello Quici",IF(COUNTIF(Asta!$L$4:$L$47,'_Supporto Listone'!B250)&gt;0,"Nicolò",IF(COUNTIF(Asta!$N$4:$N$47,'_Supporto Listone'!B250)&gt;0,"Vi",IF(COUNTIF(Asta!$P$4:$P$47,'_Supporto Listone'!B250)&gt;0,"Lore",IF(COUNTIF(Asta!$R$4:$R$47,'_Supporto Listone'!B250)&gt;0,"Robbo",IF(COUNTIF(Asta!$T$4:$T$47,'_Supporto Listone'!B250)&gt;0,"Ale",""))))))))))</x:f>
      </x:c>
      <x:c r="K250" s="495" t="str">
        <x:f>IF(COUNTIF(Asta!$B$4:$B$47,'_Supporto Listone'!B250)&gt;0,INDEX(Asta!$C$4:$C$47,MATCH('_Supporto Listone'!B250,Asta!$B$4:$B$47,0)),IF(COUNTIF(Asta!$D$4:$D$47,'_Supporto Listone'!B250)&gt;0,INDEX(Asta!$E$4:$E$47,MATCH('_Supporto Listone'!B250,Asta!$D$4:$D$47,0)),IF(COUNTIF(Asta!$F$4:$F$47,'_Supporto Listone'!B250)&gt;0,INDEX(Asta!$G$4:$G$47,MATCH('_Supporto Listone'!B250,Asta!$F$4:$F$47,0)),IF(COUNTIF(Asta!$H$4:$H$47,'_Supporto Listone'!B250)&gt;0,INDEX(Asta!$I$4:$I$47,MATCH('_Supporto Listone'!B250,Asta!$H$4:$H$47,0)),IF(COUNTIF(Asta!$J$4:$J$47,'_Supporto Listone'!B250)&gt;0,INDEX(Asta!$K$4:$K$47,MATCH('_Supporto Listone'!B250,Asta!$J$4:$J$47,0)),IF(COUNTIF(Asta!$L$4:$L$47,'_Supporto Listone'!B250)&gt;0,INDEX(Asta!$M$4:$M$47,MATCH('_Supporto Listone'!B250,Asta!$L$4:$L$47,0)),IF(COUNTIF(Asta!$N$4:$N$47,'_Supporto Listone'!B250)&gt;0,INDEX(Asta!$O$4:$O$47,MATCH('_Supporto Listone'!B250,Asta!$N$4:$N$47,0)),IF(COUNTIF(Asta!$P$4:$P$47,'_Supporto Listone'!B250)&gt;0,INDEX(Asta!$Q$4:$Q$47,MATCH('_Supporto Listone'!B250,Asta!$P$4:$P$47,0)),IF(COUNTIF(Asta!$R$4:$R$47,'_Supporto Listone'!B250)&gt;0,INDEX(Asta!$S$4:$S$47,MATCH('_Supporto Listone'!B250,Asta!$R$4:$R$47,0)),IF(COUNTIF(Asta!$T$4:$T$47,'_Supporto Listone'!B250)&gt;0,INDEX(Asta!$U$4:$U$47,MATCH('_Supporto Listone'!B250,Asta!$T$4:$T$47,0)),""))))))))))</x:f>
      </x:c>
    </x:row>
    <x:row r="251">
      <x:c r="A251" s="440" t="str">
        <x:f>IF($J251&lt;&gt;"",REGEXREPLACE(TO_TEXT('_Supporto Listone'!A251),"(.)","$1"&amp;UNICHAR(822)),'_Supporto Listone'!A251)</x:f>
        <x:v>C</x:v>
      </x:c>
      <x:c r="B251" s="441" t="str">
        <x:f>IF($J251&lt;&gt;"",REGEXREPLACE(TO_TEXT('_Supporto Listone'!B251),"(.)","$1"&amp;UNICHAR(822)),'_Supporto Listone'!B251)</x:f>
        <x:v>McTominay</x:v>
      </x:c>
      <x:c r="C251" s="441" t="str">
        <x:f>IF($J251&lt;&gt;"",REGEXREPLACE(TO_TEXT('_Supporto Listone'!C251),"(.)","$1"&amp;UNICHAR(822)),'_Supporto Listone'!C251)</x:f>
        <x:v>Napoli</x:v>
      </x:c>
      <x:c r="D251" s="441" t="str">
        <x:f>IF($J251&lt;&gt;"",REGEXREPLACE(TO_TEXT('_Supporto Listone'!D251),"(.)","$1"&amp;UNICHAR(822)),'_Supporto Listone'!D251)</x:f>
        <x:v>C;T</x:v>
      </x:c>
      <x:c r="E251" s="441" t="str">
        <x:f>IF($J251&lt;&gt;"",REGEXREPLACE(TO_TEXT('_Supporto Listone'!E251),"(.)","$1"&amp;UNICHAR(822)),'_Supporto Listone'!E251)</x:f>
        <x:v>Titolare</x:v>
      </x:c>
      <x:c r="F251" s="464" t="n">
        <x:f>IF($J251&lt;&gt;"",REGEXREPLACE(TO_TEXT('_Supporto Listone'!F251),"(.)","$1"&amp;UNICHAR(822)),'_Supporto Listone'!F251)</x:f>
        <x:v>28</x:v>
      </x:c>
      <x:c r="G251" s="464" t="n">
        <x:f>IF($J251&lt;&gt;"",REGEXREPLACE(TO_TEXT('_Supporto Listone'!G251),"(.)","$1"&amp;UNICHAR(822)),'_Supporto Listone'!G251)</x:f>
        <x:v>240</x:v>
      </x:c>
      <x:c r="H251" s="464" t="n">
        <x:f>IF($J251&lt;&gt;"",REGEXREPLACE(TO_TEXT('_Supporto Listone'!H251),"(.)","$1"&amp;UNICHAR(822)),'_Supporto Listone'!H251)</x:f>
        <x:v>121</x:v>
      </x:c>
      <x:c r="I251" s="442"/>
      <x:c r="J251" s="441" t="str">
        <x:f>IF(COUNTIF(Asta!$B$4:$B$47,'_Supporto Listone'!B251)&gt;0,"Simone",IF(COUNTIF(Asta!$D$4:$D$47,'_Supporto Listone'!B251)&gt;0,"Giacomo",IF(COUNTIF(Asta!$F$4:$F$47,'_Supporto Listone'!B251)&gt;0,"Niko",IF(COUNTIF(Asta!$H$4:$H$47,'_Supporto Listone'!B251)&gt;0,"Quici",IF(COUNTIF(Asta!$J$4:$J$47,'_Supporto Listone'!B251)&gt;0,"Fratello Quici",IF(COUNTIF(Asta!$L$4:$L$47,'_Supporto Listone'!B251)&gt;0,"Nicolò",IF(COUNTIF(Asta!$N$4:$N$47,'_Supporto Listone'!B251)&gt;0,"Vi",IF(COUNTIF(Asta!$P$4:$P$47,'_Supporto Listone'!B251)&gt;0,"Lore",IF(COUNTIF(Asta!$R$4:$R$47,'_Supporto Listone'!B251)&gt;0,"Robbo",IF(COUNTIF(Asta!$T$4:$T$47,'_Supporto Listone'!B251)&gt;0,"Ale",""))))))))))</x:f>
      </x:c>
      <x:c r="K251" s="495" t="str">
        <x:f>IF(COUNTIF(Asta!$B$4:$B$47,'_Supporto Listone'!B251)&gt;0,INDEX(Asta!$C$4:$C$47,MATCH('_Supporto Listone'!B251,Asta!$B$4:$B$47,0)),IF(COUNTIF(Asta!$D$4:$D$47,'_Supporto Listone'!B251)&gt;0,INDEX(Asta!$E$4:$E$47,MATCH('_Supporto Listone'!B251,Asta!$D$4:$D$47,0)),IF(COUNTIF(Asta!$F$4:$F$47,'_Supporto Listone'!B251)&gt;0,INDEX(Asta!$G$4:$G$47,MATCH('_Supporto Listone'!B251,Asta!$F$4:$F$47,0)),IF(COUNTIF(Asta!$H$4:$H$47,'_Supporto Listone'!B251)&gt;0,INDEX(Asta!$I$4:$I$47,MATCH('_Supporto Listone'!B251,Asta!$H$4:$H$47,0)),IF(COUNTIF(Asta!$J$4:$J$47,'_Supporto Listone'!B251)&gt;0,INDEX(Asta!$K$4:$K$47,MATCH('_Supporto Listone'!B251,Asta!$J$4:$J$47,0)),IF(COUNTIF(Asta!$L$4:$L$47,'_Supporto Listone'!B251)&gt;0,INDEX(Asta!$M$4:$M$47,MATCH('_Supporto Listone'!B251,Asta!$L$4:$L$47,0)),IF(COUNTIF(Asta!$N$4:$N$47,'_Supporto Listone'!B251)&gt;0,INDEX(Asta!$O$4:$O$47,MATCH('_Supporto Listone'!B251,Asta!$N$4:$N$47,0)),IF(COUNTIF(Asta!$P$4:$P$47,'_Supporto Listone'!B251)&gt;0,INDEX(Asta!$Q$4:$Q$47,MATCH('_Supporto Listone'!B251,Asta!$P$4:$P$47,0)),IF(COUNTIF(Asta!$R$4:$R$47,'_Supporto Listone'!B251)&gt;0,INDEX(Asta!$S$4:$S$47,MATCH('_Supporto Listone'!B251,Asta!$R$4:$R$47,0)),IF(COUNTIF(Asta!$T$4:$T$47,'_Supporto Listone'!B251)&gt;0,INDEX(Asta!$U$4:$U$47,MATCH('_Supporto Listone'!B251,Asta!$T$4:$T$47,0)),""))))))))))</x:f>
      </x:c>
    </x:row>
    <x:row r="252">
      <x:c r="A252" s="440" t="str">
        <x:f>IF($J252&lt;&gt;"",REGEXREPLACE(TO_TEXT('_Supporto Listone'!A252),"(.)","$1"&amp;UNICHAR(822)),'_Supporto Listone'!A252)</x:f>
        <x:v>C</x:v>
      </x:c>
      <x:c r="B252" s="441" t="str">
        <x:f>IF($J252&lt;&gt;"",REGEXREPLACE(TO_TEXT('_Supporto Listone'!B252),"(.)","$1"&amp;UNICHAR(822)),'_Supporto Listone'!B252)</x:f>
        <x:v>Calhanoglu</x:v>
      </x:c>
      <x:c r="C252" s="441" t="str">
        <x:f>IF($J252&lt;&gt;"",REGEXREPLACE(TO_TEXT('_Supporto Listone'!C252),"(.)","$1"&amp;UNICHAR(822)),'_Supporto Listone'!C252)</x:f>
        <x:v>Inter</x:v>
      </x:c>
      <x:c r="D252" s="441" t="str">
        <x:f>IF($J252&lt;&gt;"",REGEXREPLACE(TO_TEXT('_Supporto Listone'!D252),"(.)","$1"&amp;UNICHAR(822)),'_Supporto Listone'!D252)</x:f>
        <x:v>M;C</x:v>
      </x:c>
      <x:c r="E252" s="441" t="str">
        <x:f>IF($J252&lt;&gt;"",REGEXREPLACE(TO_TEXT('_Supporto Listone'!E252),"(.)","$1"&amp;UNICHAR(822)),'_Supporto Listone'!E252)</x:f>
        <x:v>Titolare</x:v>
      </x:c>
      <x:c r="F252" s="464" t="n">
        <x:f>IF($J252&lt;&gt;"",REGEXREPLACE(TO_TEXT('_Supporto Listone'!F252),"(.)","$1"&amp;UNICHAR(822)),'_Supporto Listone'!F252)</x:f>
        <x:v>27</x:v>
      </x:c>
      <x:c r="G252" s="464" t="n">
        <x:f>IF($J252&lt;&gt;"",REGEXREPLACE(TO_TEXT('_Supporto Listone'!G252),"(.)","$1"&amp;UNICHAR(822)),'_Supporto Listone'!G252)</x:f>
        <x:v>230</x:v>
      </x:c>
      <x:c r="H252" s="464" t="n">
        <x:f>IF($J252&lt;&gt;"",REGEXREPLACE(TO_TEXT('_Supporto Listone'!H252),"(.)","$1"&amp;UNICHAR(822)),'_Supporto Listone'!H252)</x:f>
        <x:v>116</x:v>
      </x:c>
      <x:c r="I252" s="442" t="str">
        <x:f>IF($J252&lt;&gt;"",REGEXREPLACE(TO_TEXT('_Supporto Listone'!I252),"(.)","$1"&amp;UNICHAR(822)),'_Supporto Listone'!I252)</x:f>
        <x:v>Rigorista · Piazzati</x:v>
      </x:c>
      <x:c r="J252" s="441" t="str">
        <x:f>IF(COUNTIF(Asta!$B$4:$B$47,'_Supporto Listone'!B252)&gt;0,"Simone",IF(COUNTIF(Asta!$D$4:$D$47,'_Supporto Listone'!B252)&gt;0,"Giacomo",IF(COUNTIF(Asta!$F$4:$F$47,'_Supporto Listone'!B252)&gt;0,"Niko",IF(COUNTIF(Asta!$H$4:$H$47,'_Supporto Listone'!B252)&gt;0,"Quici",IF(COUNTIF(Asta!$J$4:$J$47,'_Supporto Listone'!B252)&gt;0,"Fratello Quici",IF(COUNTIF(Asta!$L$4:$L$47,'_Supporto Listone'!B252)&gt;0,"Nicolò",IF(COUNTIF(Asta!$N$4:$N$47,'_Supporto Listone'!B252)&gt;0,"Vi",IF(COUNTIF(Asta!$P$4:$P$47,'_Supporto Listone'!B252)&gt;0,"Lore",IF(COUNTIF(Asta!$R$4:$R$47,'_Supporto Listone'!B252)&gt;0,"Robbo",IF(COUNTIF(Asta!$T$4:$T$47,'_Supporto Listone'!B252)&gt;0,"Ale",""))))))))))</x:f>
      </x:c>
      <x:c r="K252" s="495" t="str">
        <x:f>IF(COUNTIF(Asta!$B$4:$B$47,'_Supporto Listone'!B252)&gt;0,INDEX(Asta!$C$4:$C$47,MATCH('_Supporto Listone'!B252,Asta!$B$4:$B$47,0)),IF(COUNTIF(Asta!$D$4:$D$47,'_Supporto Listone'!B252)&gt;0,INDEX(Asta!$E$4:$E$47,MATCH('_Supporto Listone'!B252,Asta!$D$4:$D$47,0)),IF(COUNTIF(Asta!$F$4:$F$47,'_Supporto Listone'!B252)&gt;0,INDEX(Asta!$G$4:$G$47,MATCH('_Supporto Listone'!B252,Asta!$F$4:$F$47,0)),IF(COUNTIF(Asta!$H$4:$H$47,'_Supporto Listone'!B252)&gt;0,INDEX(Asta!$I$4:$I$47,MATCH('_Supporto Listone'!B252,Asta!$H$4:$H$47,0)),IF(COUNTIF(Asta!$J$4:$J$47,'_Supporto Listone'!B252)&gt;0,INDEX(Asta!$K$4:$K$47,MATCH('_Supporto Listone'!B252,Asta!$J$4:$J$47,0)),IF(COUNTIF(Asta!$L$4:$L$47,'_Supporto Listone'!B252)&gt;0,INDEX(Asta!$M$4:$M$47,MATCH('_Supporto Listone'!B252,Asta!$L$4:$L$47,0)),IF(COUNTIF(Asta!$N$4:$N$47,'_Supporto Listone'!B252)&gt;0,INDEX(Asta!$O$4:$O$47,MATCH('_Supporto Listone'!B252,Asta!$N$4:$N$47,0)),IF(COUNTIF(Asta!$P$4:$P$47,'_Supporto Listone'!B252)&gt;0,INDEX(Asta!$Q$4:$Q$47,MATCH('_Supporto Listone'!B252,Asta!$P$4:$P$47,0)),IF(COUNTIF(Asta!$R$4:$R$47,'_Supporto Listone'!B252)&gt;0,INDEX(Asta!$S$4:$S$47,MATCH('_Supporto Listone'!B252,Asta!$R$4:$R$47,0)),IF(COUNTIF(Asta!$T$4:$T$47,'_Supporto Listone'!B252)&gt;0,INDEX(Asta!$U$4:$U$47,MATCH('_Supporto Listone'!B252,Asta!$T$4:$T$47,0)),""))))))))))</x:f>
      </x:c>
    </x:row>
    <x:row r="253">
      <x:c r="A253" s="440" t="str">
        <x:f>IF($J253&lt;&gt;"",REGEXREPLACE(TO_TEXT('_Supporto Listone'!A253),"(.)","$1"&amp;UNICHAR(822)),'_Supporto Listone'!A253)</x:f>
        <x:v>C</x:v>
      </x:c>
      <x:c r="B253" s="441" t="str">
        <x:f>IF($J253&lt;&gt;"",REGEXREPLACE(TO_TEXT('_Supporto Listone'!B253),"(.)","$1"&amp;UNICHAR(822)),'_Supporto Listone'!B253)</x:f>
        <x:v>Orsolini</x:v>
      </x:c>
      <x:c r="C253" s="441" t="str">
        <x:f>IF($J253&lt;&gt;"",REGEXREPLACE(TO_TEXT('_Supporto Listone'!C253),"(.)","$1"&amp;UNICHAR(822)),'_Supporto Listone'!C253)</x:f>
        <x:v>Bologna</x:v>
      </x:c>
      <x:c r="D253" s="441" t="str">
        <x:f>IF($J253&lt;&gt;"",REGEXREPLACE(TO_TEXT('_Supporto Listone'!D253),"(.)","$1"&amp;UNICHAR(822)),'_Supporto Listone'!D253)</x:f>
        <x:v>W;A</x:v>
      </x:c>
      <x:c r="E253" s="441" t="str">
        <x:f>IF($J253&lt;&gt;"",REGEXREPLACE(TO_TEXT('_Supporto Listone'!E253),"(.)","$1"&amp;UNICHAR(822)),'_Supporto Listone'!E253)</x:f>
        <x:v>Titolare / ballottaggio</x:v>
      </x:c>
      <x:c r="F253" s="464" t="n">
        <x:f>IF($J253&lt;&gt;"",REGEXREPLACE(TO_TEXT('_Supporto Listone'!F253),"(.)","$1"&amp;UNICHAR(822)),'_Supporto Listone'!F253)</x:f>
        <x:v>26</x:v>
      </x:c>
      <x:c r="G253" s="464" t="n">
        <x:f>IF($J253&lt;&gt;"",REGEXREPLACE(TO_TEXT('_Supporto Listone'!G253),"(.)","$1"&amp;UNICHAR(822)),'_Supporto Listone'!G253)</x:f>
        <x:v>200</x:v>
      </x:c>
      <x:c r="H253" s="464" t="n">
        <x:f>IF($J253&lt;&gt;"",REGEXREPLACE(TO_TEXT('_Supporto Listone'!H253),"(.)","$1"&amp;UNICHAR(822)),'_Supporto Listone'!H253)</x:f>
        <x:v>101</x:v>
      </x:c>
      <x:c r="I253" s="442" t="str">
        <x:f>IF($J253&lt;&gt;"",REGEXREPLACE(TO_TEXT('_Supporto Listone'!I253),"(.)","$1"&amp;UNICHAR(822)),'_Supporto Listone'!I253)</x:f>
        <x:v>Rigorista · Piazzati</x:v>
      </x:c>
      <x:c r="J253" s="441" t="str">
        <x:f>IF(COUNTIF(Asta!$B$4:$B$47,'_Supporto Listone'!B253)&gt;0,"Simone",IF(COUNTIF(Asta!$D$4:$D$47,'_Supporto Listone'!B253)&gt;0,"Giacomo",IF(COUNTIF(Asta!$F$4:$F$47,'_Supporto Listone'!B253)&gt;0,"Niko",IF(COUNTIF(Asta!$H$4:$H$47,'_Supporto Listone'!B253)&gt;0,"Quici",IF(COUNTIF(Asta!$J$4:$J$47,'_Supporto Listone'!B253)&gt;0,"Fratello Quici",IF(COUNTIF(Asta!$L$4:$L$47,'_Supporto Listone'!B253)&gt;0,"Nicolò",IF(COUNTIF(Asta!$N$4:$N$47,'_Supporto Listone'!B253)&gt;0,"Vi",IF(COUNTIF(Asta!$P$4:$P$47,'_Supporto Listone'!B253)&gt;0,"Lore",IF(COUNTIF(Asta!$R$4:$R$47,'_Supporto Listone'!B253)&gt;0,"Robbo",IF(COUNTIF(Asta!$T$4:$T$47,'_Supporto Listone'!B253)&gt;0,"Ale",""))))))))))</x:f>
      </x:c>
      <x:c r="K253" s="495" t="str">
        <x:f>IF(COUNTIF(Asta!$B$4:$B$47,'_Supporto Listone'!B253)&gt;0,INDEX(Asta!$C$4:$C$47,MATCH('_Supporto Listone'!B253,Asta!$B$4:$B$47,0)),IF(COUNTIF(Asta!$D$4:$D$47,'_Supporto Listone'!B253)&gt;0,INDEX(Asta!$E$4:$E$47,MATCH('_Supporto Listone'!B253,Asta!$D$4:$D$47,0)),IF(COUNTIF(Asta!$F$4:$F$47,'_Supporto Listone'!B253)&gt;0,INDEX(Asta!$G$4:$G$47,MATCH('_Supporto Listone'!B253,Asta!$F$4:$F$47,0)),IF(COUNTIF(Asta!$H$4:$H$47,'_Supporto Listone'!B253)&gt;0,INDEX(Asta!$I$4:$I$47,MATCH('_Supporto Listone'!B253,Asta!$H$4:$H$47,0)),IF(COUNTIF(Asta!$J$4:$J$47,'_Supporto Listone'!B253)&gt;0,INDEX(Asta!$K$4:$K$47,MATCH('_Supporto Listone'!B253,Asta!$J$4:$J$47,0)),IF(COUNTIF(Asta!$L$4:$L$47,'_Supporto Listone'!B253)&gt;0,INDEX(Asta!$M$4:$M$47,MATCH('_Supporto Listone'!B253,Asta!$L$4:$L$47,0)),IF(COUNTIF(Asta!$N$4:$N$47,'_Supporto Listone'!B253)&gt;0,INDEX(Asta!$O$4:$O$47,MATCH('_Supporto Listone'!B253,Asta!$N$4:$N$47,0)),IF(COUNTIF(Asta!$P$4:$P$47,'_Supporto Listone'!B253)&gt;0,INDEX(Asta!$Q$4:$Q$47,MATCH('_Supporto Listone'!B253,Asta!$P$4:$P$47,0)),IF(COUNTIF(Asta!$R$4:$R$47,'_Supporto Listone'!B253)&gt;0,INDEX(Asta!$S$4:$S$47,MATCH('_Supporto Listone'!B253,Asta!$R$4:$R$47,0)),IF(COUNTIF(Asta!$T$4:$T$47,'_Supporto Listone'!B253)&gt;0,INDEX(Asta!$U$4:$U$47,MATCH('_Supporto Listone'!B253,Asta!$T$4:$T$47,0)),""))))))))))</x:f>
      </x:c>
    </x:row>
    <x:row r="254">
      <x:c r="A254" s="440" t="str">
        <x:f>IF($J254&lt;&gt;"",REGEXREPLACE(TO_TEXT('_Supporto Listone'!A254),"(.)","$1"&amp;UNICHAR(822)),'_Supporto Listone'!A254)</x:f>
        <x:v>C</x:v>
      </x:c>
      <x:c r="B254" s="441" t="str">
        <x:f>IF($J254&lt;&gt;"",REGEXREPLACE(TO_TEXT('_Supporto Listone'!B254),"(.)","$1"&amp;UNICHAR(822)),'_Supporto Listone'!B254)</x:f>
        <x:v>Pulisic</x:v>
      </x:c>
      <x:c r="C254" s="441" t="str">
        <x:f>IF($J254&lt;&gt;"",REGEXREPLACE(TO_TEXT('_Supporto Listone'!C254),"(.)","$1"&amp;UNICHAR(822)),'_Supporto Listone'!C254)</x:f>
        <x:v>Milan</x:v>
      </x:c>
      <x:c r="D254" s="441" t="str">
        <x:f>IF($J254&lt;&gt;"",REGEXREPLACE(TO_TEXT('_Supporto Listone'!D254),"(.)","$1"&amp;UNICHAR(822)),'_Supporto Listone'!D254)</x:f>
        <x:v>T;A</x:v>
      </x:c>
      <x:c r="E254" s="441" t="str">
        <x:f>IF($J254&lt;&gt;"",REGEXREPLACE(TO_TEXT('_Supporto Listone'!E254),"(.)","$1"&amp;UNICHAR(822)),'_Supporto Listone'!E254)</x:f>
        <x:v>Titolare / ballottaggio</x:v>
      </x:c>
      <x:c r="F254" s="464" t="n">
        <x:f>IF($J254&lt;&gt;"",REGEXREPLACE(TO_TEXT('_Supporto Listone'!F254),"(.)","$1"&amp;UNICHAR(822)),'_Supporto Listone'!F254)</x:f>
        <x:v>25</x:v>
      </x:c>
      <x:c r="G254" s="464" t="n">
        <x:f>IF($J254&lt;&gt;"",REGEXREPLACE(TO_TEXT('_Supporto Listone'!G254),"(.)","$1"&amp;UNICHAR(822)),'_Supporto Listone'!G254)</x:f>
        <x:v>180</x:v>
      </x:c>
      <x:c r="H254" s="464" t="n">
        <x:f>IF($J254&lt;&gt;"",REGEXREPLACE(TO_TEXT('_Supporto Listone'!H254),"(.)","$1"&amp;UNICHAR(822)),'_Supporto Listone'!H254)</x:f>
        <x:v>91</x:v>
      </x:c>
      <x:c r="I254" s="442" t="str">
        <x:f>IF($J254&lt;&gt;"",REGEXREPLACE(TO_TEXT('_Supporto Listone'!I254),"(.)","$1"&amp;UNICHAR(822)),'_Supporto Listone'!I254)</x:f>
        <x:v>Rigorista · Piazzati</x:v>
      </x:c>
      <x:c r="J254" s="441" t="str">
        <x:f>IF(COUNTIF(Asta!$B$4:$B$47,'_Supporto Listone'!B254)&gt;0,"Simone",IF(COUNTIF(Asta!$D$4:$D$47,'_Supporto Listone'!B254)&gt;0,"Giacomo",IF(COUNTIF(Asta!$F$4:$F$47,'_Supporto Listone'!B254)&gt;0,"Niko",IF(COUNTIF(Asta!$H$4:$H$47,'_Supporto Listone'!B254)&gt;0,"Quici",IF(COUNTIF(Asta!$J$4:$J$47,'_Supporto Listone'!B254)&gt;0,"Fratello Quici",IF(COUNTIF(Asta!$L$4:$L$47,'_Supporto Listone'!B254)&gt;0,"Nicolò",IF(COUNTIF(Asta!$N$4:$N$47,'_Supporto Listone'!B254)&gt;0,"Vi",IF(COUNTIF(Asta!$P$4:$P$47,'_Supporto Listone'!B254)&gt;0,"Lore",IF(COUNTIF(Asta!$R$4:$R$47,'_Supporto Listone'!B254)&gt;0,"Robbo",IF(COUNTIF(Asta!$T$4:$T$47,'_Supporto Listone'!B254)&gt;0,"Ale",""))))))))))</x:f>
      </x:c>
      <x:c r="K254" s="495" t="str">
        <x:f>IF(COUNTIF(Asta!$B$4:$B$47,'_Supporto Listone'!B254)&gt;0,INDEX(Asta!$C$4:$C$47,MATCH('_Supporto Listone'!B254,Asta!$B$4:$B$47,0)),IF(COUNTIF(Asta!$D$4:$D$47,'_Supporto Listone'!B254)&gt;0,INDEX(Asta!$E$4:$E$47,MATCH('_Supporto Listone'!B254,Asta!$D$4:$D$47,0)),IF(COUNTIF(Asta!$F$4:$F$47,'_Supporto Listone'!B254)&gt;0,INDEX(Asta!$G$4:$G$47,MATCH('_Supporto Listone'!B254,Asta!$F$4:$F$47,0)),IF(COUNTIF(Asta!$H$4:$H$47,'_Supporto Listone'!B254)&gt;0,INDEX(Asta!$I$4:$I$47,MATCH('_Supporto Listone'!B254,Asta!$H$4:$H$47,0)),IF(COUNTIF(Asta!$J$4:$J$47,'_Supporto Listone'!B254)&gt;0,INDEX(Asta!$K$4:$K$47,MATCH('_Supporto Listone'!B254,Asta!$J$4:$J$47,0)),IF(COUNTIF(Asta!$L$4:$L$47,'_Supporto Listone'!B254)&gt;0,INDEX(Asta!$M$4:$M$47,MATCH('_Supporto Listone'!B254,Asta!$L$4:$L$47,0)),IF(COUNTIF(Asta!$N$4:$N$47,'_Supporto Listone'!B254)&gt;0,INDEX(Asta!$O$4:$O$47,MATCH('_Supporto Listone'!B254,Asta!$N$4:$N$47,0)),IF(COUNTIF(Asta!$P$4:$P$47,'_Supporto Listone'!B254)&gt;0,INDEX(Asta!$Q$4:$Q$47,MATCH('_Supporto Listone'!B254,Asta!$P$4:$P$47,0)),IF(COUNTIF(Asta!$R$4:$R$47,'_Supporto Listone'!B254)&gt;0,INDEX(Asta!$S$4:$S$47,MATCH('_Supporto Listone'!B254,Asta!$R$4:$R$47,0)),IF(COUNTIF(Asta!$T$4:$T$47,'_Supporto Listone'!B254)&gt;0,INDEX(Asta!$U$4:$U$47,MATCH('_Supporto Listone'!B254,Asta!$T$4:$T$47,0)),""))))))))))</x:f>
      </x:c>
    </x:row>
    <x:row r="255">
      <x:c r="A255" s="440" t="str">
        <x:f>IF($J255&lt;&gt;"",REGEXREPLACE(TO_TEXT('_Supporto Listone'!A255),"(.)","$1"&amp;UNICHAR(822)),'_Supporto Listone'!A255)</x:f>
        <x:v>C</x:v>
      </x:c>
      <x:c r="B255" s="441" t="str">
        <x:f>IF($J255&lt;&gt;"",REGEXREPLACE(TO_TEXT('_Supporto Listone'!B255),"(.)","$1"&amp;UNICHAR(822)),'_Supporto Listone'!B255)</x:f>
        <x:v>Rabiot</x:v>
      </x:c>
      <x:c r="C255" s="441" t="str">
        <x:f>IF($J255&lt;&gt;"",REGEXREPLACE(TO_TEXT('_Supporto Listone'!C255),"(.)","$1"&amp;UNICHAR(822)),'_Supporto Listone'!C255)</x:f>
        <x:v>Milan</x:v>
      </x:c>
      <x:c r="D255" s="441" t="str">
        <x:f>IF($J255&lt;&gt;"",REGEXREPLACE(TO_TEXT('_Supporto Listone'!D255),"(.)","$1"&amp;UNICHAR(822)),'_Supporto Listone'!D255)</x:f>
        <x:v>C;T</x:v>
      </x:c>
      <x:c r="E255" s="441" t="str">
        <x:f>IF($J255&lt;&gt;"",REGEXREPLACE(TO_TEXT('_Supporto Listone'!E255),"(.)","$1"&amp;UNICHAR(822)),'_Supporto Listone'!E255)</x:f>
        <x:v>Titolare</x:v>
      </x:c>
      <x:c r="F255" s="464" t="n">
        <x:f>IF($J255&lt;&gt;"",REGEXREPLACE(TO_TEXT('_Supporto Listone'!F255),"(.)","$1"&amp;UNICHAR(822)),'_Supporto Listone'!F255)</x:f>
        <x:v>22</x:v>
      </x:c>
      <x:c r="G255" s="464" t="n">
        <x:f>IF($J255&lt;&gt;"",REGEXREPLACE(TO_TEXT('_Supporto Listone'!G255),"(.)","$1"&amp;UNICHAR(822)),'_Supporto Listone'!G255)</x:f>
        <x:v>128</x:v>
      </x:c>
      <x:c r="H255" s="464" t="n">
        <x:f>IF($J255&lt;&gt;"",REGEXREPLACE(TO_TEXT('_Supporto Listone'!H255),"(.)","$1"&amp;UNICHAR(822)),'_Supporto Listone'!H255)</x:f>
        <x:v>65</x:v>
      </x:c>
      <x:c r="I255" s="442"/>
      <x:c r="J255" s="441" t="str">
        <x:f>IF(COUNTIF(Asta!$B$4:$B$47,'_Supporto Listone'!B255)&gt;0,"Simone",IF(COUNTIF(Asta!$D$4:$D$47,'_Supporto Listone'!B255)&gt;0,"Giacomo",IF(COUNTIF(Asta!$F$4:$F$47,'_Supporto Listone'!B255)&gt;0,"Niko",IF(COUNTIF(Asta!$H$4:$H$47,'_Supporto Listone'!B255)&gt;0,"Quici",IF(COUNTIF(Asta!$J$4:$J$47,'_Supporto Listone'!B255)&gt;0,"Fratello Quici",IF(COUNTIF(Asta!$L$4:$L$47,'_Supporto Listone'!B255)&gt;0,"Nicolò",IF(COUNTIF(Asta!$N$4:$N$47,'_Supporto Listone'!B255)&gt;0,"Vi",IF(COUNTIF(Asta!$P$4:$P$47,'_Supporto Listone'!B255)&gt;0,"Lore",IF(COUNTIF(Asta!$R$4:$R$47,'_Supporto Listone'!B255)&gt;0,"Robbo",IF(COUNTIF(Asta!$T$4:$T$47,'_Supporto Listone'!B255)&gt;0,"Ale",""))))))))))</x:f>
      </x:c>
      <x:c r="K255" s="495" t="str">
        <x:f>IF(COUNTIF(Asta!$B$4:$B$47,'_Supporto Listone'!B255)&gt;0,INDEX(Asta!$C$4:$C$47,MATCH('_Supporto Listone'!B255,Asta!$B$4:$B$47,0)),IF(COUNTIF(Asta!$D$4:$D$47,'_Supporto Listone'!B255)&gt;0,INDEX(Asta!$E$4:$E$47,MATCH('_Supporto Listone'!B255,Asta!$D$4:$D$47,0)),IF(COUNTIF(Asta!$F$4:$F$47,'_Supporto Listone'!B255)&gt;0,INDEX(Asta!$G$4:$G$47,MATCH('_Supporto Listone'!B255,Asta!$F$4:$F$47,0)),IF(COUNTIF(Asta!$H$4:$H$47,'_Supporto Listone'!B255)&gt;0,INDEX(Asta!$I$4:$I$47,MATCH('_Supporto Listone'!B255,Asta!$H$4:$H$47,0)),IF(COUNTIF(Asta!$J$4:$J$47,'_Supporto Listone'!B255)&gt;0,INDEX(Asta!$K$4:$K$47,MATCH('_Supporto Listone'!B255,Asta!$J$4:$J$47,0)),IF(COUNTIF(Asta!$L$4:$L$47,'_Supporto Listone'!B255)&gt;0,INDEX(Asta!$M$4:$M$47,MATCH('_Supporto Listone'!B255,Asta!$L$4:$L$47,0)),IF(COUNTIF(Asta!$N$4:$N$47,'_Supporto Listone'!B255)&gt;0,INDEX(Asta!$O$4:$O$47,MATCH('_Supporto Listone'!B255,Asta!$N$4:$N$47,0)),IF(COUNTIF(Asta!$P$4:$P$47,'_Supporto Listone'!B255)&gt;0,INDEX(Asta!$Q$4:$Q$47,MATCH('_Supporto Listone'!B255,Asta!$P$4:$P$47,0)),IF(COUNTIF(Asta!$R$4:$R$47,'_Supporto Listone'!B255)&gt;0,INDEX(Asta!$S$4:$S$47,MATCH('_Supporto Listone'!B255,Asta!$R$4:$R$47,0)),IF(COUNTIF(Asta!$T$4:$T$47,'_Supporto Listone'!B255)&gt;0,INDEX(Asta!$U$4:$U$47,MATCH('_Supporto Listone'!B255,Asta!$T$4:$T$47,0)),""))))))))))</x:f>
      </x:c>
    </x:row>
    <x:row r="256">
      <x:c r="A256" s="440" t="str">
        <x:f>IF($J256&lt;&gt;"",REGEXREPLACE(TO_TEXT('_Supporto Listone'!A256),"(.)","$1"&amp;UNICHAR(822)),'_Supporto Listone'!A256)</x:f>
        <x:v>C</x:v>
      </x:c>
      <x:c r="B256" s="441" t="str">
        <x:f>IF($J256&lt;&gt;"",REGEXREPLACE(TO_TEXT('_Supporto Listone'!B256),"(.)","$1"&amp;UNICHAR(822)),'_Supporto Listone'!B256)</x:f>
        <x:v>Baturina</x:v>
      </x:c>
      <x:c r="C256" s="441" t="str">
        <x:f>IF($J256&lt;&gt;"",REGEXREPLACE(TO_TEXT('_Supporto Listone'!C256),"(.)","$1"&amp;UNICHAR(822)),'_Supporto Listone'!C256)</x:f>
        <x:v>Como</x:v>
      </x:c>
      <x:c r="D256" s="441" t="str">
        <x:f>IF($J256&lt;&gt;"",REGEXREPLACE(TO_TEXT('_Supporto Listone'!D256),"(.)","$1"&amp;UNICHAR(822)),'_Supporto Listone'!D256)</x:f>
        <x:v>T</x:v>
      </x:c>
      <x:c r="E256" s="441" t="str">
        <x:f>IF($J256&lt;&gt;"",REGEXREPLACE(TO_TEXT('_Supporto Listone'!E256),"(.)","$1"&amp;UNICHAR(822)),'_Supporto Listone'!E256)</x:f>
        <x:v>Titolare / ballottaggio</x:v>
      </x:c>
      <x:c r="F256" s="464" t="n">
        <x:f>IF($J256&lt;&gt;"",REGEXREPLACE(TO_TEXT('_Supporto Listone'!F256),"(.)","$1"&amp;UNICHAR(822)),'_Supporto Listone'!F256)</x:f>
        <x:v>19</x:v>
      </x:c>
      <x:c r="G256" s="464" t="n">
        <x:f>IF($J256&lt;&gt;"",REGEXREPLACE(TO_TEXT('_Supporto Listone'!G256),"(.)","$1"&amp;UNICHAR(822)),'_Supporto Listone'!G256)</x:f>
        <x:v>102</x:v>
      </x:c>
      <x:c r="H256" s="464" t="n">
        <x:f>IF($J256&lt;&gt;"",REGEXREPLACE(TO_TEXT('_Supporto Listone'!H256),"(.)","$1"&amp;UNICHAR(822)),'_Supporto Listone'!H256)</x:f>
        <x:v>51</x:v>
      </x:c>
      <x:c r="I256" s="442" t="str">
        <x:f>IF($J256&lt;&gt;"",REGEXREPLACE(TO_TEXT('_Supporto Listone'!I256),"(.)","$1"&amp;UNICHAR(822)),'_Supporto Listone'!I256)</x:f>
        <x:v>Piazzati</x:v>
      </x:c>
      <x:c r="J256" s="441" t="str">
        <x:f>IF(COUNTIF(Asta!$B$4:$B$47,'_Supporto Listone'!B256)&gt;0,"Simone",IF(COUNTIF(Asta!$D$4:$D$47,'_Supporto Listone'!B256)&gt;0,"Giacomo",IF(COUNTIF(Asta!$F$4:$F$47,'_Supporto Listone'!B256)&gt;0,"Niko",IF(COUNTIF(Asta!$H$4:$H$47,'_Supporto Listone'!B256)&gt;0,"Quici",IF(COUNTIF(Asta!$J$4:$J$47,'_Supporto Listone'!B256)&gt;0,"Fratello Quici",IF(COUNTIF(Asta!$L$4:$L$47,'_Supporto Listone'!B256)&gt;0,"Nicolò",IF(COUNTIF(Asta!$N$4:$N$47,'_Supporto Listone'!B256)&gt;0,"Vi",IF(COUNTIF(Asta!$P$4:$P$47,'_Supporto Listone'!B256)&gt;0,"Lore",IF(COUNTIF(Asta!$R$4:$R$47,'_Supporto Listone'!B256)&gt;0,"Robbo",IF(COUNTIF(Asta!$T$4:$T$47,'_Supporto Listone'!B256)&gt;0,"Ale",""))))))))))</x:f>
      </x:c>
      <x:c r="K256" s="495" t="str">
        <x:f>IF(COUNTIF(Asta!$B$4:$B$47,'_Supporto Listone'!B256)&gt;0,INDEX(Asta!$C$4:$C$47,MATCH('_Supporto Listone'!B256,Asta!$B$4:$B$47,0)),IF(COUNTIF(Asta!$D$4:$D$47,'_Supporto Listone'!B256)&gt;0,INDEX(Asta!$E$4:$E$47,MATCH('_Supporto Listone'!B256,Asta!$D$4:$D$47,0)),IF(COUNTIF(Asta!$F$4:$F$47,'_Supporto Listone'!B256)&gt;0,INDEX(Asta!$G$4:$G$47,MATCH('_Supporto Listone'!B256,Asta!$F$4:$F$47,0)),IF(COUNTIF(Asta!$H$4:$H$47,'_Supporto Listone'!B256)&gt;0,INDEX(Asta!$I$4:$I$47,MATCH('_Supporto Listone'!B256,Asta!$H$4:$H$47,0)),IF(COUNTIF(Asta!$J$4:$J$47,'_Supporto Listone'!B256)&gt;0,INDEX(Asta!$K$4:$K$47,MATCH('_Supporto Listone'!B256,Asta!$J$4:$J$47,0)),IF(COUNTIF(Asta!$L$4:$L$47,'_Supporto Listone'!B256)&gt;0,INDEX(Asta!$M$4:$M$47,MATCH('_Supporto Listone'!B256,Asta!$L$4:$L$47,0)),IF(COUNTIF(Asta!$N$4:$N$47,'_Supporto Listone'!B256)&gt;0,INDEX(Asta!$O$4:$O$47,MATCH('_Supporto Listone'!B256,Asta!$N$4:$N$47,0)),IF(COUNTIF(Asta!$P$4:$P$47,'_Supporto Listone'!B256)&gt;0,INDEX(Asta!$Q$4:$Q$47,MATCH('_Supporto Listone'!B256,Asta!$P$4:$P$47,0)),IF(COUNTIF(Asta!$R$4:$R$47,'_Supporto Listone'!B256)&gt;0,INDEX(Asta!$S$4:$S$47,MATCH('_Supporto Listone'!B256,Asta!$R$4:$R$47,0)),IF(COUNTIF(Asta!$T$4:$T$47,'_Supporto Listone'!B256)&gt;0,INDEX(Asta!$U$4:$U$47,MATCH('_Supporto Listone'!B256,Asta!$T$4:$T$47,0)),""))))))))))</x:f>
      </x:c>
    </x:row>
    <x:row r="257">
      <x:c r="A257" s="440" t="str">
        <x:f>IF($J257&lt;&gt;"",REGEXREPLACE(TO_TEXT('_Supporto Listone'!A257),"(.)","$1"&amp;UNICHAR(822)),'_Supporto Listone'!A257)</x:f>
        <x:v>C</x:v>
      </x:c>
      <x:c r="B257" s="441" t="str">
        <x:f>IF($J257&lt;&gt;"",REGEXREPLACE(TO_TEXT('_Supporto Listone'!B257),"(.)","$1"&amp;UNICHAR(822)),'_Supporto Listone'!B257)</x:f>
        <x:v>Da Cunha</x:v>
      </x:c>
      <x:c r="C257" s="441" t="str">
        <x:f>IF($J257&lt;&gt;"",REGEXREPLACE(TO_TEXT('_Supporto Listone'!C257),"(.)","$1"&amp;UNICHAR(822)),'_Supporto Listone'!C257)</x:f>
        <x:v>Como</x:v>
      </x:c>
      <x:c r="D257" s="441" t="str">
        <x:f>IF($J257&lt;&gt;"",REGEXREPLACE(TO_TEXT('_Supporto Listone'!D257),"(.)","$1"&amp;UNICHAR(822)),'_Supporto Listone'!D257)</x:f>
        <x:v>C;T</x:v>
      </x:c>
      <x:c r="E257" s="441" t="str">
        <x:f>IF($J257&lt;&gt;"",REGEXREPLACE(TO_TEXT('_Supporto Listone'!E257),"(.)","$1"&amp;UNICHAR(822)),'_Supporto Listone'!E257)</x:f>
        <x:v>Titolare</x:v>
      </x:c>
      <x:c r="F257" s="464" t="n">
        <x:f>IF($J257&lt;&gt;"",REGEXREPLACE(TO_TEXT('_Supporto Listone'!F257),"(.)","$1"&amp;UNICHAR(822)),'_Supporto Listone'!F257)</x:f>
        <x:v>18</x:v>
      </x:c>
      <x:c r="G257" s="464" t="n">
        <x:f>IF($J257&lt;&gt;"",REGEXREPLACE(TO_TEXT('_Supporto Listone'!G257),"(.)","$1"&amp;UNICHAR(822)),'_Supporto Listone'!G257)</x:f>
        <x:v>90</x:v>
      </x:c>
      <x:c r="H257" s="464" t="n">
        <x:f>IF($J257&lt;&gt;"",REGEXREPLACE(TO_TEXT('_Supporto Listone'!H257),"(.)","$1"&amp;UNICHAR(822)),'_Supporto Listone'!H257)</x:f>
        <x:v>45</x:v>
      </x:c>
      <x:c r="I257" s="442" t="str">
        <x:f>IF($J257&lt;&gt;"",REGEXREPLACE(TO_TEXT('_Supporto Listone'!I257),"(.)","$1"&amp;UNICHAR(822)),'_Supporto Listone'!I257)</x:f>
        <x:v>Rigorista</x:v>
      </x:c>
      <x:c r="J257" s="441" t="str">
        <x:f>IF(COUNTIF(Asta!$B$4:$B$47,'_Supporto Listone'!B257)&gt;0,"Simone",IF(COUNTIF(Asta!$D$4:$D$47,'_Supporto Listone'!B257)&gt;0,"Giacomo",IF(COUNTIF(Asta!$F$4:$F$47,'_Supporto Listone'!B257)&gt;0,"Niko",IF(COUNTIF(Asta!$H$4:$H$47,'_Supporto Listone'!B257)&gt;0,"Quici",IF(COUNTIF(Asta!$J$4:$J$47,'_Supporto Listone'!B257)&gt;0,"Fratello Quici",IF(COUNTIF(Asta!$L$4:$L$47,'_Supporto Listone'!B257)&gt;0,"Nicolò",IF(COUNTIF(Asta!$N$4:$N$47,'_Supporto Listone'!B257)&gt;0,"Vi",IF(COUNTIF(Asta!$P$4:$P$47,'_Supporto Listone'!B257)&gt;0,"Lore",IF(COUNTIF(Asta!$R$4:$R$47,'_Supporto Listone'!B257)&gt;0,"Robbo",IF(COUNTIF(Asta!$T$4:$T$47,'_Supporto Listone'!B257)&gt;0,"Ale",""))))))))))</x:f>
      </x:c>
      <x:c r="K257" s="495" t="str">
        <x:f>IF(COUNTIF(Asta!$B$4:$B$47,'_Supporto Listone'!B257)&gt;0,INDEX(Asta!$C$4:$C$47,MATCH('_Supporto Listone'!B257,Asta!$B$4:$B$47,0)),IF(COUNTIF(Asta!$D$4:$D$47,'_Supporto Listone'!B257)&gt;0,INDEX(Asta!$E$4:$E$47,MATCH('_Supporto Listone'!B257,Asta!$D$4:$D$47,0)),IF(COUNTIF(Asta!$F$4:$F$47,'_Supporto Listone'!B257)&gt;0,INDEX(Asta!$G$4:$G$47,MATCH('_Supporto Listone'!B257,Asta!$F$4:$F$47,0)),IF(COUNTIF(Asta!$H$4:$H$47,'_Supporto Listone'!B257)&gt;0,INDEX(Asta!$I$4:$I$47,MATCH('_Supporto Listone'!B257,Asta!$H$4:$H$47,0)),IF(COUNTIF(Asta!$J$4:$J$47,'_Supporto Listone'!B257)&gt;0,INDEX(Asta!$K$4:$K$47,MATCH('_Supporto Listone'!B257,Asta!$J$4:$J$47,0)),IF(COUNTIF(Asta!$L$4:$L$47,'_Supporto Listone'!B257)&gt;0,INDEX(Asta!$M$4:$M$47,MATCH('_Supporto Listone'!B257,Asta!$L$4:$L$47,0)),IF(COUNTIF(Asta!$N$4:$N$47,'_Supporto Listone'!B257)&gt;0,INDEX(Asta!$O$4:$O$47,MATCH('_Supporto Listone'!B257,Asta!$N$4:$N$47,0)),IF(COUNTIF(Asta!$P$4:$P$47,'_Supporto Listone'!B257)&gt;0,INDEX(Asta!$Q$4:$Q$47,MATCH('_Supporto Listone'!B257,Asta!$P$4:$P$47,0)),IF(COUNTIF(Asta!$R$4:$R$47,'_Supporto Listone'!B257)&gt;0,INDEX(Asta!$S$4:$S$47,MATCH('_Supporto Listone'!B257,Asta!$R$4:$R$47,0)),IF(COUNTIF(Asta!$T$4:$T$47,'_Supporto Listone'!B257)&gt;0,INDEX(Asta!$U$4:$U$47,MATCH('_Supporto Listone'!B257,Asta!$T$4:$T$47,0)),""))))))))))</x:f>
      </x:c>
    </x:row>
    <x:row r="258">
      <x:c r="A258" s="440" t="str">
        <x:f>IF($J258&lt;&gt;"",REGEXREPLACE(TO_TEXT('_Supporto Listone'!A258),"(.)","$1"&amp;UNICHAR(822)),'_Supporto Listone'!A258)</x:f>
        <x:v>C</x:v>
      </x:c>
      <x:c r="B258" s="441" t="str">
        <x:f>IF($J258&lt;&gt;"",REGEXREPLACE(TO_TEXT('_Supporto Listone'!B258),"(.)","$1"&amp;UNICHAR(822)),'_Supporto Listone'!B258)</x:f>
        <x:v>Zaniolo</x:v>
      </x:c>
      <x:c r="C258" s="441" t="str">
        <x:f>IF($J258&lt;&gt;"",REGEXREPLACE(TO_TEXT('_Supporto Listone'!C258),"(.)","$1"&amp;UNICHAR(822)),'_Supporto Listone'!C258)</x:f>
        <x:v>Udinese</x:v>
      </x:c>
      <x:c r="D258" s="441" t="str">
        <x:f>IF($J258&lt;&gt;"",REGEXREPLACE(TO_TEXT('_Supporto Listone'!D258),"(.)","$1"&amp;UNICHAR(822)),'_Supporto Listone'!D258)</x:f>
        <x:v>T;A</x:v>
      </x:c>
      <x:c r="E258" s="441" t="str">
        <x:f>IF($J258&lt;&gt;"",REGEXREPLACE(TO_TEXT('_Supporto Listone'!E258),"(.)","$1"&amp;UNICHAR(822)),'_Supporto Listone'!E258)</x:f>
        <x:v>Titolare</x:v>
      </x:c>
      <x:c r="F258" s="464" t="n">
        <x:f>IF($J258&lt;&gt;"",REGEXREPLACE(TO_TEXT('_Supporto Listone'!F258),"(.)","$1"&amp;UNICHAR(822)),'_Supporto Listone'!F258)</x:f>
        <x:v>18</x:v>
      </x:c>
      <x:c r="G258" s="464" t="n">
        <x:f>IF($J258&lt;&gt;"",REGEXREPLACE(TO_TEXT('_Supporto Listone'!G258),"(.)","$1"&amp;UNICHAR(822)),'_Supporto Listone'!G258)</x:f>
        <x:v>90</x:v>
      </x:c>
      <x:c r="H258" s="464" t="n">
        <x:f>IF($J258&lt;&gt;"",REGEXREPLACE(TO_TEXT('_Supporto Listone'!H258),"(.)","$1"&amp;UNICHAR(822)),'_Supporto Listone'!H258)</x:f>
        <x:v>45</x:v>
      </x:c>
      <x:c r="I258" s="442" t="str">
        <x:f>IF($J258&lt;&gt;"",REGEXREPLACE(TO_TEXT('_Supporto Listone'!I258),"(.)","$1"&amp;UNICHAR(822)),'_Supporto Listone'!I258)</x:f>
        <x:v>Rigorista · Piazzati</x:v>
      </x:c>
      <x:c r="J258" s="441" t="str">
        <x:f>IF(COUNTIF(Asta!$B$4:$B$47,'_Supporto Listone'!B258)&gt;0,"Simone",IF(COUNTIF(Asta!$D$4:$D$47,'_Supporto Listone'!B258)&gt;0,"Giacomo",IF(COUNTIF(Asta!$F$4:$F$47,'_Supporto Listone'!B258)&gt;0,"Niko",IF(COUNTIF(Asta!$H$4:$H$47,'_Supporto Listone'!B258)&gt;0,"Quici",IF(COUNTIF(Asta!$J$4:$J$47,'_Supporto Listone'!B258)&gt;0,"Fratello Quici",IF(COUNTIF(Asta!$L$4:$L$47,'_Supporto Listone'!B258)&gt;0,"Nicolò",IF(COUNTIF(Asta!$N$4:$N$47,'_Supporto Listone'!B258)&gt;0,"Vi",IF(COUNTIF(Asta!$P$4:$P$47,'_Supporto Listone'!B258)&gt;0,"Lore",IF(COUNTIF(Asta!$R$4:$R$47,'_Supporto Listone'!B258)&gt;0,"Robbo",IF(COUNTIF(Asta!$T$4:$T$47,'_Supporto Listone'!B258)&gt;0,"Ale",""))))))))))</x:f>
      </x:c>
      <x:c r="K258" s="495" t="str">
        <x:f>IF(COUNTIF(Asta!$B$4:$B$47,'_Supporto Listone'!B258)&gt;0,INDEX(Asta!$C$4:$C$47,MATCH('_Supporto Listone'!B258,Asta!$B$4:$B$47,0)),IF(COUNTIF(Asta!$D$4:$D$47,'_Supporto Listone'!B258)&gt;0,INDEX(Asta!$E$4:$E$47,MATCH('_Supporto Listone'!B258,Asta!$D$4:$D$47,0)),IF(COUNTIF(Asta!$F$4:$F$47,'_Supporto Listone'!B258)&gt;0,INDEX(Asta!$G$4:$G$47,MATCH('_Supporto Listone'!B258,Asta!$F$4:$F$47,0)),IF(COUNTIF(Asta!$H$4:$H$47,'_Supporto Listone'!B258)&gt;0,INDEX(Asta!$I$4:$I$47,MATCH('_Supporto Listone'!B258,Asta!$H$4:$H$47,0)),IF(COUNTIF(Asta!$J$4:$J$47,'_Supporto Listone'!B258)&gt;0,INDEX(Asta!$K$4:$K$47,MATCH('_Supporto Listone'!B258,Asta!$J$4:$J$47,0)),IF(COUNTIF(Asta!$L$4:$L$47,'_Supporto Listone'!B258)&gt;0,INDEX(Asta!$M$4:$M$47,MATCH('_Supporto Listone'!B258,Asta!$L$4:$L$47,0)),IF(COUNTIF(Asta!$N$4:$N$47,'_Supporto Listone'!B258)&gt;0,INDEX(Asta!$O$4:$O$47,MATCH('_Supporto Listone'!B258,Asta!$N$4:$N$47,0)),IF(COUNTIF(Asta!$P$4:$P$47,'_Supporto Listone'!B258)&gt;0,INDEX(Asta!$Q$4:$Q$47,MATCH('_Supporto Listone'!B258,Asta!$P$4:$P$47,0)),IF(COUNTIF(Asta!$R$4:$R$47,'_Supporto Listone'!B258)&gt;0,INDEX(Asta!$S$4:$S$47,MATCH('_Supporto Listone'!B258,Asta!$R$4:$R$47,0)),IF(COUNTIF(Asta!$T$4:$T$47,'_Supporto Listone'!B258)&gt;0,INDEX(Asta!$U$4:$U$47,MATCH('_Supporto Listone'!B258,Asta!$T$4:$T$47,0)),""))))))))))</x:f>
      </x:c>
    </x:row>
    <x:row r="259">
      <x:c r="A259" s="440" t="str">
        <x:f>IF($J259&lt;&gt;"",REGEXREPLACE(TO_TEXT('_Supporto Listone'!A259),"(.)","$1"&amp;UNICHAR(822)),'_Supporto Listone'!A259)</x:f>
        <x:v>C</x:v>
      </x:c>
      <x:c r="B259" s="441" t="str">
        <x:f>IF($J259&lt;&gt;"",REGEXREPLACE(TO_TEXT('_Supporto Listone'!B259),"(.)","$1"&amp;UNICHAR(822)),'_Supporto Listone'!B259)</x:f>
        <x:v>Atta</x:v>
      </x:c>
      <x:c r="C259" s="441" t="str">
        <x:f>IF($J259&lt;&gt;"",REGEXREPLACE(TO_TEXT('_Supporto Listone'!C259),"(.)","$1"&amp;UNICHAR(822)),'_Supporto Listone'!C259)</x:f>
        <x:v>Fiorentina</x:v>
      </x:c>
      <x:c r="D259" s="441" t="str">
        <x:f>IF($J259&lt;&gt;"",REGEXREPLACE(TO_TEXT('_Supporto Listone'!D259),"(.)","$1"&amp;UNICHAR(822)),'_Supporto Listone'!D259)</x:f>
        <x:v>C;T</x:v>
      </x:c>
      <x:c r="E259" s="441" t="str">
        <x:f>IF($J259&lt;&gt;"",REGEXREPLACE(TO_TEXT('_Supporto Listone'!E259),"(.)","$1"&amp;UNICHAR(822)),'_Supporto Listone'!E259)</x:f>
        <x:v>Titolare</x:v>
      </x:c>
      <x:c r="F259" s="464" t="n">
        <x:f>IF($J259&lt;&gt;"",REGEXREPLACE(TO_TEXT('_Supporto Listone'!F259),"(.)","$1"&amp;UNICHAR(822)),'_Supporto Listone'!F259)</x:f>
        <x:v>17</x:v>
      </x:c>
      <x:c r="G259" s="464" t="n">
        <x:f>IF($J259&lt;&gt;"",REGEXREPLACE(TO_TEXT('_Supporto Listone'!G259),"(.)","$1"&amp;UNICHAR(822)),'_Supporto Listone'!G259)</x:f>
        <x:v>87</x:v>
      </x:c>
      <x:c r="H259" s="464" t="n">
        <x:f>IF($J259&lt;&gt;"",REGEXREPLACE(TO_TEXT('_Supporto Listone'!H259),"(.)","$1"&amp;UNICHAR(822)),'_Supporto Listone'!H259)</x:f>
        <x:v>44</x:v>
      </x:c>
      <x:c r="I259" s="442" t="str">
        <x:f>IF($J259&lt;&gt;"",REGEXREPLACE(TO_TEXT('_Supporto Listone'!I259),"(.)","$1"&amp;UNICHAR(822)),'_Supporto Listone'!I259)</x:f>
        <x:v>Piazzati</x:v>
      </x:c>
      <x:c r="J259" s="441" t="str">
        <x:f>IF(COUNTIF(Asta!$B$4:$B$47,'_Supporto Listone'!B259)&gt;0,"Simone",IF(COUNTIF(Asta!$D$4:$D$47,'_Supporto Listone'!B259)&gt;0,"Giacomo",IF(COUNTIF(Asta!$F$4:$F$47,'_Supporto Listone'!B259)&gt;0,"Niko",IF(COUNTIF(Asta!$H$4:$H$47,'_Supporto Listone'!B259)&gt;0,"Quici",IF(COUNTIF(Asta!$J$4:$J$47,'_Supporto Listone'!B259)&gt;0,"Fratello Quici",IF(COUNTIF(Asta!$L$4:$L$47,'_Supporto Listone'!B259)&gt;0,"Nicolò",IF(COUNTIF(Asta!$N$4:$N$47,'_Supporto Listone'!B259)&gt;0,"Vi",IF(COUNTIF(Asta!$P$4:$P$47,'_Supporto Listone'!B259)&gt;0,"Lore",IF(COUNTIF(Asta!$R$4:$R$47,'_Supporto Listone'!B259)&gt;0,"Robbo",IF(COUNTIF(Asta!$T$4:$T$47,'_Supporto Listone'!B259)&gt;0,"Ale",""))))))))))</x:f>
      </x:c>
      <x:c r="K259" s="495" t="str">
        <x:f>IF(COUNTIF(Asta!$B$4:$B$47,'_Supporto Listone'!B259)&gt;0,INDEX(Asta!$C$4:$C$47,MATCH('_Supporto Listone'!B259,Asta!$B$4:$B$47,0)),IF(COUNTIF(Asta!$D$4:$D$47,'_Supporto Listone'!B259)&gt;0,INDEX(Asta!$E$4:$E$47,MATCH('_Supporto Listone'!B259,Asta!$D$4:$D$47,0)),IF(COUNTIF(Asta!$F$4:$F$47,'_Supporto Listone'!B259)&gt;0,INDEX(Asta!$G$4:$G$47,MATCH('_Supporto Listone'!B259,Asta!$F$4:$F$47,0)),IF(COUNTIF(Asta!$H$4:$H$47,'_Supporto Listone'!B259)&gt;0,INDEX(Asta!$I$4:$I$47,MATCH('_Supporto Listone'!B259,Asta!$H$4:$H$47,0)),IF(COUNTIF(Asta!$J$4:$J$47,'_Supporto Listone'!B259)&gt;0,INDEX(Asta!$K$4:$K$47,MATCH('_Supporto Listone'!B259,Asta!$J$4:$J$47,0)),IF(COUNTIF(Asta!$L$4:$L$47,'_Supporto Listone'!B259)&gt;0,INDEX(Asta!$M$4:$M$47,MATCH('_Supporto Listone'!B259,Asta!$L$4:$L$47,0)),IF(COUNTIF(Asta!$N$4:$N$47,'_Supporto Listone'!B259)&gt;0,INDEX(Asta!$O$4:$O$47,MATCH('_Supporto Listone'!B259,Asta!$N$4:$N$47,0)),IF(COUNTIF(Asta!$P$4:$P$47,'_Supporto Listone'!B259)&gt;0,INDEX(Asta!$Q$4:$Q$47,MATCH('_Supporto Listone'!B259,Asta!$P$4:$P$47,0)),IF(COUNTIF(Asta!$R$4:$R$47,'_Supporto Listone'!B259)&gt;0,INDEX(Asta!$S$4:$S$47,MATCH('_Supporto Listone'!B259,Asta!$R$4:$R$47,0)),IF(COUNTIF(Asta!$T$4:$T$47,'_Supporto Listone'!B259)&gt;0,INDEX(Asta!$U$4:$U$47,MATCH('_Supporto Listone'!B259,Asta!$T$4:$T$47,0)),""))))))))))</x:f>
      </x:c>
    </x:row>
    <x:row r="260">
      <x:c r="A260" s="440" t="str">
        <x:f>IF($J260&lt;&gt;"",REGEXREPLACE(TO_TEXT('_Supporto Listone'!A260),"(.)","$1"&amp;UNICHAR(822)),'_Supporto Listone'!A260)</x:f>
        <x:v>C</x:v>
      </x:c>
      <x:c r="B260" s="441" t="str">
        <x:f>IF($J260&lt;&gt;"",REGEXREPLACE(TO_TEXT('_Supporto Listone'!B260),"(.)","$1"&amp;UNICHAR(822)),'_Supporto Listone'!B260)</x:f>
        <x:v>Barella</x:v>
      </x:c>
      <x:c r="C260" s="441" t="str">
        <x:f>IF($J260&lt;&gt;"",REGEXREPLACE(TO_TEXT('_Supporto Listone'!C260),"(.)","$1"&amp;UNICHAR(822)),'_Supporto Listone'!C260)</x:f>
        <x:v>Inter</x:v>
      </x:c>
      <x:c r="D260" s="441" t="str">
        <x:f>IF($J260&lt;&gt;"",REGEXREPLACE(TO_TEXT('_Supporto Listone'!D260),"(.)","$1"&amp;UNICHAR(822)),'_Supporto Listone'!D260)</x:f>
        <x:v>C</x:v>
      </x:c>
      <x:c r="E260" s="441" t="str">
        <x:f>IF($J260&lt;&gt;"",REGEXREPLACE(TO_TEXT('_Supporto Listone'!E260),"(.)","$1"&amp;UNICHAR(822)),'_Supporto Listone'!E260)</x:f>
        <x:v>Titolare</x:v>
      </x:c>
      <x:c r="F260" s="464" t="n">
        <x:f>IF($J260&lt;&gt;"",REGEXREPLACE(TO_TEXT('_Supporto Listone'!F260),"(.)","$1"&amp;UNICHAR(822)),'_Supporto Listone'!F260)</x:f>
        <x:v>17</x:v>
      </x:c>
      <x:c r="G260" s="464" t="n">
        <x:f>IF($J260&lt;&gt;"",REGEXREPLACE(TO_TEXT('_Supporto Listone'!G260),"(.)","$1"&amp;UNICHAR(822)),'_Supporto Listone'!G260)</x:f>
        <x:v>82</x:v>
      </x:c>
      <x:c r="H260" s="464" t="n">
        <x:f>IF($J260&lt;&gt;"",REGEXREPLACE(TO_TEXT('_Supporto Listone'!H260),"(.)","$1"&amp;UNICHAR(822)),'_Supporto Listone'!H260)</x:f>
        <x:v>41</x:v>
      </x:c>
      <x:c r="I260" s="442"/>
      <x:c r="J260" s="441" t="str">
        <x:f>IF(COUNTIF(Asta!$B$4:$B$47,'_Supporto Listone'!B260)&gt;0,"Simone",IF(COUNTIF(Asta!$D$4:$D$47,'_Supporto Listone'!B260)&gt;0,"Giacomo",IF(COUNTIF(Asta!$F$4:$F$47,'_Supporto Listone'!B260)&gt;0,"Niko",IF(COUNTIF(Asta!$H$4:$H$47,'_Supporto Listone'!B260)&gt;0,"Quici",IF(COUNTIF(Asta!$J$4:$J$47,'_Supporto Listone'!B260)&gt;0,"Fratello Quici",IF(COUNTIF(Asta!$L$4:$L$47,'_Supporto Listone'!B260)&gt;0,"Nicolò",IF(COUNTIF(Asta!$N$4:$N$47,'_Supporto Listone'!B260)&gt;0,"Vi",IF(COUNTIF(Asta!$P$4:$P$47,'_Supporto Listone'!B260)&gt;0,"Lore",IF(COUNTIF(Asta!$R$4:$R$47,'_Supporto Listone'!B260)&gt;0,"Robbo",IF(COUNTIF(Asta!$T$4:$T$47,'_Supporto Listone'!B260)&gt;0,"Ale",""))))))))))</x:f>
      </x:c>
      <x:c r="K260" s="495" t="str">
        <x:f>IF(COUNTIF(Asta!$B$4:$B$47,'_Supporto Listone'!B260)&gt;0,INDEX(Asta!$C$4:$C$47,MATCH('_Supporto Listone'!B260,Asta!$B$4:$B$47,0)),IF(COUNTIF(Asta!$D$4:$D$47,'_Supporto Listone'!B260)&gt;0,INDEX(Asta!$E$4:$E$47,MATCH('_Supporto Listone'!B260,Asta!$D$4:$D$47,0)),IF(COUNTIF(Asta!$F$4:$F$47,'_Supporto Listone'!B260)&gt;0,INDEX(Asta!$G$4:$G$47,MATCH('_Supporto Listone'!B260,Asta!$F$4:$F$47,0)),IF(COUNTIF(Asta!$H$4:$H$47,'_Supporto Listone'!B260)&gt;0,INDEX(Asta!$I$4:$I$47,MATCH('_Supporto Listone'!B260,Asta!$H$4:$H$47,0)),IF(COUNTIF(Asta!$J$4:$J$47,'_Supporto Listone'!B260)&gt;0,INDEX(Asta!$K$4:$K$47,MATCH('_Supporto Listone'!B260,Asta!$J$4:$J$47,0)),IF(COUNTIF(Asta!$L$4:$L$47,'_Supporto Listone'!B260)&gt;0,INDEX(Asta!$M$4:$M$47,MATCH('_Supporto Listone'!B260,Asta!$L$4:$L$47,0)),IF(COUNTIF(Asta!$N$4:$N$47,'_Supporto Listone'!B260)&gt;0,INDEX(Asta!$O$4:$O$47,MATCH('_Supporto Listone'!B260,Asta!$N$4:$N$47,0)),IF(COUNTIF(Asta!$P$4:$P$47,'_Supporto Listone'!B260)&gt;0,INDEX(Asta!$Q$4:$Q$47,MATCH('_Supporto Listone'!B260,Asta!$P$4:$P$47,0)),IF(COUNTIF(Asta!$R$4:$R$47,'_Supporto Listone'!B260)&gt;0,INDEX(Asta!$S$4:$S$47,MATCH('_Supporto Listone'!B260,Asta!$R$4:$R$47,0)),IF(COUNTIF(Asta!$T$4:$T$47,'_Supporto Listone'!B260)&gt;0,INDEX(Asta!$U$4:$U$47,MATCH('_Supporto Listone'!B260,Asta!$T$4:$T$47,0)),""))))))))))</x:f>
      </x:c>
    </x:row>
    <x:row r="261">
      <x:c r="A261" s="440" t="str">
        <x:f>IF($J261&lt;&gt;"",REGEXREPLACE(TO_TEXT('_Supporto Listone'!A261),"(.)","$1"&amp;UNICHAR(822)),'_Supporto Listone'!A261)</x:f>
        <x:v>C</x:v>
      </x:c>
      <x:c r="B261" s="441" t="str">
        <x:f>IF($J261&lt;&gt;"",REGEXREPLACE(TO_TEXT('_Supporto Listone'!B261),"(.)","$1"&amp;UNICHAR(822)),'_Supporto Listone'!B261)</x:f>
        <x:v>McKennie</x:v>
      </x:c>
      <x:c r="C261" s="441" t="str">
        <x:f>IF($J261&lt;&gt;"",REGEXREPLACE(TO_TEXT('_Supporto Listone'!C261),"(.)","$1"&amp;UNICHAR(822)),'_Supporto Listone'!C261)</x:f>
        <x:v>Juventus</x:v>
      </x:c>
      <x:c r="D261" s="441" t="str">
        <x:f>IF($J261&lt;&gt;"",REGEXREPLACE(TO_TEXT('_Supporto Listone'!D261),"(.)","$1"&amp;UNICHAR(822)),'_Supporto Listone'!D261)</x:f>
        <x:v>C</x:v>
      </x:c>
      <x:c r="E261" s="441" t="str">
        <x:f>IF($J261&lt;&gt;"",REGEXREPLACE(TO_TEXT('_Supporto Listone'!E261),"(.)","$1"&amp;UNICHAR(822)),'_Supporto Listone'!E261)</x:f>
        <x:v>Titolare</x:v>
      </x:c>
      <x:c r="F261" s="464" t="n">
        <x:f>IF($J261&lt;&gt;"",REGEXREPLACE(TO_TEXT('_Supporto Listone'!F261),"(.)","$1"&amp;UNICHAR(822)),'_Supporto Listone'!F261)</x:f>
        <x:v>17</x:v>
      </x:c>
      <x:c r="G261" s="464" t="n">
        <x:f>IF($J261&lt;&gt;"",REGEXREPLACE(TO_TEXT('_Supporto Listone'!G261),"(.)","$1"&amp;UNICHAR(822)),'_Supporto Listone'!G261)</x:f>
        <x:v>68</x:v>
      </x:c>
      <x:c r="H261" s="464" t="n">
        <x:f>IF($J261&lt;&gt;"",REGEXREPLACE(TO_TEXT('_Supporto Listone'!H261),"(.)","$1"&amp;UNICHAR(822)),'_Supporto Listone'!H261)</x:f>
        <x:v>34</x:v>
      </x:c>
      <x:c r="I261" s="442"/>
      <x:c r="J261" s="441" t="str">
        <x:f>IF(COUNTIF(Asta!$B$4:$B$47,'_Supporto Listone'!B261)&gt;0,"Simone",IF(COUNTIF(Asta!$D$4:$D$47,'_Supporto Listone'!B261)&gt;0,"Giacomo",IF(COUNTIF(Asta!$F$4:$F$47,'_Supporto Listone'!B261)&gt;0,"Niko",IF(COUNTIF(Asta!$H$4:$H$47,'_Supporto Listone'!B261)&gt;0,"Quici",IF(COUNTIF(Asta!$J$4:$J$47,'_Supporto Listone'!B261)&gt;0,"Fratello Quici",IF(COUNTIF(Asta!$L$4:$L$47,'_Supporto Listone'!B261)&gt;0,"Nicolò",IF(COUNTIF(Asta!$N$4:$N$47,'_Supporto Listone'!B261)&gt;0,"Vi",IF(COUNTIF(Asta!$P$4:$P$47,'_Supporto Listone'!B261)&gt;0,"Lore",IF(COUNTIF(Asta!$R$4:$R$47,'_Supporto Listone'!B261)&gt;0,"Robbo",IF(COUNTIF(Asta!$T$4:$T$47,'_Supporto Listone'!B261)&gt;0,"Ale",""))))))))))</x:f>
      </x:c>
      <x:c r="K261" s="495" t="str">
        <x:f>IF(COUNTIF(Asta!$B$4:$B$47,'_Supporto Listone'!B261)&gt;0,INDEX(Asta!$C$4:$C$47,MATCH('_Supporto Listone'!B261,Asta!$B$4:$B$47,0)),IF(COUNTIF(Asta!$D$4:$D$47,'_Supporto Listone'!B261)&gt;0,INDEX(Asta!$E$4:$E$47,MATCH('_Supporto Listone'!B261,Asta!$D$4:$D$47,0)),IF(COUNTIF(Asta!$F$4:$F$47,'_Supporto Listone'!B261)&gt;0,INDEX(Asta!$G$4:$G$47,MATCH('_Supporto Listone'!B261,Asta!$F$4:$F$47,0)),IF(COUNTIF(Asta!$H$4:$H$47,'_Supporto Listone'!B261)&gt;0,INDEX(Asta!$I$4:$I$47,MATCH('_Supporto Listone'!B261,Asta!$H$4:$H$47,0)),IF(COUNTIF(Asta!$J$4:$J$47,'_Supporto Listone'!B261)&gt;0,INDEX(Asta!$K$4:$K$47,MATCH('_Supporto Listone'!B261,Asta!$J$4:$J$47,0)),IF(COUNTIF(Asta!$L$4:$L$47,'_Supporto Listone'!B261)&gt;0,INDEX(Asta!$M$4:$M$47,MATCH('_Supporto Listone'!B261,Asta!$L$4:$L$47,0)),IF(COUNTIF(Asta!$N$4:$N$47,'_Supporto Listone'!B261)&gt;0,INDEX(Asta!$O$4:$O$47,MATCH('_Supporto Listone'!B261,Asta!$N$4:$N$47,0)),IF(COUNTIF(Asta!$P$4:$P$47,'_Supporto Listone'!B261)&gt;0,INDEX(Asta!$Q$4:$Q$47,MATCH('_Supporto Listone'!B261,Asta!$P$4:$P$47,0)),IF(COUNTIF(Asta!$R$4:$R$47,'_Supporto Listone'!B261)&gt;0,INDEX(Asta!$S$4:$S$47,MATCH('_Supporto Listone'!B261,Asta!$R$4:$R$47,0)),IF(COUNTIF(Asta!$T$4:$T$47,'_Supporto Listone'!B261)&gt;0,INDEX(Asta!$U$4:$U$47,MATCH('_Supporto Listone'!B261,Asta!$T$4:$T$47,0)),""))))))))))</x:f>
      </x:c>
    </x:row>
    <x:row r="262">
      <x:c r="A262" s="440" t="str">
        <x:f>IF($J262&lt;&gt;"",REGEXREPLACE(TO_TEXT('_Supporto Listone'!A262),"(.)","$1"&amp;UNICHAR(822)),'_Supporto Listone'!A262)</x:f>
        <x:v>C</x:v>
      </x:c>
      <x:c r="B262" s="441" t="str">
        <x:f>IF($J262&lt;&gt;"",REGEXREPLACE(TO_TEXT('_Supporto Listone'!B262),"(.)","$1"&amp;UNICHAR(822)),'_Supporto Listone'!B262)</x:f>
        <x:v>Zaccagni</x:v>
      </x:c>
      <x:c r="C262" s="441" t="str">
        <x:f>IF($J262&lt;&gt;"",REGEXREPLACE(TO_TEXT('_Supporto Listone'!C262),"(.)","$1"&amp;UNICHAR(822)),'_Supporto Listone'!C262)</x:f>
        <x:v>Lazio</x:v>
      </x:c>
      <x:c r="D262" s="441" t="str">
        <x:f>IF($J262&lt;&gt;"",REGEXREPLACE(TO_TEXT('_Supporto Listone'!D262),"(.)","$1"&amp;UNICHAR(822)),'_Supporto Listone'!D262)</x:f>
        <x:v>W;A</x:v>
      </x:c>
      <x:c r="E262" s="441" t="str">
        <x:f>IF($J262&lt;&gt;"",REGEXREPLACE(TO_TEXT('_Supporto Listone'!E262),"(.)","$1"&amp;UNICHAR(822)),'_Supporto Listone'!E262)</x:f>
        <x:v>Titolare</x:v>
      </x:c>
      <x:c r="F262" s="464" t="n">
        <x:f>IF($J262&lt;&gt;"",REGEXREPLACE(TO_TEXT('_Supporto Listone'!F262),"(.)","$1"&amp;UNICHAR(822)),'_Supporto Listone'!F262)</x:f>
        <x:v>16</x:v>
      </x:c>
      <x:c r="G262" s="464" t="n">
        <x:f>IF($J262&lt;&gt;"",REGEXREPLACE(TO_TEXT('_Supporto Listone'!G262),"(.)","$1"&amp;UNICHAR(822)),'_Supporto Listone'!G262)</x:f>
        <x:v>91</x:v>
      </x:c>
      <x:c r="H262" s="464" t="n">
        <x:f>IF($J262&lt;&gt;"",REGEXREPLACE(TO_TEXT('_Supporto Listone'!H262),"(.)","$1"&amp;UNICHAR(822)),'_Supporto Listone'!H262)</x:f>
        <x:v>46</x:v>
      </x:c>
      <x:c r="I262" s="442" t="str">
        <x:f>IF($J262&lt;&gt;"",REGEXREPLACE(TO_TEXT('_Supporto Listone'!I262),"(.)","$1"&amp;UNICHAR(822)),'_Supporto Listone'!I262)</x:f>
        <x:v>Rigorista · Piazzati</x:v>
      </x:c>
      <x:c r="J262" s="441" t="str">
        <x:f>IF(COUNTIF(Asta!$B$4:$B$47,'_Supporto Listone'!B262)&gt;0,"Simone",IF(COUNTIF(Asta!$D$4:$D$47,'_Supporto Listone'!B262)&gt;0,"Giacomo",IF(COUNTIF(Asta!$F$4:$F$47,'_Supporto Listone'!B262)&gt;0,"Niko",IF(COUNTIF(Asta!$H$4:$H$47,'_Supporto Listone'!B262)&gt;0,"Quici",IF(COUNTIF(Asta!$J$4:$J$47,'_Supporto Listone'!B262)&gt;0,"Fratello Quici",IF(COUNTIF(Asta!$L$4:$L$47,'_Supporto Listone'!B262)&gt;0,"Nicolò",IF(COUNTIF(Asta!$N$4:$N$47,'_Supporto Listone'!B262)&gt;0,"Vi",IF(COUNTIF(Asta!$P$4:$P$47,'_Supporto Listone'!B262)&gt;0,"Lore",IF(COUNTIF(Asta!$R$4:$R$47,'_Supporto Listone'!B262)&gt;0,"Robbo",IF(COUNTIF(Asta!$T$4:$T$47,'_Supporto Listone'!B262)&gt;0,"Ale",""))))))))))</x:f>
      </x:c>
      <x:c r="K262" s="495" t="str">
        <x:f>IF(COUNTIF(Asta!$B$4:$B$47,'_Supporto Listone'!B262)&gt;0,INDEX(Asta!$C$4:$C$47,MATCH('_Supporto Listone'!B262,Asta!$B$4:$B$47,0)),IF(COUNTIF(Asta!$D$4:$D$47,'_Supporto Listone'!B262)&gt;0,INDEX(Asta!$E$4:$E$47,MATCH('_Supporto Listone'!B262,Asta!$D$4:$D$47,0)),IF(COUNTIF(Asta!$F$4:$F$47,'_Supporto Listone'!B262)&gt;0,INDEX(Asta!$G$4:$G$47,MATCH('_Supporto Listone'!B262,Asta!$F$4:$F$47,0)),IF(COUNTIF(Asta!$H$4:$H$47,'_Supporto Listone'!B262)&gt;0,INDEX(Asta!$I$4:$I$47,MATCH('_Supporto Listone'!B262,Asta!$H$4:$H$47,0)),IF(COUNTIF(Asta!$J$4:$J$47,'_Supporto Listone'!B262)&gt;0,INDEX(Asta!$K$4:$K$47,MATCH('_Supporto Listone'!B262,Asta!$J$4:$J$47,0)),IF(COUNTIF(Asta!$L$4:$L$47,'_Supporto Listone'!B262)&gt;0,INDEX(Asta!$M$4:$M$47,MATCH('_Supporto Listone'!B262,Asta!$L$4:$L$47,0)),IF(COUNTIF(Asta!$N$4:$N$47,'_Supporto Listone'!B262)&gt;0,INDEX(Asta!$O$4:$O$47,MATCH('_Supporto Listone'!B262,Asta!$N$4:$N$47,0)),IF(COUNTIF(Asta!$P$4:$P$47,'_Supporto Listone'!B262)&gt;0,INDEX(Asta!$Q$4:$Q$47,MATCH('_Supporto Listone'!B262,Asta!$P$4:$P$47,0)),IF(COUNTIF(Asta!$R$4:$R$47,'_Supporto Listone'!B262)&gt;0,INDEX(Asta!$S$4:$S$47,MATCH('_Supporto Listone'!B262,Asta!$R$4:$R$47,0)),IF(COUNTIF(Asta!$T$4:$T$47,'_Supporto Listone'!B262)&gt;0,INDEX(Asta!$U$4:$U$47,MATCH('_Supporto Listone'!B262,Asta!$T$4:$T$47,0)),""))))))))))</x:f>
      </x:c>
    </x:row>
    <x:row r="263">
      <x:c r="A263" s="440" t="str">
        <x:f>IF($J263&lt;&gt;"",REGEXREPLACE(TO_TEXT('_Supporto Listone'!A263),"(.)","$1"&amp;UNICHAR(822)),'_Supporto Listone'!A263)</x:f>
        <x:v>C</x:v>
      </x:c>
      <x:c r="B263" s="441" t="str">
        <x:f>IF($J263&lt;&gt;"",REGEXREPLACE(TO_TEXT('_Supporto Listone'!B263),"(.)","$1"&amp;UNICHAR(822)),'_Supporto Listone'!B263)</x:f>
        <x:v>De Bruyne</x:v>
      </x:c>
      <x:c r="C263" s="441" t="str">
        <x:f>IF($J263&lt;&gt;"",REGEXREPLACE(TO_TEXT('_Supporto Listone'!C263),"(.)","$1"&amp;UNICHAR(822)),'_Supporto Listone'!C263)</x:f>
        <x:v>Napoli</x:v>
      </x:c>
      <x:c r="D263" s="441" t="str">
        <x:f>IF($J263&lt;&gt;"",REGEXREPLACE(TO_TEXT('_Supporto Listone'!D263),"(.)","$1"&amp;UNICHAR(822)),'_Supporto Listone'!D263)</x:f>
        <x:v>T</x:v>
      </x:c>
      <x:c r="E263" s="441" t="str">
        <x:f>IF($J263&lt;&gt;"",REGEXREPLACE(TO_TEXT('_Supporto Listone'!E263),"(.)","$1"&amp;UNICHAR(822)),'_Supporto Listone'!E263)</x:f>
        <x:v>Titolare / ballottaggio</x:v>
      </x:c>
      <x:c r="F263" s="464" t="n">
        <x:f>IF($J263&lt;&gt;"",REGEXREPLACE(TO_TEXT('_Supporto Listone'!F263),"(.)","$1"&amp;UNICHAR(822)),'_Supporto Listone'!F263)</x:f>
        <x:v>15</x:v>
      </x:c>
      <x:c r="G263" s="464" t="n">
        <x:f>IF($J263&lt;&gt;"",REGEXREPLACE(TO_TEXT('_Supporto Listone'!G263),"(.)","$1"&amp;UNICHAR(822)),'_Supporto Listone'!G263)</x:f>
        <x:v>100</x:v>
      </x:c>
      <x:c r="H263" s="464" t="n">
        <x:f>IF($J263&lt;&gt;"",REGEXREPLACE(TO_TEXT('_Supporto Listone'!H263),"(.)","$1"&amp;UNICHAR(822)),'_Supporto Listone'!H263)</x:f>
        <x:v>50</x:v>
      </x:c>
      <x:c r="I263" s="442" t="str">
        <x:f>IF($J263&lt;&gt;"",REGEXREPLACE(TO_TEXT('_Supporto Listone'!I263),"(.)","$1"&amp;UNICHAR(822)),'_Supporto Listone'!I263)</x:f>
        <x:v>Rigorista · Piazzati</x:v>
      </x:c>
      <x:c r="J263" s="441" t="str">
        <x:f>IF(COUNTIF(Asta!$B$4:$B$47,'_Supporto Listone'!B263)&gt;0,"Simone",IF(COUNTIF(Asta!$D$4:$D$47,'_Supporto Listone'!B263)&gt;0,"Giacomo",IF(COUNTIF(Asta!$F$4:$F$47,'_Supporto Listone'!B263)&gt;0,"Niko",IF(COUNTIF(Asta!$H$4:$H$47,'_Supporto Listone'!B263)&gt;0,"Quici",IF(COUNTIF(Asta!$J$4:$J$47,'_Supporto Listone'!B263)&gt;0,"Fratello Quici",IF(COUNTIF(Asta!$L$4:$L$47,'_Supporto Listone'!B263)&gt;0,"Nicolò",IF(COUNTIF(Asta!$N$4:$N$47,'_Supporto Listone'!B263)&gt;0,"Vi",IF(COUNTIF(Asta!$P$4:$P$47,'_Supporto Listone'!B263)&gt;0,"Lore",IF(COUNTIF(Asta!$R$4:$R$47,'_Supporto Listone'!B263)&gt;0,"Robbo",IF(COUNTIF(Asta!$T$4:$T$47,'_Supporto Listone'!B263)&gt;0,"Ale",""))))))))))</x:f>
      </x:c>
      <x:c r="K263" s="495" t="str">
        <x:f>IF(COUNTIF(Asta!$B$4:$B$47,'_Supporto Listone'!B263)&gt;0,INDEX(Asta!$C$4:$C$47,MATCH('_Supporto Listone'!B263,Asta!$B$4:$B$47,0)),IF(COUNTIF(Asta!$D$4:$D$47,'_Supporto Listone'!B263)&gt;0,INDEX(Asta!$E$4:$E$47,MATCH('_Supporto Listone'!B263,Asta!$D$4:$D$47,0)),IF(COUNTIF(Asta!$F$4:$F$47,'_Supporto Listone'!B263)&gt;0,INDEX(Asta!$G$4:$G$47,MATCH('_Supporto Listone'!B263,Asta!$F$4:$F$47,0)),IF(COUNTIF(Asta!$H$4:$H$47,'_Supporto Listone'!B263)&gt;0,INDEX(Asta!$I$4:$I$47,MATCH('_Supporto Listone'!B263,Asta!$H$4:$H$47,0)),IF(COUNTIF(Asta!$J$4:$J$47,'_Supporto Listone'!B263)&gt;0,INDEX(Asta!$K$4:$K$47,MATCH('_Supporto Listone'!B263,Asta!$J$4:$J$47,0)),IF(COUNTIF(Asta!$L$4:$L$47,'_Supporto Listone'!B263)&gt;0,INDEX(Asta!$M$4:$M$47,MATCH('_Supporto Listone'!B263,Asta!$L$4:$L$47,0)),IF(COUNTIF(Asta!$N$4:$N$47,'_Supporto Listone'!B263)&gt;0,INDEX(Asta!$O$4:$O$47,MATCH('_Supporto Listone'!B263,Asta!$N$4:$N$47,0)),IF(COUNTIF(Asta!$P$4:$P$47,'_Supporto Listone'!B263)&gt;0,INDEX(Asta!$Q$4:$Q$47,MATCH('_Supporto Listone'!B263,Asta!$P$4:$P$47,0)),IF(COUNTIF(Asta!$R$4:$R$47,'_Supporto Listone'!B263)&gt;0,INDEX(Asta!$S$4:$S$47,MATCH('_Supporto Listone'!B263,Asta!$R$4:$R$47,0)),IF(COUNTIF(Asta!$T$4:$T$47,'_Supporto Listone'!B263)&gt;0,INDEX(Asta!$U$4:$U$47,MATCH('_Supporto Listone'!B263,Asta!$T$4:$T$47,0)),""))))))))))</x:f>
      </x:c>
    </x:row>
    <x:row r="264">
      <x:c r="A264" s="440" t="str">
        <x:f>IF($J264&lt;&gt;"",REGEXREPLACE(TO_TEXT('_Supporto Listone'!A264),"(.)","$1"&amp;UNICHAR(822)),'_Supporto Listone'!A264)</x:f>
        <x:v>C</x:v>
      </x:c>
      <x:c r="B264" s="441" t="str">
        <x:f>IF($J264&lt;&gt;"",REGEXREPLACE(TO_TEXT('_Supporto Listone'!B264),"(.)","$1"&amp;UNICHAR(822)),'_Supporto Listone'!B264)</x:f>
        <x:v>Vlasic</x:v>
      </x:c>
      <x:c r="C264" s="441" t="str">
        <x:f>IF($J264&lt;&gt;"",REGEXREPLACE(TO_TEXT('_Supporto Listone'!C264),"(.)","$1"&amp;UNICHAR(822)),'_Supporto Listone'!C264)</x:f>
        <x:v>Torino</x:v>
      </x:c>
      <x:c r="D264" s="441" t="str">
        <x:f>IF($J264&lt;&gt;"",REGEXREPLACE(TO_TEXT('_Supporto Listone'!D264),"(.)","$1"&amp;UNICHAR(822)),'_Supporto Listone'!D264)</x:f>
        <x:v>T</x:v>
      </x:c>
      <x:c r="E264" s="441" t="str">
        <x:f>IF($J264&lt;&gt;"",REGEXREPLACE(TO_TEXT('_Supporto Listone'!E264),"(.)","$1"&amp;UNICHAR(822)),'_Supporto Listone'!E264)</x:f>
        <x:v>Titolare</x:v>
      </x:c>
      <x:c r="F264" s="464" t="n">
        <x:f>IF($J264&lt;&gt;"",REGEXREPLACE(TO_TEXT('_Supporto Listone'!F264),"(.)","$1"&amp;UNICHAR(822)),'_Supporto Listone'!F264)</x:f>
        <x:v>14</x:v>
      </x:c>
      <x:c r="G264" s="464" t="n">
        <x:f>IF($J264&lt;&gt;"",REGEXREPLACE(TO_TEXT('_Supporto Listone'!G264),"(.)","$1"&amp;UNICHAR(822)),'_Supporto Listone'!G264)</x:f>
        <x:v>80</x:v>
      </x:c>
      <x:c r="H264" s="464" t="n">
        <x:f>IF($J264&lt;&gt;"",REGEXREPLACE(TO_TEXT('_Supporto Listone'!H264),"(.)","$1"&amp;UNICHAR(822)),'_Supporto Listone'!H264)</x:f>
        <x:v>40</x:v>
      </x:c>
      <x:c r="I264" s="442" t="str">
        <x:f>IF($J264&lt;&gt;"",REGEXREPLACE(TO_TEXT('_Supporto Listone'!I264),"(.)","$1"&amp;UNICHAR(822)),'_Supporto Listone'!I264)</x:f>
        <x:v>Rigorista · Piazzati</x:v>
      </x:c>
      <x:c r="J264" s="441" t="str">
        <x:f>IF(COUNTIF(Asta!$B$4:$B$47,'_Supporto Listone'!B264)&gt;0,"Simone",IF(COUNTIF(Asta!$D$4:$D$47,'_Supporto Listone'!B264)&gt;0,"Giacomo",IF(COUNTIF(Asta!$F$4:$F$47,'_Supporto Listone'!B264)&gt;0,"Niko",IF(COUNTIF(Asta!$H$4:$H$47,'_Supporto Listone'!B264)&gt;0,"Quici",IF(COUNTIF(Asta!$J$4:$J$47,'_Supporto Listone'!B264)&gt;0,"Fratello Quici",IF(COUNTIF(Asta!$L$4:$L$47,'_Supporto Listone'!B264)&gt;0,"Nicolò",IF(COUNTIF(Asta!$N$4:$N$47,'_Supporto Listone'!B264)&gt;0,"Vi",IF(COUNTIF(Asta!$P$4:$P$47,'_Supporto Listone'!B264)&gt;0,"Lore",IF(COUNTIF(Asta!$R$4:$R$47,'_Supporto Listone'!B264)&gt;0,"Robbo",IF(COUNTIF(Asta!$T$4:$T$47,'_Supporto Listone'!B264)&gt;0,"Ale",""))))))))))</x:f>
      </x:c>
      <x:c r="K264" s="495" t="str">
        <x:f>IF(COUNTIF(Asta!$B$4:$B$47,'_Supporto Listone'!B264)&gt;0,INDEX(Asta!$C$4:$C$47,MATCH('_Supporto Listone'!B264,Asta!$B$4:$B$47,0)),IF(COUNTIF(Asta!$D$4:$D$47,'_Supporto Listone'!B264)&gt;0,INDEX(Asta!$E$4:$E$47,MATCH('_Supporto Listone'!B264,Asta!$D$4:$D$47,0)),IF(COUNTIF(Asta!$F$4:$F$47,'_Supporto Listone'!B264)&gt;0,INDEX(Asta!$G$4:$G$47,MATCH('_Supporto Listone'!B264,Asta!$F$4:$F$47,0)),IF(COUNTIF(Asta!$H$4:$H$47,'_Supporto Listone'!B264)&gt;0,INDEX(Asta!$I$4:$I$47,MATCH('_Supporto Listone'!B264,Asta!$H$4:$H$47,0)),IF(COUNTIF(Asta!$J$4:$J$47,'_Supporto Listone'!B264)&gt;0,INDEX(Asta!$K$4:$K$47,MATCH('_Supporto Listone'!B264,Asta!$J$4:$J$47,0)),IF(COUNTIF(Asta!$L$4:$L$47,'_Supporto Listone'!B264)&gt;0,INDEX(Asta!$M$4:$M$47,MATCH('_Supporto Listone'!B264,Asta!$L$4:$L$47,0)),IF(COUNTIF(Asta!$N$4:$N$47,'_Supporto Listone'!B264)&gt;0,INDEX(Asta!$O$4:$O$47,MATCH('_Supporto Listone'!B264,Asta!$N$4:$N$47,0)),IF(COUNTIF(Asta!$P$4:$P$47,'_Supporto Listone'!B264)&gt;0,INDEX(Asta!$Q$4:$Q$47,MATCH('_Supporto Listone'!B264,Asta!$P$4:$P$47,0)),IF(COUNTIF(Asta!$R$4:$R$47,'_Supporto Listone'!B264)&gt;0,INDEX(Asta!$S$4:$S$47,MATCH('_Supporto Listone'!B264,Asta!$R$4:$R$47,0)),IF(COUNTIF(Asta!$T$4:$T$47,'_Supporto Listone'!B264)&gt;0,INDEX(Asta!$U$4:$U$47,MATCH('_Supporto Listone'!B264,Asta!$T$4:$T$47,0)),""))))))))))</x:f>
      </x:c>
    </x:row>
    <x:row r="265">
      <x:c r="A265" s="440" t="str">
        <x:f>IF($J265&lt;&gt;"",REGEXREPLACE(TO_TEXT('_Supporto Listone'!A265),"(.)","$1"&amp;UNICHAR(822)),'_Supporto Listone'!A265)</x:f>
        <x:v>C</x:v>
      </x:c>
      <x:c r="B265" s="441" t="str">
        <x:f>IF($J265&lt;&gt;"",REGEXREPLACE(TO_TEXT('_Supporto Listone'!B265),"(.)","$1"&amp;UNICHAR(822)),'_Supporto Listone'!B265)</x:f>
        <x:v>Gudmundsson A.</x:v>
      </x:c>
      <x:c r="C265" s="441" t="str">
        <x:f>IF($J265&lt;&gt;"",REGEXREPLACE(TO_TEXT('_Supporto Listone'!C265),"(.)","$1"&amp;UNICHAR(822)),'_Supporto Listone'!C265)</x:f>
        <x:v>Fiorentina</x:v>
      </x:c>
      <x:c r="D265" s="441" t="str">
        <x:f>IF($J265&lt;&gt;"",REGEXREPLACE(TO_TEXT('_Supporto Listone'!D265),"(.)","$1"&amp;UNICHAR(822)),'_Supporto Listone'!D265)</x:f>
        <x:v>T;A</x:v>
      </x:c>
      <x:c r="E265" s="441" t="str">
        <x:f>IF($J265&lt;&gt;"",REGEXREPLACE(TO_TEXT('_Supporto Listone'!E265),"(.)","$1"&amp;UNICHAR(822)),'_Supporto Listone'!E265)</x:f>
        <x:v>Riserva / rotazione</x:v>
      </x:c>
      <x:c r="F265" s="464" t="n">
        <x:f>IF($J265&lt;&gt;"",REGEXREPLACE(TO_TEXT('_Supporto Listone'!F265),"(.)","$1"&amp;UNICHAR(822)),'_Supporto Listone'!F265)</x:f>
        <x:v>13</x:v>
      </x:c>
      <x:c r="G265" s="464" t="n">
        <x:f>IF($J265&lt;&gt;"",REGEXREPLACE(TO_TEXT('_Supporto Listone'!G265),"(.)","$1"&amp;UNICHAR(822)),'_Supporto Listone'!G265)</x:f>
        <x:v>61</x:v>
      </x:c>
      <x:c r="H265" s="464" t="n">
        <x:f>IF($J265&lt;&gt;"",REGEXREPLACE(TO_TEXT('_Supporto Listone'!H265),"(.)","$1"&amp;UNICHAR(822)),'_Supporto Listone'!H265)</x:f>
        <x:v>31</x:v>
      </x:c>
      <x:c r="I265" s="442"/>
      <x:c r="J265" s="441" t="str">
        <x:f>IF(COUNTIF(Asta!$B$4:$B$47,'_Supporto Listone'!B265)&gt;0,"Simone",IF(COUNTIF(Asta!$D$4:$D$47,'_Supporto Listone'!B265)&gt;0,"Giacomo",IF(COUNTIF(Asta!$F$4:$F$47,'_Supporto Listone'!B265)&gt;0,"Niko",IF(COUNTIF(Asta!$H$4:$H$47,'_Supporto Listone'!B265)&gt;0,"Quici",IF(COUNTIF(Asta!$J$4:$J$47,'_Supporto Listone'!B265)&gt;0,"Fratello Quici",IF(COUNTIF(Asta!$L$4:$L$47,'_Supporto Listone'!B265)&gt;0,"Nicolò",IF(COUNTIF(Asta!$N$4:$N$47,'_Supporto Listone'!B265)&gt;0,"Vi",IF(COUNTIF(Asta!$P$4:$P$47,'_Supporto Listone'!B265)&gt;0,"Lore",IF(COUNTIF(Asta!$R$4:$R$47,'_Supporto Listone'!B265)&gt;0,"Robbo",IF(COUNTIF(Asta!$T$4:$T$47,'_Supporto Listone'!B265)&gt;0,"Ale",""))))))))))</x:f>
      </x:c>
      <x:c r="K265" s="495" t="str">
        <x:f>IF(COUNTIF(Asta!$B$4:$B$47,'_Supporto Listone'!B265)&gt;0,INDEX(Asta!$C$4:$C$47,MATCH('_Supporto Listone'!B265,Asta!$B$4:$B$47,0)),IF(COUNTIF(Asta!$D$4:$D$47,'_Supporto Listone'!B265)&gt;0,INDEX(Asta!$E$4:$E$47,MATCH('_Supporto Listone'!B265,Asta!$D$4:$D$47,0)),IF(COUNTIF(Asta!$F$4:$F$47,'_Supporto Listone'!B265)&gt;0,INDEX(Asta!$G$4:$G$47,MATCH('_Supporto Listone'!B265,Asta!$F$4:$F$47,0)),IF(COUNTIF(Asta!$H$4:$H$47,'_Supporto Listone'!B265)&gt;0,INDEX(Asta!$I$4:$I$47,MATCH('_Supporto Listone'!B265,Asta!$H$4:$H$47,0)),IF(COUNTIF(Asta!$J$4:$J$47,'_Supporto Listone'!B265)&gt;0,INDEX(Asta!$K$4:$K$47,MATCH('_Supporto Listone'!B265,Asta!$J$4:$J$47,0)),IF(COUNTIF(Asta!$L$4:$L$47,'_Supporto Listone'!B265)&gt;0,INDEX(Asta!$M$4:$M$47,MATCH('_Supporto Listone'!B265,Asta!$L$4:$L$47,0)),IF(COUNTIF(Asta!$N$4:$N$47,'_Supporto Listone'!B265)&gt;0,INDEX(Asta!$O$4:$O$47,MATCH('_Supporto Listone'!B265,Asta!$N$4:$N$47,0)),IF(COUNTIF(Asta!$P$4:$P$47,'_Supporto Listone'!B265)&gt;0,INDEX(Asta!$Q$4:$Q$47,MATCH('_Supporto Listone'!B265,Asta!$P$4:$P$47,0)),IF(COUNTIF(Asta!$R$4:$R$47,'_Supporto Listone'!B265)&gt;0,INDEX(Asta!$S$4:$S$47,MATCH('_Supporto Listone'!B265,Asta!$R$4:$R$47,0)),IF(COUNTIF(Asta!$T$4:$T$47,'_Supporto Listone'!B265)&gt;0,INDEX(Asta!$U$4:$U$47,MATCH('_Supporto Listone'!B265,Asta!$T$4:$T$47,0)),""))))))))))</x:f>
      </x:c>
    </x:row>
    <x:row r="266">
      <x:c r="A266" s="440" t="str">
        <x:f>IF($J266&lt;&gt;"",REGEXREPLACE(TO_TEXT('_Supporto Listone'!A266),"(.)","$1"&amp;UNICHAR(822)),'_Supporto Listone'!A266)</x:f>
        <x:v>C</x:v>
      </x:c>
      <x:c r="B266" s="441" t="str">
        <x:f>IF($J266&lt;&gt;"",REGEXREPLACE(TO_TEXT('_Supporto Listone'!B266),"(.)","$1"&amp;UNICHAR(822)),'_Supporto Listone'!B266)</x:f>
        <x:v>Taylor K.</x:v>
      </x:c>
      <x:c r="C266" s="441" t="str">
        <x:f>IF($J266&lt;&gt;"",REGEXREPLACE(TO_TEXT('_Supporto Listone'!C266),"(.)","$1"&amp;UNICHAR(822)),'_Supporto Listone'!C266)</x:f>
        <x:v>Lazio</x:v>
      </x:c>
      <x:c r="D266" s="441" t="str">
        <x:f>IF($J266&lt;&gt;"",REGEXREPLACE(TO_TEXT('_Supporto Listone'!D266),"(.)","$1"&amp;UNICHAR(822)),'_Supporto Listone'!D266)</x:f>
        <x:v>C;T</x:v>
      </x:c>
      <x:c r="E266" s="441" t="str">
        <x:f>IF($J266&lt;&gt;"",REGEXREPLACE(TO_TEXT('_Supporto Listone'!E266),"(.)","$1"&amp;UNICHAR(822)),'_Supporto Listone'!E266)</x:f>
        <x:v>Titolare</x:v>
      </x:c>
      <x:c r="F266" s="464" t="n">
        <x:f>IF($J266&lt;&gt;"",REGEXREPLACE(TO_TEXT('_Supporto Listone'!F266),"(.)","$1"&amp;UNICHAR(822)),'_Supporto Listone'!F266)</x:f>
        <x:v>13</x:v>
      </x:c>
      <x:c r="G266" s="464" t="n">
        <x:f>IF($J266&lt;&gt;"",REGEXREPLACE(TO_TEXT('_Supporto Listone'!G266),"(.)","$1"&amp;UNICHAR(822)),'_Supporto Listone'!G266)</x:f>
        <x:v>64</x:v>
      </x:c>
      <x:c r="H266" s="464" t="n">
        <x:f>IF($J266&lt;&gt;"",REGEXREPLACE(TO_TEXT('_Supporto Listone'!H266),"(.)","$1"&amp;UNICHAR(822)),'_Supporto Listone'!H266)</x:f>
        <x:v>32</x:v>
      </x:c>
      <x:c r="I266" s="442"/>
      <x:c r="J266" s="441" t="str">
        <x:f>IF(COUNTIF(Asta!$B$4:$B$47,'_Supporto Listone'!B266)&gt;0,"Simone",IF(COUNTIF(Asta!$D$4:$D$47,'_Supporto Listone'!B266)&gt;0,"Giacomo",IF(COUNTIF(Asta!$F$4:$F$47,'_Supporto Listone'!B266)&gt;0,"Niko",IF(COUNTIF(Asta!$H$4:$H$47,'_Supporto Listone'!B266)&gt;0,"Quici",IF(COUNTIF(Asta!$J$4:$J$47,'_Supporto Listone'!B266)&gt;0,"Fratello Quici",IF(COUNTIF(Asta!$L$4:$L$47,'_Supporto Listone'!B266)&gt;0,"Nicolò",IF(COUNTIF(Asta!$N$4:$N$47,'_Supporto Listone'!B266)&gt;0,"Vi",IF(COUNTIF(Asta!$P$4:$P$47,'_Supporto Listone'!B266)&gt;0,"Lore",IF(COUNTIF(Asta!$R$4:$R$47,'_Supporto Listone'!B266)&gt;0,"Robbo",IF(COUNTIF(Asta!$T$4:$T$47,'_Supporto Listone'!B266)&gt;0,"Ale",""))))))))))</x:f>
      </x:c>
      <x:c r="K266" s="495" t="str">
        <x:f>IF(COUNTIF(Asta!$B$4:$B$47,'_Supporto Listone'!B266)&gt;0,INDEX(Asta!$C$4:$C$47,MATCH('_Supporto Listone'!B266,Asta!$B$4:$B$47,0)),IF(COUNTIF(Asta!$D$4:$D$47,'_Supporto Listone'!B266)&gt;0,INDEX(Asta!$E$4:$E$47,MATCH('_Supporto Listone'!B266,Asta!$D$4:$D$47,0)),IF(COUNTIF(Asta!$F$4:$F$47,'_Supporto Listone'!B266)&gt;0,INDEX(Asta!$G$4:$G$47,MATCH('_Supporto Listone'!B266,Asta!$F$4:$F$47,0)),IF(COUNTIF(Asta!$H$4:$H$47,'_Supporto Listone'!B266)&gt;0,INDEX(Asta!$I$4:$I$47,MATCH('_Supporto Listone'!B266,Asta!$H$4:$H$47,0)),IF(COUNTIF(Asta!$J$4:$J$47,'_Supporto Listone'!B266)&gt;0,INDEX(Asta!$K$4:$K$47,MATCH('_Supporto Listone'!B266,Asta!$J$4:$J$47,0)),IF(COUNTIF(Asta!$L$4:$L$47,'_Supporto Listone'!B266)&gt;0,INDEX(Asta!$M$4:$M$47,MATCH('_Supporto Listone'!B266,Asta!$L$4:$L$47,0)),IF(COUNTIF(Asta!$N$4:$N$47,'_Supporto Listone'!B266)&gt;0,INDEX(Asta!$O$4:$O$47,MATCH('_Supporto Listone'!B266,Asta!$N$4:$N$47,0)),IF(COUNTIF(Asta!$P$4:$P$47,'_Supporto Listone'!B266)&gt;0,INDEX(Asta!$Q$4:$Q$47,MATCH('_Supporto Listone'!B266,Asta!$P$4:$P$47,0)),IF(COUNTIF(Asta!$R$4:$R$47,'_Supporto Listone'!B266)&gt;0,INDEX(Asta!$S$4:$S$47,MATCH('_Supporto Listone'!B266,Asta!$R$4:$R$47,0)),IF(COUNTIF(Asta!$T$4:$T$47,'_Supporto Listone'!B266)&gt;0,INDEX(Asta!$U$4:$U$47,MATCH('_Supporto Listone'!B266,Asta!$T$4:$T$47,0)),""))))))))))</x:f>
      </x:c>
    </x:row>
    <x:row r="267">
      <x:c r="A267" s="440" t="str">
        <x:f>IF($J267&lt;&gt;"",REGEXREPLACE(TO_TEXT('_Supporto Listone'!A267),"(.)","$1"&amp;UNICHAR(822)),'_Supporto Listone'!A267)</x:f>
        <x:v>C</x:v>
      </x:c>
      <x:c r="B267" s="441" t="str">
        <x:f>IF($J267&lt;&gt;"",REGEXREPLACE(TO_TEXT('_Supporto Listone'!B267),"(.)","$1"&amp;UNICHAR(822)),'_Supporto Listone'!B267)</x:f>
        <x:v>Ederson D.S.</x:v>
      </x:c>
      <x:c r="C267" s="441" t="str">
        <x:f>IF($J267&lt;&gt;"",REGEXREPLACE(TO_TEXT('_Supporto Listone'!C267),"(.)","$1"&amp;UNICHAR(822)),'_Supporto Listone'!C267)</x:f>
        <x:v>Atalanta</x:v>
      </x:c>
      <x:c r="D267" s="441" t="str">
        <x:f>IF($J267&lt;&gt;"",REGEXREPLACE(TO_TEXT('_Supporto Listone'!D267),"(.)","$1"&amp;UNICHAR(822)),'_Supporto Listone'!D267)</x:f>
        <x:v>M;C</x:v>
      </x:c>
      <x:c r="E267" s="441" t="str">
        <x:f>IF($J267&lt;&gt;"",REGEXREPLACE(TO_TEXT('_Supporto Listone'!E267),"(.)","$1"&amp;UNICHAR(822)),'_Supporto Listone'!E267)</x:f>
        <x:v>Titolare</x:v>
      </x:c>
      <x:c r="F267" s="464" t="n">
        <x:f>IF($J267&lt;&gt;"",REGEXREPLACE(TO_TEXT('_Supporto Listone'!F267),"(.)","$1"&amp;UNICHAR(822)),'_Supporto Listone'!F267)</x:f>
        <x:v>12</x:v>
      </x:c>
      <x:c r="G267" s="464" t="n">
        <x:f>IF($J267&lt;&gt;"",REGEXREPLACE(TO_TEXT('_Supporto Listone'!G267),"(.)","$1"&amp;UNICHAR(822)),'_Supporto Listone'!G267)</x:f>
        <x:v>45</x:v>
      </x:c>
      <x:c r="H267" s="464" t="n">
        <x:f>IF($J267&lt;&gt;"",REGEXREPLACE(TO_TEXT('_Supporto Listone'!H267),"(.)","$1"&amp;UNICHAR(822)),'_Supporto Listone'!H267)</x:f>
        <x:v>23</x:v>
      </x:c>
      <x:c r="I267" s="442"/>
      <x:c r="J267" s="441" t="str">
        <x:f>IF(COUNTIF(Asta!$B$4:$B$47,'_Supporto Listone'!B267)&gt;0,"Simone",IF(COUNTIF(Asta!$D$4:$D$47,'_Supporto Listone'!B267)&gt;0,"Giacomo",IF(COUNTIF(Asta!$F$4:$F$47,'_Supporto Listone'!B267)&gt;0,"Niko",IF(COUNTIF(Asta!$H$4:$H$47,'_Supporto Listone'!B267)&gt;0,"Quici",IF(COUNTIF(Asta!$J$4:$J$47,'_Supporto Listone'!B267)&gt;0,"Fratello Quici",IF(COUNTIF(Asta!$L$4:$L$47,'_Supporto Listone'!B267)&gt;0,"Nicolò",IF(COUNTIF(Asta!$N$4:$N$47,'_Supporto Listone'!B267)&gt;0,"Vi",IF(COUNTIF(Asta!$P$4:$P$47,'_Supporto Listone'!B267)&gt;0,"Lore",IF(COUNTIF(Asta!$R$4:$R$47,'_Supporto Listone'!B267)&gt;0,"Robbo",IF(COUNTIF(Asta!$T$4:$T$47,'_Supporto Listone'!B267)&gt;0,"Ale",""))))))))))</x:f>
      </x:c>
      <x:c r="K267" s="495" t="str">
        <x:f>IF(COUNTIF(Asta!$B$4:$B$47,'_Supporto Listone'!B267)&gt;0,INDEX(Asta!$C$4:$C$47,MATCH('_Supporto Listone'!B267,Asta!$B$4:$B$47,0)),IF(COUNTIF(Asta!$D$4:$D$47,'_Supporto Listone'!B267)&gt;0,INDEX(Asta!$E$4:$E$47,MATCH('_Supporto Listone'!B267,Asta!$D$4:$D$47,0)),IF(COUNTIF(Asta!$F$4:$F$47,'_Supporto Listone'!B267)&gt;0,INDEX(Asta!$G$4:$G$47,MATCH('_Supporto Listone'!B267,Asta!$F$4:$F$47,0)),IF(COUNTIF(Asta!$H$4:$H$47,'_Supporto Listone'!B267)&gt;0,INDEX(Asta!$I$4:$I$47,MATCH('_Supporto Listone'!B267,Asta!$H$4:$H$47,0)),IF(COUNTIF(Asta!$J$4:$J$47,'_Supporto Listone'!B267)&gt;0,INDEX(Asta!$K$4:$K$47,MATCH('_Supporto Listone'!B267,Asta!$J$4:$J$47,0)),IF(COUNTIF(Asta!$L$4:$L$47,'_Supporto Listone'!B267)&gt;0,INDEX(Asta!$M$4:$M$47,MATCH('_Supporto Listone'!B267,Asta!$L$4:$L$47,0)),IF(COUNTIF(Asta!$N$4:$N$47,'_Supporto Listone'!B267)&gt;0,INDEX(Asta!$O$4:$O$47,MATCH('_Supporto Listone'!B267,Asta!$N$4:$N$47,0)),IF(COUNTIF(Asta!$P$4:$P$47,'_Supporto Listone'!B267)&gt;0,INDEX(Asta!$Q$4:$Q$47,MATCH('_Supporto Listone'!B267,Asta!$P$4:$P$47,0)),IF(COUNTIF(Asta!$R$4:$R$47,'_Supporto Listone'!B267)&gt;0,INDEX(Asta!$S$4:$S$47,MATCH('_Supporto Listone'!B267,Asta!$R$4:$R$47,0)),IF(COUNTIF(Asta!$T$4:$T$47,'_Supporto Listone'!B267)&gt;0,INDEX(Asta!$U$4:$U$47,MATCH('_Supporto Listone'!B267,Asta!$T$4:$T$47,0)),""))))))))))</x:f>
      </x:c>
    </x:row>
    <x:row r="268">
      <x:c r="A268" s="440" t="str">
        <x:f>IF($J268&lt;&gt;"",REGEXREPLACE(TO_TEXT('_Supporto Listone'!A268),"(.)","$1"&amp;UNICHAR(822)),'_Supporto Listone'!A268)</x:f>
        <x:v>C</x:v>
      </x:c>
      <x:c r="B268" s="441" t="str">
        <x:f>IF($J268&lt;&gt;"",REGEXREPLACE(TO_TEXT('_Supporto Listone'!B268),"(.)","$1"&amp;UNICHAR(822)),'_Supporto Listone'!B268)</x:f>
        <x:v>Samardzic</x:v>
      </x:c>
      <x:c r="C268" s="441" t="str">
        <x:f>IF($J268&lt;&gt;"",REGEXREPLACE(TO_TEXT('_Supporto Listone'!C268),"(.)","$1"&amp;UNICHAR(822)),'_Supporto Listone'!C268)</x:f>
        <x:v>Atalanta</x:v>
      </x:c>
      <x:c r="D268" s="441" t="str">
        <x:f>IF($J268&lt;&gt;"",REGEXREPLACE(TO_TEXT('_Supporto Listone'!D268),"(.)","$1"&amp;UNICHAR(822)),'_Supporto Listone'!D268)</x:f>
        <x:v>C;T</x:v>
      </x:c>
      <x:c r="E268" s="441" t="str">
        <x:f>IF($J268&lt;&gt;"",REGEXREPLACE(TO_TEXT('_Supporto Listone'!E268),"(.)","$1"&amp;UNICHAR(822)),'_Supporto Listone'!E268)</x:f>
        <x:v>Ballottaggio</x:v>
      </x:c>
      <x:c r="F268" s="464" t="n">
        <x:f>IF($J268&lt;&gt;"",REGEXREPLACE(TO_TEXT('_Supporto Listone'!F268),"(.)","$1"&amp;UNICHAR(822)),'_Supporto Listone'!F268)</x:f>
        <x:v>12</x:v>
      </x:c>
      <x:c r="G268" s="464" t="n">
        <x:f>IF($J268&lt;&gt;"",REGEXREPLACE(TO_TEXT('_Supporto Listone'!G268),"(.)","$1"&amp;UNICHAR(822)),'_Supporto Listone'!G268)</x:f>
        <x:v>42</x:v>
      </x:c>
      <x:c r="H268" s="464" t="n">
        <x:f>IF($J268&lt;&gt;"",REGEXREPLACE(TO_TEXT('_Supporto Listone'!H268),"(.)","$1"&amp;UNICHAR(822)),'_Supporto Listone'!H268)</x:f>
        <x:v>21</x:v>
      </x:c>
      <x:c r="I268" s="442" t="str">
        <x:f>IF($J268&lt;&gt;"",REGEXREPLACE(TO_TEXT('_Supporto Listone'!I268),"(.)","$1"&amp;UNICHAR(822)),'_Supporto Listone'!I268)</x:f>
        <x:v>Rigorista · Piazzati</x:v>
      </x:c>
      <x:c r="J268" s="441" t="str">
        <x:f>IF(COUNTIF(Asta!$B$4:$B$47,'_Supporto Listone'!B268)&gt;0,"Simone",IF(COUNTIF(Asta!$D$4:$D$47,'_Supporto Listone'!B268)&gt;0,"Giacomo",IF(COUNTIF(Asta!$F$4:$F$47,'_Supporto Listone'!B268)&gt;0,"Niko",IF(COUNTIF(Asta!$H$4:$H$47,'_Supporto Listone'!B268)&gt;0,"Quici",IF(COUNTIF(Asta!$J$4:$J$47,'_Supporto Listone'!B268)&gt;0,"Fratello Quici",IF(COUNTIF(Asta!$L$4:$L$47,'_Supporto Listone'!B268)&gt;0,"Nicolò",IF(COUNTIF(Asta!$N$4:$N$47,'_Supporto Listone'!B268)&gt;0,"Vi",IF(COUNTIF(Asta!$P$4:$P$47,'_Supporto Listone'!B268)&gt;0,"Lore",IF(COUNTIF(Asta!$R$4:$R$47,'_Supporto Listone'!B268)&gt;0,"Robbo",IF(COUNTIF(Asta!$T$4:$T$47,'_Supporto Listone'!B268)&gt;0,"Ale",""))))))))))</x:f>
      </x:c>
      <x:c r="K268" s="495" t="str">
        <x:f>IF(COUNTIF(Asta!$B$4:$B$47,'_Supporto Listone'!B268)&gt;0,INDEX(Asta!$C$4:$C$47,MATCH('_Supporto Listone'!B268,Asta!$B$4:$B$47,0)),IF(COUNTIF(Asta!$D$4:$D$47,'_Supporto Listone'!B268)&gt;0,INDEX(Asta!$E$4:$E$47,MATCH('_Supporto Listone'!B268,Asta!$D$4:$D$47,0)),IF(COUNTIF(Asta!$F$4:$F$47,'_Supporto Listone'!B268)&gt;0,INDEX(Asta!$G$4:$G$47,MATCH('_Supporto Listone'!B268,Asta!$F$4:$F$47,0)),IF(COUNTIF(Asta!$H$4:$H$47,'_Supporto Listone'!B268)&gt;0,INDEX(Asta!$I$4:$I$47,MATCH('_Supporto Listone'!B268,Asta!$H$4:$H$47,0)),IF(COUNTIF(Asta!$J$4:$J$47,'_Supporto Listone'!B268)&gt;0,INDEX(Asta!$K$4:$K$47,MATCH('_Supporto Listone'!B268,Asta!$J$4:$J$47,0)),IF(COUNTIF(Asta!$L$4:$L$47,'_Supporto Listone'!B268)&gt;0,INDEX(Asta!$M$4:$M$47,MATCH('_Supporto Listone'!B268,Asta!$L$4:$L$47,0)),IF(COUNTIF(Asta!$N$4:$N$47,'_Supporto Listone'!B268)&gt;0,INDEX(Asta!$O$4:$O$47,MATCH('_Supporto Listone'!B268,Asta!$N$4:$N$47,0)),IF(COUNTIF(Asta!$P$4:$P$47,'_Supporto Listone'!B268)&gt;0,INDEX(Asta!$Q$4:$Q$47,MATCH('_Supporto Listone'!B268,Asta!$P$4:$P$47,0)),IF(COUNTIF(Asta!$R$4:$R$47,'_Supporto Listone'!B268)&gt;0,INDEX(Asta!$S$4:$S$47,MATCH('_Supporto Listone'!B268,Asta!$R$4:$R$47,0)),IF(COUNTIF(Asta!$T$4:$T$47,'_Supporto Listone'!B268)&gt;0,INDEX(Asta!$U$4:$U$47,MATCH('_Supporto Listone'!B268,Asta!$T$4:$T$47,0)),""))))))))))</x:f>
      </x:c>
    </x:row>
    <x:row r="269">
      <x:c r="A269" s="440" t="str">
        <x:f>IF($J269&lt;&gt;"",REGEXREPLACE(TO_TEXT('_Supporto Listone'!A269),"(.)","$1"&amp;UNICHAR(822)),'_Supporto Listone'!A269)</x:f>
        <x:v>C</x:v>
      </x:c>
      <x:c r="B269" s="441" t="str">
        <x:f>IF($J269&lt;&gt;"",REGEXREPLACE(TO_TEXT('_Supporto Listone'!B269),"(.)","$1"&amp;UNICHAR(822)),'_Supporto Listone'!B269)</x:f>
        <x:v>Rodriguez Je.</x:v>
      </x:c>
      <x:c r="C269" s="441" t="str">
        <x:f>IF($J269&lt;&gt;"",REGEXREPLACE(TO_TEXT('_Supporto Listone'!C269),"(.)","$1"&amp;UNICHAR(822)),'_Supporto Listone'!C269)</x:f>
        <x:v>Como</x:v>
      </x:c>
      <x:c r="D269" s="441" t="str">
        <x:f>IF($J269&lt;&gt;"",REGEXREPLACE(TO_TEXT('_Supporto Listone'!D269),"(.)","$1"&amp;UNICHAR(822)),'_Supporto Listone'!D269)</x:f>
        <x:v>W;A</x:v>
      </x:c>
      <x:c r="E269" s="441" t="str">
        <x:f>IF($J269&lt;&gt;"",REGEXREPLACE(TO_TEXT('_Supporto Listone'!E269),"(.)","$1"&amp;UNICHAR(822)),'_Supporto Listone'!E269)</x:f>
        <x:v>Ballottaggio</x:v>
      </x:c>
      <x:c r="F269" s="464" t="n">
        <x:f>IF($J269&lt;&gt;"",REGEXREPLACE(TO_TEXT('_Supporto Listone'!F269),"(.)","$1"&amp;UNICHAR(822)),'_Supporto Listone'!F269)</x:f>
        <x:v>12</x:v>
      </x:c>
      <x:c r="G269" s="464" t="n">
        <x:f>IF($J269&lt;&gt;"",REGEXREPLACE(TO_TEXT('_Supporto Listone'!G269),"(.)","$1"&amp;UNICHAR(822)),'_Supporto Listone'!G269)</x:f>
        <x:v>32</x:v>
      </x:c>
      <x:c r="H269" s="464" t="n">
        <x:f>IF($J269&lt;&gt;"",REGEXREPLACE(TO_TEXT('_Supporto Listone'!H269),"(.)","$1"&amp;UNICHAR(822)),'_Supporto Listone'!H269)</x:f>
        <x:v>16</x:v>
      </x:c>
      <x:c r="I269" s="442"/>
      <x:c r="J269" s="441" t="str">
        <x:f>IF(COUNTIF(Asta!$B$4:$B$47,'_Supporto Listone'!B269)&gt;0,"Simone",IF(COUNTIF(Asta!$D$4:$D$47,'_Supporto Listone'!B269)&gt;0,"Giacomo",IF(COUNTIF(Asta!$F$4:$F$47,'_Supporto Listone'!B269)&gt;0,"Niko",IF(COUNTIF(Asta!$H$4:$H$47,'_Supporto Listone'!B269)&gt;0,"Quici",IF(COUNTIF(Asta!$J$4:$J$47,'_Supporto Listone'!B269)&gt;0,"Fratello Quici",IF(COUNTIF(Asta!$L$4:$L$47,'_Supporto Listone'!B269)&gt;0,"Nicolò",IF(COUNTIF(Asta!$N$4:$N$47,'_Supporto Listone'!B269)&gt;0,"Vi",IF(COUNTIF(Asta!$P$4:$P$47,'_Supporto Listone'!B269)&gt;0,"Lore",IF(COUNTIF(Asta!$R$4:$R$47,'_Supporto Listone'!B269)&gt;0,"Robbo",IF(COUNTIF(Asta!$T$4:$T$47,'_Supporto Listone'!B269)&gt;0,"Ale",""))))))))))</x:f>
      </x:c>
      <x:c r="K269" s="495" t="str">
        <x:f>IF(COUNTIF(Asta!$B$4:$B$47,'_Supporto Listone'!B269)&gt;0,INDEX(Asta!$C$4:$C$47,MATCH('_Supporto Listone'!B269,Asta!$B$4:$B$47,0)),IF(COUNTIF(Asta!$D$4:$D$47,'_Supporto Listone'!B269)&gt;0,INDEX(Asta!$E$4:$E$47,MATCH('_Supporto Listone'!B269,Asta!$D$4:$D$47,0)),IF(COUNTIF(Asta!$F$4:$F$47,'_Supporto Listone'!B269)&gt;0,INDEX(Asta!$G$4:$G$47,MATCH('_Supporto Listone'!B269,Asta!$F$4:$F$47,0)),IF(COUNTIF(Asta!$H$4:$H$47,'_Supporto Listone'!B269)&gt;0,INDEX(Asta!$I$4:$I$47,MATCH('_Supporto Listone'!B269,Asta!$H$4:$H$47,0)),IF(COUNTIF(Asta!$J$4:$J$47,'_Supporto Listone'!B269)&gt;0,INDEX(Asta!$K$4:$K$47,MATCH('_Supporto Listone'!B269,Asta!$J$4:$J$47,0)),IF(COUNTIF(Asta!$L$4:$L$47,'_Supporto Listone'!B269)&gt;0,INDEX(Asta!$M$4:$M$47,MATCH('_Supporto Listone'!B269,Asta!$L$4:$L$47,0)),IF(COUNTIF(Asta!$N$4:$N$47,'_Supporto Listone'!B269)&gt;0,INDEX(Asta!$O$4:$O$47,MATCH('_Supporto Listone'!B269,Asta!$N$4:$N$47,0)),IF(COUNTIF(Asta!$P$4:$P$47,'_Supporto Listone'!B269)&gt;0,INDEX(Asta!$Q$4:$Q$47,MATCH('_Supporto Listone'!B269,Asta!$P$4:$P$47,0)),IF(COUNTIF(Asta!$R$4:$R$47,'_Supporto Listone'!B269)&gt;0,INDEX(Asta!$S$4:$S$47,MATCH('_Supporto Listone'!B269,Asta!$R$4:$R$47,0)),IF(COUNTIF(Asta!$T$4:$T$47,'_Supporto Listone'!B269)&gt;0,INDEX(Asta!$U$4:$U$47,MATCH('_Supporto Listone'!B269,Asta!$T$4:$T$47,0)),""))))))))))</x:f>
      </x:c>
    </x:row>
    <x:row r="270">
      <x:c r="A270" s="440" t="str">
        <x:f>IF($J270&lt;&gt;"",REGEXREPLACE(TO_TEXT('_Supporto Listone'!A270),"(.)","$1"&amp;UNICHAR(822)),'_Supporto Listone'!A270)</x:f>
        <x:v>C</x:v>
      </x:c>
      <x:c r="B270" s="441" t="str">
        <x:f>IF($J270&lt;&gt;"",REGEXREPLACE(TO_TEXT('_Supporto Listone'!B270),"(.)","$1"&amp;UNICHAR(822)),'_Supporto Listone'!B270)</x:f>
        <x:v>Alajbegovic</x:v>
      </x:c>
      <x:c r="C270" s="441" t="str">
        <x:f>IF($J270&lt;&gt;"",REGEXREPLACE(TO_TEXT('_Supporto Listone'!C270),"(.)","$1"&amp;UNICHAR(822)),'_Supporto Listone'!C270)</x:f>
        <x:v>Juventus</x:v>
      </x:c>
      <x:c r="D270" s="441" t="str">
        <x:f>IF($J270&lt;&gt;"",REGEXREPLACE(TO_TEXT('_Supporto Listone'!D270),"(.)","$1"&amp;UNICHAR(822)),'_Supporto Listone'!D270)</x:f>
        <x:v>W;T</x:v>
      </x:c>
      <x:c r="E270" s="441" t="str">
        <x:f>IF($J270&lt;&gt;"",REGEXREPLACE(TO_TEXT('_Supporto Listone'!E270),"(.)","$1"&amp;UNICHAR(822)),'_Supporto Listone'!E270)</x:f>
        <x:v>Ballottaggio</x:v>
      </x:c>
      <x:c r="F270" s="464" t="n">
        <x:f>IF($J270&lt;&gt;"",REGEXREPLACE(TO_TEXT('_Supporto Listone'!F270),"(.)","$1"&amp;UNICHAR(822)),'_Supporto Listone'!F270)</x:f>
        <x:v>12</x:v>
      </x:c>
      <x:c r="G270" s="464" t="n">
        <x:f>IF($J270&lt;&gt;"",REGEXREPLACE(TO_TEXT('_Supporto Listone'!G270),"(.)","$1"&amp;UNICHAR(822)),'_Supporto Listone'!G270)</x:f>
        <x:v>57</x:v>
      </x:c>
      <x:c r="H270" s="464" t="n">
        <x:f>IF($J270&lt;&gt;"",REGEXREPLACE(TO_TEXT('_Supporto Listone'!H270),"(.)","$1"&amp;UNICHAR(822)),'_Supporto Listone'!H270)</x:f>
        <x:v>29</x:v>
      </x:c>
      <x:c r="I270" s="442"/>
      <x:c r="J270" s="441" t="str">
        <x:f>IF(COUNTIF(Asta!$B$4:$B$47,'_Supporto Listone'!B270)&gt;0,"Simone",IF(COUNTIF(Asta!$D$4:$D$47,'_Supporto Listone'!B270)&gt;0,"Giacomo",IF(COUNTIF(Asta!$F$4:$F$47,'_Supporto Listone'!B270)&gt;0,"Niko",IF(COUNTIF(Asta!$H$4:$H$47,'_Supporto Listone'!B270)&gt;0,"Quici",IF(COUNTIF(Asta!$J$4:$J$47,'_Supporto Listone'!B270)&gt;0,"Fratello Quici",IF(COUNTIF(Asta!$L$4:$L$47,'_Supporto Listone'!B270)&gt;0,"Nicolò",IF(COUNTIF(Asta!$N$4:$N$47,'_Supporto Listone'!B270)&gt;0,"Vi",IF(COUNTIF(Asta!$P$4:$P$47,'_Supporto Listone'!B270)&gt;0,"Lore",IF(COUNTIF(Asta!$R$4:$R$47,'_Supporto Listone'!B270)&gt;0,"Robbo",IF(COUNTIF(Asta!$T$4:$T$47,'_Supporto Listone'!B270)&gt;0,"Ale",""))))))))))</x:f>
      </x:c>
      <x:c r="K270" s="495" t="str">
        <x:f>IF(COUNTIF(Asta!$B$4:$B$47,'_Supporto Listone'!B270)&gt;0,INDEX(Asta!$C$4:$C$47,MATCH('_Supporto Listone'!B270,Asta!$B$4:$B$47,0)),IF(COUNTIF(Asta!$D$4:$D$47,'_Supporto Listone'!B270)&gt;0,INDEX(Asta!$E$4:$E$47,MATCH('_Supporto Listone'!B270,Asta!$D$4:$D$47,0)),IF(COUNTIF(Asta!$F$4:$F$47,'_Supporto Listone'!B270)&gt;0,INDEX(Asta!$G$4:$G$47,MATCH('_Supporto Listone'!B270,Asta!$F$4:$F$47,0)),IF(COUNTIF(Asta!$H$4:$H$47,'_Supporto Listone'!B270)&gt;0,INDEX(Asta!$I$4:$I$47,MATCH('_Supporto Listone'!B270,Asta!$H$4:$H$47,0)),IF(COUNTIF(Asta!$J$4:$J$47,'_Supporto Listone'!B270)&gt;0,INDEX(Asta!$K$4:$K$47,MATCH('_Supporto Listone'!B270,Asta!$J$4:$J$47,0)),IF(COUNTIF(Asta!$L$4:$L$47,'_Supporto Listone'!B270)&gt;0,INDEX(Asta!$M$4:$M$47,MATCH('_Supporto Listone'!B270,Asta!$L$4:$L$47,0)),IF(COUNTIF(Asta!$N$4:$N$47,'_Supporto Listone'!B270)&gt;0,INDEX(Asta!$O$4:$O$47,MATCH('_Supporto Listone'!B270,Asta!$N$4:$N$47,0)),IF(COUNTIF(Asta!$P$4:$P$47,'_Supporto Listone'!B270)&gt;0,INDEX(Asta!$Q$4:$Q$47,MATCH('_Supporto Listone'!B270,Asta!$P$4:$P$47,0)),IF(COUNTIF(Asta!$R$4:$R$47,'_Supporto Listone'!B270)&gt;0,INDEX(Asta!$S$4:$S$47,MATCH('_Supporto Listone'!B270,Asta!$R$4:$R$47,0)),IF(COUNTIF(Asta!$T$4:$T$47,'_Supporto Listone'!B270)&gt;0,INDEX(Asta!$U$4:$U$47,MATCH('_Supporto Listone'!B270,Asta!$T$4:$T$47,0)),""))))))))))</x:f>
      </x:c>
    </x:row>
    <x:row r="271">
      <x:c r="A271" s="440" t="str">
        <x:f>IF($J271&lt;&gt;"",REGEXREPLACE(TO_TEXT('_Supporto Listone'!A271),"(.)","$1"&amp;UNICHAR(822)),'_Supporto Listone'!A271)</x:f>
        <x:v>C</x:v>
      </x:c>
      <x:c r="B271" s="441" t="str">
        <x:f>IF($J271&lt;&gt;"",REGEXREPLACE(TO_TEXT('_Supporto Listone'!B271),"(.)","$1"&amp;UNICHAR(822)),'_Supporto Listone'!B271)</x:f>
        <x:v>Conceicao</x:v>
      </x:c>
      <x:c r="C271" s="441" t="str">
        <x:f>IF($J271&lt;&gt;"",REGEXREPLACE(TO_TEXT('_Supporto Listone'!C271),"(.)","$1"&amp;UNICHAR(822)),'_Supporto Listone'!C271)</x:f>
        <x:v>Juventus</x:v>
      </x:c>
      <x:c r="D271" s="441" t="str">
        <x:f>IF($J271&lt;&gt;"",REGEXREPLACE(TO_TEXT('_Supporto Listone'!D271),"(.)","$1"&amp;UNICHAR(822)),'_Supporto Listone'!D271)</x:f>
        <x:v>W;A</x:v>
      </x:c>
      <x:c r="E271" s="441" t="str">
        <x:f>IF($J271&lt;&gt;"",REGEXREPLACE(TO_TEXT('_Supporto Listone'!E271),"(.)","$1"&amp;UNICHAR(822)),'_Supporto Listone'!E271)</x:f>
        <x:v>Titolare</x:v>
      </x:c>
      <x:c r="F271" s="464" t="n">
        <x:f>IF($J271&lt;&gt;"",REGEXREPLACE(TO_TEXT('_Supporto Listone'!F271),"(.)","$1"&amp;UNICHAR(822)),'_Supporto Listone'!F271)</x:f>
        <x:v>12</x:v>
      </x:c>
      <x:c r="G271" s="464" t="n">
        <x:f>IF($J271&lt;&gt;"",REGEXREPLACE(TO_TEXT('_Supporto Listone'!G271),"(.)","$1"&amp;UNICHAR(822)),'_Supporto Listone'!G271)</x:f>
        <x:v>60</x:v>
      </x:c>
      <x:c r="H271" s="464" t="n">
        <x:f>IF($J271&lt;&gt;"",REGEXREPLACE(TO_TEXT('_Supporto Listone'!H271),"(.)","$1"&amp;UNICHAR(822)),'_Supporto Listone'!H271)</x:f>
        <x:v>30</x:v>
      </x:c>
      <x:c r="I271" s="442"/>
      <x:c r="J271" s="441" t="str">
        <x:f>IF(COUNTIF(Asta!$B$4:$B$47,'_Supporto Listone'!B271)&gt;0,"Simone",IF(COUNTIF(Asta!$D$4:$D$47,'_Supporto Listone'!B271)&gt;0,"Giacomo",IF(COUNTIF(Asta!$F$4:$F$47,'_Supporto Listone'!B271)&gt;0,"Niko",IF(COUNTIF(Asta!$H$4:$H$47,'_Supporto Listone'!B271)&gt;0,"Quici",IF(COUNTIF(Asta!$J$4:$J$47,'_Supporto Listone'!B271)&gt;0,"Fratello Quici",IF(COUNTIF(Asta!$L$4:$L$47,'_Supporto Listone'!B271)&gt;0,"Nicolò",IF(COUNTIF(Asta!$N$4:$N$47,'_Supporto Listone'!B271)&gt;0,"Vi",IF(COUNTIF(Asta!$P$4:$P$47,'_Supporto Listone'!B271)&gt;0,"Lore",IF(COUNTIF(Asta!$R$4:$R$47,'_Supporto Listone'!B271)&gt;0,"Robbo",IF(COUNTIF(Asta!$T$4:$T$47,'_Supporto Listone'!B271)&gt;0,"Ale",""))))))))))</x:f>
      </x:c>
      <x:c r="K271" s="495" t="str">
        <x:f>IF(COUNTIF(Asta!$B$4:$B$47,'_Supporto Listone'!B271)&gt;0,INDEX(Asta!$C$4:$C$47,MATCH('_Supporto Listone'!B271,Asta!$B$4:$B$47,0)),IF(COUNTIF(Asta!$D$4:$D$47,'_Supporto Listone'!B271)&gt;0,INDEX(Asta!$E$4:$E$47,MATCH('_Supporto Listone'!B271,Asta!$D$4:$D$47,0)),IF(COUNTIF(Asta!$F$4:$F$47,'_Supporto Listone'!B271)&gt;0,INDEX(Asta!$G$4:$G$47,MATCH('_Supporto Listone'!B271,Asta!$F$4:$F$47,0)),IF(COUNTIF(Asta!$H$4:$H$47,'_Supporto Listone'!B271)&gt;0,INDEX(Asta!$I$4:$I$47,MATCH('_Supporto Listone'!B271,Asta!$H$4:$H$47,0)),IF(COUNTIF(Asta!$J$4:$J$47,'_Supporto Listone'!B271)&gt;0,INDEX(Asta!$K$4:$K$47,MATCH('_Supporto Listone'!B271,Asta!$J$4:$J$47,0)),IF(COUNTIF(Asta!$L$4:$L$47,'_Supporto Listone'!B271)&gt;0,INDEX(Asta!$M$4:$M$47,MATCH('_Supporto Listone'!B271,Asta!$L$4:$L$47,0)),IF(COUNTIF(Asta!$N$4:$N$47,'_Supporto Listone'!B271)&gt;0,INDEX(Asta!$O$4:$O$47,MATCH('_Supporto Listone'!B271,Asta!$N$4:$N$47,0)),IF(COUNTIF(Asta!$P$4:$P$47,'_Supporto Listone'!B271)&gt;0,INDEX(Asta!$Q$4:$Q$47,MATCH('_Supporto Listone'!B271,Asta!$P$4:$P$47,0)),IF(COUNTIF(Asta!$R$4:$R$47,'_Supporto Listone'!B271)&gt;0,INDEX(Asta!$S$4:$S$47,MATCH('_Supporto Listone'!B271,Asta!$R$4:$R$47,0)),IF(COUNTIF(Asta!$T$4:$T$47,'_Supporto Listone'!B271)&gt;0,INDEX(Asta!$U$4:$U$47,MATCH('_Supporto Listone'!B271,Asta!$T$4:$T$47,0)),""))))))))))</x:f>
      </x:c>
    </x:row>
    <x:row r="272">
      <x:c r="A272" s="440" t="str">
        <x:f>IF($J272&lt;&gt;"",REGEXREPLACE(TO_TEXT('_Supporto Listone'!A272),"(.)","$1"&amp;UNICHAR(822)),'_Supporto Listone'!A272)</x:f>
        <x:v>C</x:v>
      </x:c>
      <x:c r="B272" s="441" t="str">
        <x:f>IF($J272&lt;&gt;"",REGEXREPLACE(TO_TEXT('_Supporto Listone'!B272),"(.)","$1"&amp;UNICHAR(822)),'_Supporto Listone'!B272)</x:f>
        <x:v>Modric</x:v>
      </x:c>
      <x:c r="C272" s="441" t="str">
        <x:f>IF($J272&lt;&gt;"",REGEXREPLACE(TO_TEXT('_Supporto Listone'!C272),"(.)","$1"&amp;UNICHAR(822)),'_Supporto Listone'!C272)</x:f>
        <x:v>Milan</x:v>
      </x:c>
      <x:c r="D272" s="441" t="str">
        <x:f>IF($J272&lt;&gt;"",REGEXREPLACE(TO_TEXT('_Supporto Listone'!D272),"(.)","$1"&amp;UNICHAR(822)),'_Supporto Listone'!D272)</x:f>
        <x:v>M;C</x:v>
      </x:c>
      <x:c r="E272" s="441" t="str">
        <x:f>IF($J272&lt;&gt;"",REGEXREPLACE(TO_TEXT('_Supporto Listone'!E272),"(.)","$1"&amp;UNICHAR(822)),'_Supporto Listone'!E272)</x:f>
        <x:v>Titolare</x:v>
      </x:c>
      <x:c r="F272" s="464" t="n">
        <x:f>IF($J272&lt;&gt;"",REGEXREPLACE(TO_TEXT('_Supporto Listone'!F272),"(.)","$1"&amp;UNICHAR(822)),'_Supporto Listone'!F272)</x:f>
        <x:v>12</x:v>
      </x:c>
      <x:c r="G272" s="464" t="n">
        <x:f>IF($J272&lt;&gt;"",REGEXREPLACE(TO_TEXT('_Supporto Listone'!G272),"(.)","$1"&amp;UNICHAR(822)),'_Supporto Listone'!G272)</x:f>
        <x:v>50</x:v>
      </x:c>
      <x:c r="H272" s="464" t="n">
        <x:f>IF($J272&lt;&gt;"",REGEXREPLACE(TO_TEXT('_Supporto Listone'!H272),"(.)","$1"&amp;UNICHAR(822)),'_Supporto Listone'!H272)</x:f>
        <x:v>25</x:v>
      </x:c>
      <x:c r="I272" s="442" t="str">
        <x:f>IF($J272&lt;&gt;"",REGEXREPLACE(TO_TEXT('_Supporto Listone'!I272),"(.)","$1"&amp;UNICHAR(822)),'_Supporto Listone'!I272)</x:f>
        <x:v>Rigorista · Piazzati</x:v>
      </x:c>
      <x:c r="J272" s="441" t="str">
        <x:f>IF(COUNTIF(Asta!$B$4:$B$47,'_Supporto Listone'!B272)&gt;0,"Simone",IF(COUNTIF(Asta!$D$4:$D$47,'_Supporto Listone'!B272)&gt;0,"Giacomo",IF(COUNTIF(Asta!$F$4:$F$47,'_Supporto Listone'!B272)&gt;0,"Niko",IF(COUNTIF(Asta!$H$4:$H$47,'_Supporto Listone'!B272)&gt;0,"Quici",IF(COUNTIF(Asta!$J$4:$J$47,'_Supporto Listone'!B272)&gt;0,"Fratello Quici",IF(COUNTIF(Asta!$L$4:$L$47,'_Supporto Listone'!B272)&gt;0,"Nicolò",IF(COUNTIF(Asta!$N$4:$N$47,'_Supporto Listone'!B272)&gt;0,"Vi",IF(COUNTIF(Asta!$P$4:$P$47,'_Supporto Listone'!B272)&gt;0,"Lore",IF(COUNTIF(Asta!$R$4:$R$47,'_Supporto Listone'!B272)&gt;0,"Robbo",IF(COUNTIF(Asta!$T$4:$T$47,'_Supporto Listone'!B272)&gt;0,"Ale",""))))))))))</x:f>
      </x:c>
      <x:c r="K272" s="495" t="str">
        <x:f>IF(COUNTIF(Asta!$B$4:$B$47,'_Supporto Listone'!B272)&gt;0,INDEX(Asta!$C$4:$C$47,MATCH('_Supporto Listone'!B272,Asta!$B$4:$B$47,0)),IF(COUNTIF(Asta!$D$4:$D$47,'_Supporto Listone'!B272)&gt;0,INDEX(Asta!$E$4:$E$47,MATCH('_Supporto Listone'!B272,Asta!$D$4:$D$47,0)),IF(COUNTIF(Asta!$F$4:$F$47,'_Supporto Listone'!B272)&gt;0,INDEX(Asta!$G$4:$G$47,MATCH('_Supporto Listone'!B272,Asta!$F$4:$F$47,0)),IF(COUNTIF(Asta!$H$4:$H$47,'_Supporto Listone'!B272)&gt;0,INDEX(Asta!$I$4:$I$47,MATCH('_Supporto Listone'!B272,Asta!$H$4:$H$47,0)),IF(COUNTIF(Asta!$J$4:$J$47,'_Supporto Listone'!B272)&gt;0,INDEX(Asta!$K$4:$K$47,MATCH('_Supporto Listone'!B272,Asta!$J$4:$J$47,0)),IF(COUNTIF(Asta!$L$4:$L$47,'_Supporto Listone'!B272)&gt;0,INDEX(Asta!$M$4:$M$47,MATCH('_Supporto Listone'!B272,Asta!$L$4:$L$47,0)),IF(COUNTIF(Asta!$N$4:$N$47,'_Supporto Listone'!B272)&gt;0,INDEX(Asta!$O$4:$O$47,MATCH('_Supporto Listone'!B272,Asta!$N$4:$N$47,0)),IF(COUNTIF(Asta!$P$4:$P$47,'_Supporto Listone'!B272)&gt;0,INDEX(Asta!$Q$4:$Q$47,MATCH('_Supporto Listone'!B272,Asta!$P$4:$P$47,0)),IF(COUNTIF(Asta!$R$4:$R$47,'_Supporto Listone'!B272)&gt;0,INDEX(Asta!$S$4:$S$47,MATCH('_Supporto Listone'!B272,Asta!$R$4:$R$47,0)),IF(COUNTIF(Asta!$T$4:$T$47,'_Supporto Listone'!B272)&gt;0,INDEX(Asta!$U$4:$U$47,MATCH('_Supporto Listone'!B272,Asta!$T$4:$T$47,0)),""))))))))))</x:f>
      </x:c>
    </x:row>
    <x:row r="273">
      <x:c r="A273" s="440" t="str">
        <x:f>IF($J273&lt;&gt;"",REGEXREPLACE(TO_TEXT('_Supporto Listone'!A273),"(.)","$1"&amp;UNICHAR(822)),'_Supporto Listone'!A273)</x:f>
        <x:v>C</x:v>
      </x:c>
      <x:c r="B273" s="441" t="str">
        <x:f>IF($J273&lt;&gt;"",REGEXREPLACE(TO_TEXT('_Supporto Listone'!B273),"(.)","$1"&amp;UNICHAR(822)),'_Supporto Listone'!B273)</x:f>
        <x:v>Rowe</x:v>
      </x:c>
      <x:c r="C273" s="441" t="str">
        <x:f>IF($J273&lt;&gt;"",REGEXREPLACE(TO_TEXT('_Supporto Listone'!C273),"(.)","$1"&amp;UNICHAR(822)),'_Supporto Listone'!C273)</x:f>
        <x:v>Bologna</x:v>
      </x:c>
      <x:c r="D273" s="441" t="str">
        <x:f>IF($J273&lt;&gt;"",REGEXREPLACE(TO_TEXT('_Supporto Listone'!D273),"(.)","$1"&amp;UNICHAR(822)),'_Supporto Listone'!D273)</x:f>
        <x:v>W;T</x:v>
      </x:c>
      <x:c r="E273" s="441" t="str">
        <x:f>IF($J273&lt;&gt;"",REGEXREPLACE(TO_TEXT('_Supporto Listone'!E273),"(.)","$1"&amp;UNICHAR(822)),'_Supporto Listone'!E273)</x:f>
        <x:v>Riserva / rotazione</x:v>
      </x:c>
      <x:c r="F273" s="464" t="n">
        <x:f>IF($J273&lt;&gt;"",REGEXREPLACE(TO_TEXT('_Supporto Listone'!F273),"(.)","$1"&amp;UNICHAR(822)),'_Supporto Listone'!F273)</x:f>
        <x:v>11</x:v>
      </x:c>
      <x:c r="G273" s="464" t="n">
        <x:f>IF($J273&lt;&gt;"",REGEXREPLACE(TO_TEXT('_Supporto Listone'!G273),"(.)","$1"&amp;UNICHAR(822)),'_Supporto Listone'!G273)</x:f>
        <x:v>37</x:v>
      </x:c>
      <x:c r="H273" s="464" t="n">
        <x:f>IF($J273&lt;&gt;"",REGEXREPLACE(TO_TEXT('_Supporto Listone'!H273),"(.)","$1"&amp;UNICHAR(822)),'_Supporto Listone'!H273)</x:f>
        <x:v>19</x:v>
      </x:c>
      <x:c r="I273" s="442"/>
      <x:c r="J273" s="441" t="str">
        <x:f>IF(COUNTIF(Asta!$B$4:$B$47,'_Supporto Listone'!B273)&gt;0,"Simone",IF(COUNTIF(Asta!$D$4:$D$47,'_Supporto Listone'!B273)&gt;0,"Giacomo",IF(COUNTIF(Asta!$F$4:$F$47,'_Supporto Listone'!B273)&gt;0,"Niko",IF(COUNTIF(Asta!$H$4:$H$47,'_Supporto Listone'!B273)&gt;0,"Quici",IF(COUNTIF(Asta!$J$4:$J$47,'_Supporto Listone'!B273)&gt;0,"Fratello Quici",IF(COUNTIF(Asta!$L$4:$L$47,'_Supporto Listone'!B273)&gt;0,"Nicolò",IF(COUNTIF(Asta!$N$4:$N$47,'_Supporto Listone'!B273)&gt;0,"Vi",IF(COUNTIF(Asta!$P$4:$P$47,'_Supporto Listone'!B273)&gt;0,"Lore",IF(COUNTIF(Asta!$R$4:$R$47,'_Supporto Listone'!B273)&gt;0,"Robbo",IF(COUNTIF(Asta!$T$4:$T$47,'_Supporto Listone'!B273)&gt;0,"Ale",""))))))))))</x:f>
      </x:c>
      <x:c r="K273" s="495" t="str">
        <x:f>IF(COUNTIF(Asta!$B$4:$B$47,'_Supporto Listone'!B273)&gt;0,INDEX(Asta!$C$4:$C$47,MATCH('_Supporto Listone'!B273,Asta!$B$4:$B$47,0)),IF(COUNTIF(Asta!$D$4:$D$47,'_Supporto Listone'!B273)&gt;0,INDEX(Asta!$E$4:$E$47,MATCH('_Supporto Listone'!B273,Asta!$D$4:$D$47,0)),IF(COUNTIF(Asta!$F$4:$F$47,'_Supporto Listone'!B273)&gt;0,INDEX(Asta!$G$4:$G$47,MATCH('_Supporto Listone'!B273,Asta!$F$4:$F$47,0)),IF(COUNTIF(Asta!$H$4:$H$47,'_Supporto Listone'!B273)&gt;0,INDEX(Asta!$I$4:$I$47,MATCH('_Supporto Listone'!B273,Asta!$H$4:$H$47,0)),IF(COUNTIF(Asta!$J$4:$J$47,'_Supporto Listone'!B273)&gt;0,INDEX(Asta!$K$4:$K$47,MATCH('_Supporto Listone'!B273,Asta!$J$4:$J$47,0)),IF(COUNTIF(Asta!$L$4:$L$47,'_Supporto Listone'!B273)&gt;0,INDEX(Asta!$M$4:$M$47,MATCH('_Supporto Listone'!B273,Asta!$L$4:$L$47,0)),IF(COUNTIF(Asta!$N$4:$N$47,'_Supporto Listone'!B273)&gt;0,INDEX(Asta!$O$4:$O$47,MATCH('_Supporto Listone'!B273,Asta!$N$4:$N$47,0)),IF(COUNTIF(Asta!$P$4:$P$47,'_Supporto Listone'!B273)&gt;0,INDEX(Asta!$Q$4:$Q$47,MATCH('_Supporto Listone'!B273,Asta!$P$4:$P$47,0)),IF(COUNTIF(Asta!$R$4:$R$47,'_Supporto Listone'!B273)&gt;0,INDEX(Asta!$S$4:$S$47,MATCH('_Supporto Listone'!B273,Asta!$R$4:$R$47,0)),IF(COUNTIF(Asta!$T$4:$T$47,'_Supporto Listone'!B273)&gt;0,INDEX(Asta!$U$4:$U$47,MATCH('_Supporto Listone'!B273,Asta!$T$4:$T$47,0)),""))))))))))</x:f>
      </x:c>
    </x:row>
    <x:row r="274">
      <x:c r="A274" s="440" t="str">
        <x:f>IF($J274&lt;&gt;"",REGEXREPLACE(TO_TEXT('_Supporto Listone'!A274),"(.)","$1"&amp;UNICHAR(822)),'_Supporto Listone'!A274)</x:f>
        <x:v>C</x:v>
      </x:c>
      <x:c r="B274" s="441" t="str">
        <x:f>IF($J274&lt;&gt;"",REGEXREPLACE(TO_TEXT('_Supporto Listone'!B274),"(.)","$1"&amp;UNICHAR(822)),'_Supporto Listone'!B274)</x:f>
        <x:v>Baldanzi</x:v>
      </x:c>
      <x:c r="C274" s="441" t="str">
        <x:f>IF($J274&lt;&gt;"",REGEXREPLACE(TO_TEXT('_Supporto Listone'!C274),"(.)","$1"&amp;UNICHAR(822)),'_Supporto Listone'!C274)</x:f>
        <x:v>Genoa</x:v>
      </x:c>
      <x:c r="D274" s="441" t="str">
        <x:f>IF($J274&lt;&gt;"",REGEXREPLACE(TO_TEXT('_Supporto Listone'!D274),"(.)","$1"&amp;UNICHAR(822)),'_Supporto Listone'!D274)</x:f>
        <x:v>T</x:v>
      </x:c>
      <x:c r="E274" s="441" t="str">
        <x:f>IF($J274&lt;&gt;"",REGEXREPLACE(TO_TEXT('_Supporto Listone'!E274),"(.)","$1"&amp;UNICHAR(822)),'_Supporto Listone'!E274)</x:f>
        <x:v>Titolare</x:v>
      </x:c>
      <x:c r="F274" s="464" t="n">
        <x:f>IF($J274&lt;&gt;"",REGEXREPLACE(TO_TEXT('_Supporto Listone'!F274),"(.)","$1"&amp;UNICHAR(822)),'_Supporto Listone'!F274)</x:f>
        <x:v>11</x:v>
      </x:c>
      <x:c r="G274" s="464" t="n">
        <x:f>IF($J274&lt;&gt;"",REGEXREPLACE(TO_TEXT('_Supporto Listone'!G274),"(.)","$1"&amp;UNICHAR(822)),'_Supporto Listone'!G274)</x:f>
        <x:v>30</x:v>
      </x:c>
      <x:c r="H274" s="464" t="n">
        <x:f>IF($J274&lt;&gt;"",REGEXREPLACE(TO_TEXT('_Supporto Listone'!H274),"(.)","$1"&amp;UNICHAR(822)),'_Supporto Listone'!H274)</x:f>
        <x:v>15</x:v>
      </x:c>
      <x:c r="I274" s="442" t="str">
        <x:f>IF($J274&lt;&gt;"",REGEXREPLACE(TO_TEXT('_Supporto Listone'!I274),"(.)","$1"&amp;UNICHAR(822)),'_Supporto Listone'!I274)</x:f>
        <x:v>Piazzati</x:v>
      </x:c>
      <x:c r="J274" s="441" t="str">
        <x:f>IF(COUNTIF(Asta!$B$4:$B$47,'_Supporto Listone'!B274)&gt;0,"Simone",IF(COUNTIF(Asta!$D$4:$D$47,'_Supporto Listone'!B274)&gt;0,"Giacomo",IF(COUNTIF(Asta!$F$4:$F$47,'_Supporto Listone'!B274)&gt;0,"Niko",IF(COUNTIF(Asta!$H$4:$H$47,'_Supporto Listone'!B274)&gt;0,"Quici",IF(COUNTIF(Asta!$J$4:$J$47,'_Supporto Listone'!B274)&gt;0,"Fratello Quici",IF(COUNTIF(Asta!$L$4:$L$47,'_Supporto Listone'!B274)&gt;0,"Nicolò",IF(COUNTIF(Asta!$N$4:$N$47,'_Supporto Listone'!B274)&gt;0,"Vi",IF(COUNTIF(Asta!$P$4:$P$47,'_Supporto Listone'!B274)&gt;0,"Lore",IF(COUNTIF(Asta!$R$4:$R$47,'_Supporto Listone'!B274)&gt;0,"Robbo",IF(COUNTIF(Asta!$T$4:$T$47,'_Supporto Listone'!B274)&gt;0,"Ale",""))))))))))</x:f>
      </x:c>
      <x:c r="K274" s="495" t="str">
        <x:f>IF(COUNTIF(Asta!$B$4:$B$47,'_Supporto Listone'!B274)&gt;0,INDEX(Asta!$C$4:$C$47,MATCH('_Supporto Listone'!B274,Asta!$B$4:$B$47,0)),IF(COUNTIF(Asta!$D$4:$D$47,'_Supporto Listone'!B274)&gt;0,INDEX(Asta!$E$4:$E$47,MATCH('_Supporto Listone'!B274,Asta!$D$4:$D$47,0)),IF(COUNTIF(Asta!$F$4:$F$47,'_Supporto Listone'!B274)&gt;0,INDEX(Asta!$G$4:$G$47,MATCH('_Supporto Listone'!B274,Asta!$F$4:$F$47,0)),IF(COUNTIF(Asta!$H$4:$H$47,'_Supporto Listone'!B274)&gt;0,INDEX(Asta!$I$4:$I$47,MATCH('_Supporto Listone'!B274,Asta!$H$4:$H$47,0)),IF(COUNTIF(Asta!$J$4:$J$47,'_Supporto Listone'!B274)&gt;0,INDEX(Asta!$K$4:$K$47,MATCH('_Supporto Listone'!B274,Asta!$J$4:$J$47,0)),IF(COUNTIF(Asta!$L$4:$L$47,'_Supporto Listone'!B274)&gt;0,INDEX(Asta!$M$4:$M$47,MATCH('_Supporto Listone'!B274,Asta!$L$4:$L$47,0)),IF(COUNTIF(Asta!$N$4:$N$47,'_Supporto Listone'!B274)&gt;0,INDEX(Asta!$O$4:$O$47,MATCH('_Supporto Listone'!B274,Asta!$N$4:$N$47,0)),IF(COUNTIF(Asta!$P$4:$P$47,'_Supporto Listone'!B274)&gt;0,INDEX(Asta!$Q$4:$Q$47,MATCH('_Supporto Listone'!B274,Asta!$P$4:$P$47,0)),IF(COUNTIF(Asta!$R$4:$R$47,'_Supporto Listone'!B274)&gt;0,INDEX(Asta!$S$4:$S$47,MATCH('_Supporto Listone'!B274,Asta!$R$4:$R$47,0)),IF(COUNTIF(Asta!$T$4:$T$47,'_Supporto Listone'!B274)&gt;0,INDEX(Asta!$U$4:$U$47,MATCH('_Supporto Listone'!B274,Asta!$T$4:$T$47,0)),""))))))))))</x:f>
      </x:c>
    </x:row>
    <x:row r="275">
      <x:c r="A275" s="440" t="str">
        <x:f>IF($J275&lt;&gt;"",REGEXREPLACE(TO_TEXT('_Supporto Listone'!A275),"(.)","$1"&amp;UNICHAR(822)),'_Supporto Listone'!A275)</x:f>
        <x:v>C</x:v>
      </x:c>
      <x:c r="B275" s="441" t="str">
        <x:f>IF($J275&lt;&gt;"",REGEXREPLACE(TO_TEXT('_Supporto Listone'!B275),"(.)","$1"&amp;UNICHAR(822)),'_Supporto Listone'!B275)</x:f>
        <x:v>Zambo Anguissa</x:v>
      </x:c>
      <x:c r="C275" s="441" t="str">
        <x:f>IF($J275&lt;&gt;"",REGEXREPLACE(TO_TEXT('_Supporto Listone'!C275),"(.)","$1"&amp;UNICHAR(822)),'_Supporto Listone'!C275)</x:f>
        <x:v>Napoli</x:v>
      </x:c>
      <x:c r="D275" s="441" t="str">
        <x:f>IF($J275&lt;&gt;"",REGEXREPLACE(TO_TEXT('_Supporto Listone'!D275),"(.)","$1"&amp;UNICHAR(822)),'_Supporto Listone'!D275)</x:f>
        <x:v>C</x:v>
      </x:c>
      <x:c r="E275" s="441" t="str">
        <x:f>IF($J275&lt;&gt;"",REGEXREPLACE(TO_TEXT('_Supporto Listone'!E275),"(.)","$1"&amp;UNICHAR(822)),'_Supporto Listone'!E275)</x:f>
        <x:v>Ballottaggio</x:v>
      </x:c>
      <x:c r="F275" s="464" t="n">
        <x:f>IF($J275&lt;&gt;"",REGEXREPLACE(TO_TEXT('_Supporto Listone'!F275),"(.)","$1"&amp;UNICHAR(822)),'_Supporto Listone'!F275)</x:f>
        <x:v>11</x:v>
      </x:c>
      <x:c r="G275" s="464" t="n">
        <x:f>IF($J275&lt;&gt;"",REGEXREPLACE(TO_TEXT('_Supporto Listone'!G275),"(.)","$1"&amp;UNICHAR(822)),'_Supporto Listone'!G275)</x:f>
        <x:v>55</x:v>
      </x:c>
      <x:c r="H275" s="464" t="n">
        <x:f>IF($J275&lt;&gt;"",REGEXREPLACE(TO_TEXT('_Supporto Listone'!H275),"(.)","$1"&amp;UNICHAR(822)),'_Supporto Listone'!H275)</x:f>
        <x:v>28</x:v>
      </x:c>
      <x:c r="I275" s="442"/>
      <x:c r="J275" s="441" t="str">
        <x:f>IF(COUNTIF(Asta!$B$4:$B$47,'_Supporto Listone'!B275)&gt;0,"Simone",IF(COUNTIF(Asta!$D$4:$D$47,'_Supporto Listone'!B275)&gt;0,"Giacomo",IF(COUNTIF(Asta!$F$4:$F$47,'_Supporto Listone'!B275)&gt;0,"Niko",IF(COUNTIF(Asta!$H$4:$H$47,'_Supporto Listone'!B275)&gt;0,"Quici",IF(COUNTIF(Asta!$J$4:$J$47,'_Supporto Listone'!B275)&gt;0,"Fratello Quici",IF(COUNTIF(Asta!$L$4:$L$47,'_Supporto Listone'!B275)&gt;0,"Nicolò",IF(COUNTIF(Asta!$N$4:$N$47,'_Supporto Listone'!B275)&gt;0,"Vi",IF(COUNTIF(Asta!$P$4:$P$47,'_Supporto Listone'!B275)&gt;0,"Lore",IF(COUNTIF(Asta!$R$4:$R$47,'_Supporto Listone'!B275)&gt;0,"Robbo",IF(COUNTIF(Asta!$T$4:$T$47,'_Supporto Listone'!B275)&gt;0,"Ale",""))))))))))</x:f>
      </x:c>
      <x:c r="K275" s="495" t="str">
        <x:f>IF(COUNTIF(Asta!$B$4:$B$47,'_Supporto Listone'!B275)&gt;0,INDEX(Asta!$C$4:$C$47,MATCH('_Supporto Listone'!B275,Asta!$B$4:$B$47,0)),IF(COUNTIF(Asta!$D$4:$D$47,'_Supporto Listone'!B275)&gt;0,INDEX(Asta!$E$4:$E$47,MATCH('_Supporto Listone'!B275,Asta!$D$4:$D$47,0)),IF(COUNTIF(Asta!$F$4:$F$47,'_Supporto Listone'!B275)&gt;0,INDEX(Asta!$G$4:$G$47,MATCH('_Supporto Listone'!B275,Asta!$F$4:$F$47,0)),IF(COUNTIF(Asta!$H$4:$H$47,'_Supporto Listone'!B275)&gt;0,INDEX(Asta!$I$4:$I$47,MATCH('_Supporto Listone'!B275,Asta!$H$4:$H$47,0)),IF(COUNTIF(Asta!$J$4:$J$47,'_Supporto Listone'!B275)&gt;0,INDEX(Asta!$K$4:$K$47,MATCH('_Supporto Listone'!B275,Asta!$J$4:$J$47,0)),IF(COUNTIF(Asta!$L$4:$L$47,'_Supporto Listone'!B275)&gt;0,INDEX(Asta!$M$4:$M$47,MATCH('_Supporto Listone'!B275,Asta!$L$4:$L$47,0)),IF(COUNTIF(Asta!$N$4:$N$47,'_Supporto Listone'!B275)&gt;0,INDEX(Asta!$O$4:$O$47,MATCH('_Supporto Listone'!B275,Asta!$N$4:$N$47,0)),IF(COUNTIF(Asta!$P$4:$P$47,'_Supporto Listone'!B275)&gt;0,INDEX(Asta!$Q$4:$Q$47,MATCH('_Supporto Listone'!B275,Asta!$P$4:$P$47,0)),IF(COUNTIF(Asta!$R$4:$R$47,'_Supporto Listone'!B275)&gt;0,INDEX(Asta!$S$4:$S$47,MATCH('_Supporto Listone'!B275,Asta!$R$4:$R$47,0)),IF(COUNTIF(Asta!$T$4:$T$47,'_Supporto Listone'!B275)&gt;0,INDEX(Asta!$U$4:$U$47,MATCH('_Supporto Listone'!B275,Asta!$T$4:$T$47,0)),""))))))))))</x:f>
      </x:c>
    </x:row>
    <x:row r="276">
      <x:c r="A276" s="440" t="str">
        <x:f>IF($J276&lt;&gt;"",REGEXREPLACE(TO_TEXT('_Supporto Listone'!A276),"(.)","$1"&amp;UNICHAR(822)),'_Supporto Listone'!A276)</x:f>
        <x:v>C</x:v>
      </x:c>
      <x:c r="B276" s="441" t="str">
        <x:f>IF($J276&lt;&gt;"",REGEXREPLACE(TO_TEXT('_Supporto Listone'!B276),"(.)","$1"&amp;UNICHAR(822)),'_Supporto Listone'!B276)</x:f>
        <x:v>Perrone</x:v>
      </x:c>
      <x:c r="C276" s="441" t="str">
        <x:f>IF($J276&lt;&gt;"",REGEXREPLACE(TO_TEXT('_Supporto Listone'!C276),"(.)","$1"&amp;UNICHAR(822)),'_Supporto Listone'!C276)</x:f>
        <x:v>Como</x:v>
      </x:c>
      <x:c r="D276" s="441" t="str">
        <x:f>IF($J276&lt;&gt;"",REGEXREPLACE(TO_TEXT('_Supporto Listone'!D276),"(.)","$1"&amp;UNICHAR(822)),'_Supporto Listone'!D276)</x:f>
        <x:v>M;C</x:v>
      </x:c>
      <x:c r="E276" s="441" t="str">
        <x:f>IF($J276&lt;&gt;"",REGEXREPLACE(TO_TEXT('_Supporto Listone'!E276),"(.)","$1"&amp;UNICHAR(822)),'_Supporto Listone'!E276)</x:f>
        <x:v>Titolare</x:v>
      </x:c>
      <x:c r="F276" s="464" t="n">
        <x:f>IF($J276&lt;&gt;"",REGEXREPLACE(TO_TEXT('_Supporto Listone'!F276),"(.)","$1"&amp;UNICHAR(822)),'_Supporto Listone'!F276)</x:f>
        <x:v>10</x:v>
      </x:c>
      <x:c r="G276" s="464" t="n">
        <x:f>IF($J276&lt;&gt;"",REGEXREPLACE(TO_TEXT('_Supporto Listone'!G276),"(.)","$1"&amp;UNICHAR(822)),'_Supporto Listone'!G276)</x:f>
        <x:v>38</x:v>
      </x:c>
      <x:c r="H276" s="464" t="n">
        <x:f>IF($J276&lt;&gt;"",REGEXREPLACE(TO_TEXT('_Supporto Listone'!H276),"(.)","$1"&amp;UNICHAR(822)),'_Supporto Listone'!H276)</x:f>
        <x:v>19</x:v>
      </x:c>
      <x:c r="I276" s="442"/>
      <x:c r="J276" s="441" t="str">
        <x:f>IF(COUNTIF(Asta!$B$4:$B$47,'_Supporto Listone'!B276)&gt;0,"Simone",IF(COUNTIF(Asta!$D$4:$D$47,'_Supporto Listone'!B276)&gt;0,"Giacomo",IF(COUNTIF(Asta!$F$4:$F$47,'_Supporto Listone'!B276)&gt;0,"Niko",IF(COUNTIF(Asta!$H$4:$H$47,'_Supporto Listone'!B276)&gt;0,"Quici",IF(COUNTIF(Asta!$J$4:$J$47,'_Supporto Listone'!B276)&gt;0,"Fratello Quici",IF(COUNTIF(Asta!$L$4:$L$47,'_Supporto Listone'!B276)&gt;0,"Nicolò",IF(COUNTIF(Asta!$N$4:$N$47,'_Supporto Listone'!B276)&gt;0,"Vi",IF(COUNTIF(Asta!$P$4:$P$47,'_Supporto Listone'!B276)&gt;0,"Lore",IF(COUNTIF(Asta!$R$4:$R$47,'_Supporto Listone'!B276)&gt;0,"Robbo",IF(COUNTIF(Asta!$T$4:$T$47,'_Supporto Listone'!B276)&gt;0,"Ale",""))))))))))</x:f>
      </x:c>
      <x:c r="K276" s="495" t="str">
        <x:f>IF(COUNTIF(Asta!$B$4:$B$47,'_Supporto Listone'!B276)&gt;0,INDEX(Asta!$C$4:$C$47,MATCH('_Supporto Listone'!B276,Asta!$B$4:$B$47,0)),IF(COUNTIF(Asta!$D$4:$D$47,'_Supporto Listone'!B276)&gt;0,INDEX(Asta!$E$4:$E$47,MATCH('_Supporto Listone'!B276,Asta!$D$4:$D$47,0)),IF(COUNTIF(Asta!$F$4:$F$47,'_Supporto Listone'!B276)&gt;0,INDEX(Asta!$G$4:$G$47,MATCH('_Supporto Listone'!B276,Asta!$F$4:$F$47,0)),IF(COUNTIF(Asta!$H$4:$H$47,'_Supporto Listone'!B276)&gt;0,INDEX(Asta!$I$4:$I$47,MATCH('_Supporto Listone'!B276,Asta!$H$4:$H$47,0)),IF(COUNTIF(Asta!$J$4:$J$47,'_Supporto Listone'!B276)&gt;0,INDEX(Asta!$K$4:$K$47,MATCH('_Supporto Listone'!B276,Asta!$J$4:$J$47,0)),IF(COUNTIF(Asta!$L$4:$L$47,'_Supporto Listone'!B276)&gt;0,INDEX(Asta!$M$4:$M$47,MATCH('_Supporto Listone'!B276,Asta!$L$4:$L$47,0)),IF(COUNTIF(Asta!$N$4:$N$47,'_Supporto Listone'!B276)&gt;0,INDEX(Asta!$O$4:$O$47,MATCH('_Supporto Listone'!B276,Asta!$N$4:$N$47,0)),IF(COUNTIF(Asta!$P$4:$P$47,'_Supporto Listone'!B276)&gt;0,INDEX(Asta!$Q$4:$Q$47,MATCH('_Supporto Listone'!B276,Asta!$P$4:$P$47,0)),IF(COUNTIF(Asta!$R$4:$R$47,'_Supporto Listone'!B276)&gt;0,INDEX(Asta!$S$4:$S$47,MATCH('_Supporto Listone'!B276,Asta!$R$4:$R$47,0)),IF(COUNTIF(Asta!$T$4:$T$47,'_Supporto Listone'!B276)&gt;0,INDEX(Asta!$U$4:$U$47,MATCH('_Supporto Listone'!B276,Asta!$T$4:$T$47,0)),""))))))))))</x:f>
      </x:c>
    </x:row>
    <x:row r="277">
      <x:c r="A277" s="440" t="str">
        <x:f>IF($J277&lt;&gt;"",REGEXREPLACE(TO_TEXT('_Supporto Listone'!A277),"(.)","$1"&amp;UNICHAR(822)),'_Supporto Listone'!A277)</x:f>
        <x:v>C</x:v>
      </x:c>
      <x:c r="B277" s="441" t="str">
        <x:f>IF($J277&lt;&gt;"",REGEXREPLACE(TO_TEXT('_Supporto Listone'!B277),"(.)","$1"&amp;UNICHAR(822)),'_Supporto Listone'!B277)</x:f>
        <x:v>Zielinski</x:v>
      </x:c>
      <x:c r="C277" s="441" t="str">
        <x:f>IF($J277&lt;&gt;"",REGEXREPLACE(TO_TEXT('_Supporto Listone'!C277),"(.)","$1"&amp;UNICHAR(822)),'_Supporto Listone'!C277)</x:f>
        <x:v>Inter</x:v>
      </x:c>
      <x:c r="D277" s="441" t="str">
        <x:f>IF($J277&lt;&gt;"",REGEXREPLACE(TO_TEXT('_Supporto Listone'!D277),"(.)","$1"&amp;UNICHAR(822)),'_Supporto Listone'!D277)</x:f>
        <x:v>C</x:v>
      </x:c>
      <x:c r="E277" s="441" t="str">
        <x:f>IF($J277&lt;&gt;"",REGEXREPLACE(TO_TEXT('_Supporto Listone'!E277),"(.)","$1"&amp;UNICHAR(822)),'_Supporto Listone'!E277)</x:f>
        <x:v>Ballottaggio</x:v>
      </x:c>
      <x:c r="F277" s="464" t="n">
        <x:f>IF($J277&lt;&gt;"",REGEXREPLACE(TO_TEXT('_Supporto Listone'!F277),"(.)","$1"&amp;UNICHAR(822)),'_Supporto Listone'!F277)</x:f>
        <x:v>10</x:v>
      </x:c>
      <x:c r="G277" s="464" t="n">
        <x:f>IF($J277&lt;&gt;"",REGEXREPLACE(TO_TEXT('_Supporto Listone'!G277),"(.)","$1"&amp;UNICHAR(822)),'_Supporto Listone'!G277)</x:f>
        <x:v>41</x:v>
      </x:c>
      <x:c r="H277" s="464" t="n">
        <x:f>IF($J277&lt;&gt;"",REGEXREPLACE(TO_TEXT('_Supporto Listone'!H277),"(.)","$1"&amp;UNICHAR(822)),'_Supporto Listone'!H277)</x:f>
        <x:v>21</x:v>
      </x:c>
      <x:c r="I277" s="442" t="str">
        <x:f>IF($J277&lt;&gt;"",REGEXREPLACE(TO_TEXT('_Supporto Listone'!I277),"(.)","$1"&amp;UNICHAR(822)),'_Supporto Listone'!I277)</x:f>
        <x:v>Rigorista · Piazzati</x:v>
      </x:c>
      <x:c r="J277" s="441" t="str">
        <x:f>IF(COUNTIF(Asta!$B$4:$B$47,'_Supporto Listone'!B277)&gt;0,"Simone",IF(COUNTIF(Asta!$D$4:$D$47,'_Supporto Listone'!B277)&gt;0,"Giacomo",IF(COUNTIF(Asta!$F$4:$F$47,'_Supporto Listone'!B277)&gt;0,"Niko",IF(COUNTIF(Asta!$H$4:$H$47,'_Supporto Listone'!B277)&gt;0,"Quici",IF(COUNTIF(Asta!$J$4:$J$47,'_Supporto Listone'!B277)&gt;0,"Fratello Quici",IF(COUNTIF(Asta!$L$4:$L$47,'_Supporto Listone'!B277)&gt;0,"Nicolò",IF(COUNTIF(Asta!$N$4:$N$47,'_Supporto Listone'!B277)&gt;0,"Vi",IF(COUNTIF(Asta!$P$4:$P$47,'_Supporto Listone'!B277)&gt;0,"Lore",IF(COUNTIF(Asta!$R$4:$R$47,'_Supporto Listone'!B277)&gt;0,"Robbo",IF(COUNTIF(Asta!$T$4:$T$47,'_Supporto Listone'!B277)&gt;0,"Ale",""))))))))))</x:f>
      </x:c>
      <x:c r="K277" s="495" t="str">
        <x:f>IF(COUNTIF(Asta!$B$4:$B$47,'_Supporto Listone'!B277)&gt;0,INDEX(Asta!$C$4:$C$47,MATCH('_Supporto Listone'!B277,Asta!$B$4:$B$47,0)),IF(COUNTIF(Asta!$D$4:$D$47,'_Supporto Listone'!B277)&gt;0,INDEX(Asta!$E$4:$E$47,MATCH('_Supporto Listone'!B277,Asta!$D$4:$D$47,0)),IF(COUNTIF(Asta!$F$4:$F$47,'_Supporto Listone'!B277)&gt;0,INDEX(Asta!$G$4:$G$47,MATCH('_Supporto Listone'!B277,Asta!$F$4:$F$47,0)),IF(COUNTIF(Asta!$H$4:$H$47,'_Supporto Listone'!B277)&gt;0,INDEX(Asta!$I$4:$I$47,MATCH('_Supporto Listone'!B277,Asta!$H$4:$H$47,0)),IF(COUNTIF(Asta!$J$4:$J$47,'_Supporto Listone'!B277)&gt;0,INDEX(Asta!$K$4:$K$47,MATCH('_Supporto Listone'!B277,Asta!$J$4:$J$47,0)),IF(COUNTIF(Asta!$L$4:$L$47,'_Supporto Listone'!B277)&gt;0,INDEX(Asta!$M$4:$M$47,MATCH('_Supporto Listone'!B277,Asta!$L$4:$L$47,0)),IF(COUNTIF(Asta!$N$4:$N$47,'_Supporto Listone'!B277)&gt;0,INDEX(Asta!$O$4:$O$47,MATCH('_Supporto Listone'!B277,Asta!$N$4:$N$47,0)),IF(COUNTIF(Asta!$P$4:$P$47,'_Supporto Listone'!B277)&gt;0,INDEX(Asta!$Q$4:$Q$47,MATCH('_Supporto Listone'!B277,Asta!$P$4:$P$47,0)),IF(COUNTIF(Asta!$R$4:$R$47,'_Supporto Listone'!B277)&gt;0,INDEX(Asta!$S$4:$S$47,MATCH('_Supporto Listone'!B277,Asta!$R$4:$R$47,0)),IF(COUNTIF(Asta!$T$4:$T$47,'_Supporto Listone'!B277)&gt;0,INDEX(Asta!$U$4:$U$47,MATCH('_Supporto Listone'!B277,Asta!$T$4:$T$47,0)),""))))))))))</x:f>
      </x:c>
    </x:row>
    <x:row r="278">
      <x:c r="A278" s="440" t="str">
        <x:f>IF($J278&lt;&gt;"",REGEXREPLACE(TO_TEXT('_Supporto Listone'!A278),"(.)","$1"&amp;UNICHAR(822)),'_Supporto Listone'!A278)</x:f>
        <x:v>C</x:v>
      </x:c>
      <x:c r="B278" s="441" t="str">
        <x:f>IF($J278&lt;&gt;"",REGEXREPLACE(TO_TEXT('_Supporto Listone'!B278),"(.)","$1"&amp;UNICHAR(822)),'_Supporto Listone'!B278)</x:f>
        <x:v>Thuram K.</x:v>
      </x:c>
      <x:c r="C278" s="441" t="str">
        <x:f>IF($J278&lt;&gt;"",REGEXREPLACE(TO_TEXT('_Supporto Listone'!C278),"(.)","$1"&amp;UNICHAR(822)),'_Supporto Listone'!C278)</x:f>
        <x:v>Juventus</x:v>
      </x:c>
      <x:c r="D278" s="441" t="str">
        <x:f>IF($J278&lt;&gt;"",REGEXREPLACE(TO_TEXT('_Supporto Listone'!D278),"(.)","$1"&amp;UNICHAR(822)),'_Supporto Listone'!D278)</x:f>
        <x:v>C</x:v>
      </x:c>
      <x:c r="E278" s="441" t="str">
        <x:f>IF($J278&lt;&gt;"",REGEXREPLACE(TO_TEXT('_Supporto Listone'!E278),"(.)","$1"&amp;UNICHAR(822)),'_Supporto Listone'!E278)</x:f>
        <x:v>Riserva / rotazione</x:v>
      </x:c>
      <x:c r="F278" s="464" t="n">
        <x:f>IF($J278&lt;&gt;"",REGEXREPLACE(TO_TEXT('_Supporto Listone'!F278),"(.)","$1"&amp;UNICHAR(822)),'_Supporto Listone'!F278)</x:f>
        <x:v>10</x:v>
      </x:c>
      <x:c r="G278" s="464" t="n">
        <x:f>IF($J278&lt;&gt;"",REGEXREPLACE(TO_TEXT('_Supporto Listone'!G278),"(.)","$1"&amp;UNICHAR(822)),'_Supporto Listone'!G278)</x:f>
        <x:v>41</x:v>
      </x:c>
      <x:c r="H278" s="464" t="n">
        <x:f>IF($J278&lt;&gt;"",REGEXREPLACE(TO_TEXT('_Supporto Listone'!H278),"(.)","$1"&amp;UNICHAR(822)),'_Supporto Listone'!H278)</x:f>
        <x:v>21</x:v>
      </x:c>
      <x:c r="I278" s="442"/>
      <x:c r="J278" s="441" t="str">
        <x:f>IF(COUNTIF(Asta!$B$4:$B$47,'_Supporto Listone'!B278)&gt;0,"Simone",IF(COUNTIF(Asta!$D$4:$D$47,'_Supporto Listone'!B278)&gt;0,"Giacomo",IF(COUNTIF(Asta!$F$4:$F$47,'_Supporto Listone'!B278)&gt;0,"Niko",IF(COUNTIF(Asta!$H$4:$H$47,'_Supporto Listone'!B278)&gt;0,"Quici",IF(COUNTIF(Asta!$J$4:$J$47,'_Supporto Listone'!B278)&gt;0,"Fratello Quici",IF(COUNTIF(Asta!$L$4:$L$47,'_Supporto Listone'!B278)&gt;0,"Nicolò",IF(COUNTIF(Asta!$N$4:$N$47,'_Supporto Listone'!B278)&gt;0,"Vi",IF(COUNTIF(Asta!$P$4:$P$47,'_Supporto Listone'!B278)&gt;0,"Lore",IF(COUNTIF(Asta!$R$4:$R$47,'_Supporto Listone'!B278)&gt;0,"Robbo",IF(COUNTIF(Asta!$T$4:$T$47,'_Supporto Listone'!B278)&gt;0,"Ale",""))))))))))</x:f>
      </x:c>
      <x:c r="K278" s="495" t="str">
        <x:f>IF(COUNTIF(Asta!$B$4:$B$47,'_Supporto Listone'!B278)&gt;0,INDEX(Asta!$C$4:$C$47,MATCH('_Supporto Listone'!B278,Asta!$B$4:$B$47,0)),IF(COUNTIF(Asta!$D$4:$D$47,'_Supporto Listone'!B278)&gt;0,INDEX(Asta!$E$4:$E$47,MATCH('_Supporto Listone'!B278,Asta!$D$4:$D$47,0)),IF(COUNTIF(Asta!$F$4:$F$47,'_Supporto Listone'!B278)&gt;0,INDEX(Asta!$G$4:$G$47,MATCH('_Supporto Listone'!B278,Asta!$F$4:$F$47,0)),IF(COUNTIF(Asta!$H$4:$H$47,'_Supporto Listone'!B278)&gt;0,INDEX(Asta!$I$4:$I$47,MATCH('_Supporto Listone'!B278,Asta!$H$4:$H$47,0)),IF(COUNTIF(Asta!$J$4:$J$47,'_Supporto Listone'!B278)&gt;0,INDEX(Asta!$K$4:$K$47,MATCH('_Supporto Listone'!B278,Asta!$J$4:$J$47,0)),IF(COUNTIF(Asta!$L$4:$L$47,'_Supporto Listone'!B278)&gt;0,INDEX(Asta!$M$4:$M$47,MATCH('_Supporto Listone'!B278,Asta!$L$4:$L$47,0)),IF(COUNTIF(Asta!$N$4:$N$47,'_Supporto Listone'!B278)&gt;0,INDEX(Asta!$O$4:$O$47,MATCH('_Supporto Listone'!B278,Asta!$N$4:$N$47,0)),IF(COUNTIF(Asta!$P$4:$P$47,'_Supporto Listone'!B278)&gt;0,INDEX(Asta!$Q$4:$Q$47,MATCH('_Supporto Listone'!B278,Asta!$P$4:$P$47,0)),IF(COUNTIF(Asta!$R$4:$R$47,'_Supporto Listone'!B278)&gt;0,INDEX(Asta!$S$4:$S$47,MATCH('_Supporto Listone'!B278,Asta!$R$4:$R$47,0)),IF(COUNTIF(Asta!$T$4:$T$47,'_Supporto Listone'!B278)&gt;0,INDEX(Asta!$U$4:$U$47,MATCH('_Supporto Listone'!B278,Asta!$T$4:$T$47,0)),""))))))))))</x:f>
      </x:c>
    </x:row>
    <x:row r="279">
      <x:c r="A279" s="440" t="str">
        <x:f>IF($J279&lt;&gt;"",REGEXREPLACE(TO_TEXT('_Supporto Listone'!A279),"(.)","$1"&amp;UNICHAR(822)),'_Supporto Listone'!A279)</x:f>
        <x:v>C</x:v>
      </x:c>
      <x:c r="B279" s="441" t="str">
        <x:f>IF($J279&lt;&gt;"",REGEXREPLACE(TO_TEXT('_Supporto Listone'!B279),"(.)","$1"&amp;UNICHAR(822)),'_Supporto Listone'!B279)</x:f>
        <x:v>Saelemaekers</x:v>
      </x:c>
      <x:c r="C279" s="441" t="str">
        <x:f>IF($J279&lt;&gt;"",REGEXREPLACE(TO_TEXT('_Supporto Listone'!C279),"(.)","$1"&amp;UNICHAR(822)),'_Supporto Listone'!C279)</x:f>
        <x:v>Milan</x:v>
      </x:c>
      <x:c r="D279" s="441" t="str">
        <x:f>IF($J279&lt;&gt;"",REGEXREPLACE(TO_TEXT('_Supporto Listone'!D279),"(.)","$1"&amp;UNICHAR(822)),'_Supporto Listone'!D279)</x:f>
        <x:v>E;W</x:v>
      </x:c>
      <x:c r="E279" s="441" t="str">
        <x:f>IF($J279&lt;&gt;"",REGEXREPLACE(TO_TEXT('_Supporto Listone'!E279),"(.)","$1"&amp;UNICHAR(822)),'_Supporto Listone'!E279)</x:f>
        <x:v>Ballottaggio</x:v>
      </x:c>
      <x:c r="F279" s="464" t="n">
        <x:f>IF($J279&lt;&gt;"",REGEXREPLACE(TO_TEXT('_Supporto Listone'!F279),"(.)","$1"&amp;UNICHAR(822)),'_Supporto Listone'!F279)</x:f>
        <x:v>10</x:v>
      </x:c>
      <x:c r="G279" s="464" t="n">
        <x:f>IF($J279&lt;&gt;"",REGEXREPLACE(TO_TEXT('_Supporto Listone'!G279),"(.)","$1"&amp;UNICHAR(822)),'_Supporto Listone'!G279)</x:f>
        <x:v>43</x:v>
      </x:c>
      <x:c r="H279" s="464" t="n">
        <x:f>IF($J279&lt;&gt;"",REGEXREPLACE(TO_TEXT('_Supporto Listone'!H279),"(.)","$1"&amp;UNICHAR(822)),'_Supporto Listone'!H279)</x:f>
        <x:v>22</x:v>
      </x:c>
      <x:c r="I279" s="442" t="str">
        <x:f>IF($J279&lt;&gt;"",REGEXREPLACE(TO_TEXT('_Supporto Listone'!I279),"(.)","$1"&amp;UNICHAR(822)),'_Supporto Listone'!I279)</x:f>
        <x:v>Piazzati</x:v>
      </x:c>
      <x:c r="J279" s="441" t="str">
        <x:f>IF(COUNTIF(Asta!$B$4:$B$47,'_Supporto Listone'!B279)&gt;0,"Simone",IF(COUNTIF(Asta!$D$4:$D$47,'_Supporto Listone'!B279)&gt;0,"Giacomo",IF(COUNTIF(Asta!$F$4:$F$47,'_Supporto Listone'!B279)&gt;0,"Niko",IF(COUNTIF(Asta!$H$4:$H$47,'_Supporto Listone'!B279)&gt;0,"Quici",IF(COUNTIF(Asta!$J$4:$J$47,'_Supporto Listone'!B279)&gt;0,"Fratello Quici",IF(COUNTIF(Asta!$L$4:$L$47,'_Supporto Listone'!B279)&gt;0,"Nicolò",IF(COUNTIF(Asta!$N$4:$N$47,'_Supporto Listone'!B279)&gt;0,"Vi",IF(COUNTIF(Asta!$P$4:$P$47,'_Supporto Listone'!B279)&gt;0,"Lore",IF(COUNTIF(Asta!$R$4:$R$47,'_Supporto Listone'!B279)&gt;0,"Robbo",IF(COUNTIF(Asta!$T$4:$T$47,'_Supporto Listone'!B279)&gt;0,"Ale",""))))))))))</x:f>
      </x:c>
      <x:c r="K279" s="495" t="str">
        <x:f>IF(COUNTIF(Asta!$B$4:$B$47,'_Supporto Listone'!B279)&gt;0,INDEX(Asta!$C$4:$C$47,MATCH('_Supporto Listone'!B279,Asta!$B$4:$B$47,0)),IF(COUNTIF(Asta!$D$4:$D$47,'_Supporto Listone'!B279)&gt;0,INDEX(Asta!$E$4:$E$47,MATCH('_Supporto Listone'!B279,Asta!$D$4:$D$47,0)),IF(COUNTIF(Asta!$F$4:$F$47,'_Supporto Listone'!B279)&gt;0,INDEX(Asta!$G$4:$G$47,MATCH('_Supporto Listone'!B279,Asta!$F$4:$F$47,0)),IF(COUNTIF(Asta!$H$4:$H$47,'_Supporto Listone'!B279)&gt;0,INDEX(Asta!$I$4:$I$47,MATCH('_Supporto Listone'!B279,Asta!$H$4:$H$47,0)),IF(COUNTIF(Asta!$J$4:$J$47,'_Supporto Listone'!B279)&gt;0,INDEX(Asta!$K$4:$K$47,MATCH('_Supporto Listone'!B279,Asta!$J$4:$J$47,0)),IF(COUNTIF(Asta!$L$4:$L$47,'_Supporto Listone'!B279)&gt;0,INDEX(Asta!$M$4:$M$47,MATCH('_Supporto Listone'!B279,Asta!$L$4:$L$47,0)),IF(COUNTIF(Asta!$N$4:$N$47,'_Supporto Listone'!B279)&gt;0,INDEX(Asta!$O$4:$O$47,MATCH('_Supporto Listone'!B279,Asta!$N$4:$N$47,0)),IF(COUNTIF(Asta!$P$4:$P$47,'_Supporto Listone'!B279)&gt;0,INDEX(Asta!$Q$4:$Q$47,MATCH('_Supporto Listone'!B279,Asta!$P$4:$P$47,0)),IF(COUNTIF(Asta!$R$4:$R$47,'_Supporto Listone'!B279)&gt;0,INDEX(Asta!$S$4:$S$47,MATCH('_Supporto Listone'!B279,Asta!$R$4:$R$47,0)),IF(COUNTIF(Asta!$T$4:$T$47,'_Supporto Listone'!B279)&gt;0,INDEX(Asta!$U$4:$U$47,MATCH('_Supporto Listone'!B279,Asta!$T$4:$T$47,0)),""))))))))))</x:f>
      </x:c>
    </x:row>
    <x:row r="280">
      <x:c r="A280" s="440" t="str">
        <x:f>IF($J280&lt;&gt;"",REGEXREPLACE(TO_TEXT('_Supporto Listone'!A280),"(.)","$1"&amp;UNICHAR(822)),'_Supporto Listone'!A280)</x:f>
        <x:v>C</x:v>
      </x:c>
      <x:c r="B280" s="441" t="str">
        <x:f>IF($J280&lt;&gt;"",REGEXREPLACE(TO_TEXT('_Supporto Listone'!B280),"(.)","$1"&amp;UNICHAR(822)),'_Supporto Listone'!B280)</x:f>
        <x:v>Politano</x:v>
      </x:c>
      <x:c r="C280" s="441" t="str">
        <x:f>IF($J280&lt;&gt;"",REGEXREPLACE(TO_TEXT('_Supporto Listone'!C280),"(.)","$1"&amp;UNICHAR(822)),'_Supporto Listone'!C280)</x:f>
        <x:v>Napoli</x:v>
      </x:c>
      <x:c r="D280" s="441" t="str">
        <x:f>IF($J280&lt;&gt;"",REGEXREPLACE(TO_TEXT('_Supporto Listone'!D280),"(.)","$1"&amp;UNICHAR(822)),'_Supporto Listone'!D280)</x:f>
        <x:v>W</x:v>
      </x:c>
      <x:c r="E280" s="441" t="str">
        <x:f>IF($J280&lt;&gt;"",REGEXREPLACE(TO_TEXT('_Supporto Listone'!E280),"(.)","$1"&amp;UNICHAR(822)),'_Supporto Listone'!E280)</x:f>
        <x:v>Titolare / ballottaggio</x:v>
      </x:c>
      <x:c r="F280" s="464" t="n">
        <x:f>IF($J280&lt;&gt;"",REGEXREPLACE(TO_TEXT('_Supporto Listone'!F280),"(.)","$1"&amp;UNICHAR(822)),'_Supporto Listone'!F280)</x:f>
        <x:v>10</x:v>
      </x:c>
      <x:c r="G280" s="464" t="n">
        <x:f>IF($J280&lt;&gt;"",REGEXREPLACE(TO_TEXT('_Supporto Listone'!G280),"(.)","$1"&amp;UNICHAR(822)),'_Supporto Listone'!G280)</x:f>
        <x:v>47</x:v>
      </x:c>
      <x:c r="H280" s="464" t="n">
        <x:f>IF($J280&lt;&gt;"",REGEXREPLACE(TO_TEXT('_Supporto Listone'!H280),"(.)","$1"&amp;UNICHAR(822)),'_Supporto Listone'!H280)</x:f>
        <x:v>24</x:v>
      </x:c>
      <x:c r="I280" s="442" t="str">
        <x:f>IF($J280&lt;&gt;"",REGEXREPLACE(TO_TEXT('_Supporto Listone'!I280),"(.)","$1"&amp;UNICHAR(822)),'_Supporto Listone'!I280)</x:f>
        <x:v>Rigorista · Piazzati</x:v>
      </x:c>
      <x:c r="J280" s="441" t="str">
        <x:f>IF(COUNTIF(Asta!$B$4:$B$47,'_Supporto Listone'!B280)&gt;0,"Simone",IF(COUNTIF(Asta!$D$4:$D$47,'_Supporto Listone'!B280)&gt;0,"Giacomo",IF(COUNTIF(Asta!$F$4:$F$47,'_Supporto Listone'!B280)&gt;0,"Niko",IF(COUNTIF(Asta!$H$4:$H$47,'_Supporto Listone'!B280)&gt;0,"Quici",IF(COUNTIF(Asta!$J$4:$J$47,'_Supporto Listone'!B280)&gt;0,"Fratello Quici",IF(COUNTIF(Asta!$L$4:$L$47,'_Supporto Listone'!B280)&gt;0,"Nicolò",IF(COUNTIF(Asta!$N$4:$N$47,'_Supporto Listone'!B280)&gt;0,"Vi",IF(COUNTIF(Asta!$P$4:$P$47,'_Supporto Listone'!B280)&gt;0,"Lore",IF(COUNTIF(Asta!$R$4:$R$47,'_Supporto Listone'!B280)&gt;0,"Robbo",IF(COUNTIF(Asta!$T$4:$T$47,'_Supporto Listone'!B280)&gt;0,"Ale",""))))))))))</x:f>
      </x:c>
      <x:c r="K280" s="495" t="str">
        <x:f>IF(COUNTIF(Asta!$B$4:$B$47,'_Supporto Listone'!B280)&gt;0,INDEX(Asta!$C$4:$C$47,MATCH('_Supporto Listone'!B280,Asta!$B$4:$B$47,0)),IF(COUNTIF(Asta!$D$4:$D$47,'_Supporto Listone'!B280)&gt;0,INDEX(Asta!$E$4:$E$47,MATCH('_Supporto Listone'!B280,Asta!$D$4:$D$47,0)),IF(COUNTIF(Asta!$F$4:$F$47,'_Supporto Listone'!B280)&gt;0,INDEX(Asta!$G$4:$G$47,MATCH('_Supporto Listone'!B280,Asta!$F$4:$F$47,0)),IF(COUNTIF(Asta!$H$4:$H$47,'_Supporto Listone'!B280)&gt;0,INDEX(Asta!$I$4:$I$47,MATCH('_Supporto Listone'!B280,Asta!$H$4:$H$47,0)),IF(COUNTIF(Asta!$J$4:$J$47,'_Supporto Listone'!B280)&gt;0,INDEX(Asta!$K$4:$K$47,MATCH('_Supporto Listone'!B280,Asta!$J$4:$J$47,0)),IF(COUNTIF(Asta!$L$4:$L$47,'_Supporto Listone'!B280)&gt;0,INDEX(Asta!$M$4:$M$47,MATCH('_Supporto Listone'!B280,Asta!$L$4:$L$47,0)),IF(COUNTIF(Asta!$N$4:$N$47,'_Supporto Listone'!B280)&gt;0,INDEX(Asta!$O$4:$O$47,MATCH('_Supporto Listone'!B280,Asta!$N$4:$N$47,0)),IF(COUNTIF(Asta!$P$4:$P$47,'_Supporto Listone'!B280)&gt;0,INDEX(Asta!$Q$4:$Q$47,MATCH('_Supporto Listone'!B280,Asta!$P$4:$P$47,0)),IF(COUNTIF(Asta!$R$4:$R$47,'_Supporto Listone'!B280)&gt;0,INDEX(Asta!$S$4:$S$47,MATCH('_Supporto Listone'!B280,Asta!$R$4:$R$47,0)),IF(COUNTIF(Asta!$T$4:$T$47,'_Supporto Listone'!B280)&gt;0,INDEX(Asta!$U$4:$U$47,MATCH('_Supporto Listone'!B280,Asta!$T$4:$T$47,0)),""))))))))))</x:f>
      </x:c>
    </x:row>
    <x:row r="281">
      <x:c r="A281" s="440" t="str">
        <x:f>IF($J281&lt;&gt;"",REGEXREPLACE(TO_TEXT('_Supporto Listone'!A281),"(.)","$1"&amp;UNICHAR(822)),'_Supporto Listone'!A281)</x:f>
        <x:v>C</x:v>
      </x:c>
      <x:c r="B281" s="441" t="str">
        <x:f>IF($J281&lt;&gt;"",REGEXREPLACE(TO_TEXT('_Supporto Listone'!B281),"(.)","$1"&amp;UNICHAR(822)),'_Supporto Listone'!B281)</x:f>
        <x:v>Konè M.</x:v>
      </x:c>
      <x:c r="C281" s="441" t="str">
        <x:f>IF($J281&lt;&gt;"",REGEXREPLACE(TO_TEXT('_Supporto Listone'!C281),"(.)","$1"&amp;UNICHAR(822)),'_Supporto Listone'!C281)</x:f>
        <x:v>Roma</x:v>
      </x:c>
      <x:c r="D281" s="441" t="str">
        <x:f>IF($J281&lt;&gt;"",REGEXREPLACE(TO_TEXT('_Supporto Listone'!D281),"(.)","$1"&amp;UNICHAR(822)),'_Supporto Listone'!D281)</x:f>
        <x:v>M;C</x:v>
      </x:c>
      <x:c r="E281" s="441" t="str">
        <x:f>IF($J281&lt;&gt;"",REGEXREPLACE(TO_TEXT('_Supporto Listone'!E281),"(.)","$1"&amp;UNICHAR(822)),'_Supporto Listone'!E281)</x:f>
        <x:v>Titolare</x:v>
      </x:c>
      <x:c r="F281" s="464" t="n">
        <x:f>IF($J281&lt;&gt;"",REGEXREPLACE(TO_TEXT('_Supporto Listone'!F281),"(.)","$1"&amp;UNICHAR(822)),'_Supporto Listone'!F281)</x:f>
        <x:v>10</x:v>
      </x:c>
      <x:c r="G281" s="464" t="n">
        <x:f>IF($J281&lt;&gt;"",REGEXREPLACE(TO_TEXT('_Supporto Listone'!G281),"(.)","$1"&amp;UNICHAR(822)),'_Supporto Listone'!G281)</x:f>
        <x:v>42</x:v>
      </x:c>
      <x:c r="H281" s="464" t="n">
        <x:f>IF($J281&lt;&gt;"",REGEXREPLACE(TO_TEXT('_Supporto Listone'!H281),"(.)","$1"&amp;UNICHAR(822)),'_Supporto Listone'!H281)</x:f>
        <x:v>21</x:v>
      </x:c>
      <x:c r="I281" s="442"/>
      <x:c r="J281" s="441" t="str">
        <x:f>IF(COUNTIF(Asta!$B$4:$B$47,'_Supporto Listone'!B281)&gt;0,"Simone",IF(COUNTIF(Asta!$D$4:$D$47,'_Supporto Listone'!B281)&gt;0,"Giacomo",IF(COUNTIF(Asta!$F$4:$F$47,'_Supporto Listone'!B281)&gt;0,"Niko",IF(COUNTIF(Asta!$H$4:$H$47,'_Supporto Listone'!B281)&gt;0,"Quici",IF(COUNTIF(Asta!$J$4:$J$47,'_Supporto Listone'!B281)&gt;0,"Fratello Quici",IF(COUNTIF(Asta!$L$4:$L$47,'_Supporto Listone'!B281)&gt;0,"Nicolò",IF(COUNTIF(Asta!$N$4:$N$47,'_Supporto Listone'!B281)&gt;0,"Vi",IF(COUNTIF(Asta!$P$4:$P$47,'_Supporto Listone'!B281)&gt;0,"Lore",IF(COUNTIF(Asta!$R$4:$R$47,'_Supporto Listone'!B281)&gt;0,"Robbo",IF(COUNTIF(Asta!$T$4:$T$47,'_Supporto Listone'!B281)&gt;0,"Ale",""))))))))))</x:f>
      </x:c>
      <x:c r="K281" s="495" t="str">
        <x:f>IF(COUNTIF(Asta!$B$4:$B$47,'_Supporto Listone'!B281)&gt;0,INDEX(Asta!$C$4:$C$47,MATCH('_Supporto Listone'!B281,Asta!$B$4:$B$47,0)),IF(COUNTIF(Asta!$D$4:$D$47,'_Supporto Listone'!B281)&gt;0,INDEX(Asta!$E$4:$E$47,MATCH('_Supporto Listone'!B281,Asta!$D$4:$D$47,0)),IF(COUNTIF(Asta!$F$4:$F$47,'_Supporto Listone'!B281)&gt;0,INDEX(Asta!$G$4:$G$47,MATCH('_Supporto Listone'!B281,Asta!$F$4:$F$47,0)),IF(COUNTIF(Asta!$H$4:$H$47,'_Supporto Listone'!B281)&gt;0,INDEX(Asta!$I$4:$I$47,MATCH('_Supporto Listone'!B281,Asta!$H$4:$H$47,0)),IF(COUNTIF(Asta!$J$4:$J$47,'_Supporto Listone'!B281)&gt;0,INDEX(Asta!$K$4:$K$47,MATCH('_Supporto Listone'!B281,Asta!$J$4:$J$47,0)),IF(COUNTIF(Asta!$L$4:$L$47,'_Supporto Listone'!B281)&gt;0,INDEX(Asta!$M$4:$M$47,MATCH('_Supporto Listone'!B281,Asta!$L$4:$L$47,0)),IF(COUNTIF(Asta!$N$4:$N$47,'_Supporto Listone'!B281)&gt;0,INDEX(Asta!$O$4:$O$47,MATCH('_Supporto Listone'!B281,Asta!$N$4:$N$47,0)),IF(COUNTIF(Asta!$P$4:$P$47,'_Supporto Listone'!B281)&gt;0,INDEX(Asta!$Q$4:$Q$47,MATCH('_Supporto Listone'!B281,Asta!$P$4:$P$47,0)),IF(COUNTIF(Asta!$R$4:$R$47,'_Supporto Listone'!B281)&gt;0,INDEX(Asta!$S$4:$S$47,MATCH('_Supporto Listone'!B281,Asta!$R$4:$R$47,0)),IF(COUNTIF(Asta!$T$4:$T$47,'_Supporto Listone'!B281)&gt;0,INDEX(Asta!$U$4:$U$47,MATCH('_Supporto Listone'!B281,Asta!$T$4:$T$47,0)),""))))))))))</x:f>
      </x:c>
    </x:row>
    <x:row r="282">
      <x:c r="A282" s="440" t="str">
        <x:f>IF($J282&lt;&gt;"",REGEXREPLACE(TO_TEXT('_Supporto Listone'!A282),"(.)","$1"&amp;UNICHAR(822)),'_Supporto Listone'!A282)</x:f>
        <x:v>C</x:v>
      </x:c>
      <x:c r="B282" s="441" t="str">
        <x:f>IF($J282&lt;&gt;"",REGEXREPLACE(TO_TEXT('_Supporto Listone'!B282),"(.)","$1"&amp;UNICHAR(822)),'_Supporto Listone'!B282)</x:f>
        <x:v>Thorstvedt</x:v>
      </x:c>
      <x:c r="C282" s="441" t="str">
        <x:f>IF($J282&lt;&gt;"",REGEXREPLACE(TO_TEXT('_Supporto Listone'!C282),"(.)","$1"&amp;UNICHAR(822)),'_Supporto Listone'!C282)</x:f>
        <x:v>Sassuolo</x:v>
      </x:c>
      <x:c r="D282" s="441" t="str">
        <x:f>IF($J282&lt;&gt;"",REGEXREPLACE(TO_TEXT('_Supporto Listone'!D282),"(.)","$1"&amp;UNICHAR(822)),'_Supporto Listone'!D282)</x:f>
        <x:v>C;T</x:v>
      </x:c>
      <x:c r="E282" s="441" t="str">
        <x:f>IF($J282&lt;&gt;"",REGEXREPLACE(TO_TEXT('_Supporto Listone'!E282),"(.)","$1"&amp;UNICHAR(822)),'_Supporto Listone'!E282)</x:f>
        <x:v>Titolare</x:v>
      </x:c>
      <x:c r="F282" s="464" t="n">
        <x:f>IF($J282&lt;&gt;"",REGEXREPLACE(TO_TEXT('_Supporto Listone'!F282),"(.)","$1"&amp;UNICHAR(822)),'_Supporto Listone'!F282)</x:f>
        <x:v>10</x:v>
      </x:c>
      <x:c r="G282" s="464" t="n">
        <x:f>IF($J282&lt;&gt;"",REGEXREPLACE(TO_TEXT('_Supporto Listone'!G282),"(.)","$1"&amp;UNICHAR(822)),'_Supporto Listone'!G282)</x:f>
        <x:v>41</x:v>
      </x:c>
      <x:c r="H282" s="464" t="n">
        <x:f>IF($J282&lt;&gt;"",REGEXREPLACE(TO_TEXT('_Supporto Listone'!H282),"(.)","$1"&amp;UNICHAR(822)),'_Supporto Listone'!H282)</x:f>
        <x:v>21</x:v>
      </x:c>
      <x:c r="I282" s="442"/>
      <x:c r="J282" s="441" t="str">
        <x:f>IF(COUNTIF(Asta!$B$4:$B$47,'_Supporto Listone'!B282)&gt;0,"Simone",IF(COUNTIF(Asta!$D$4:$D$47,'_Supporto Listone'!B282)&gt;0,"Giacomo",IF(COUNTIF(Asta!$F$4:$F$47,'_Supporto Listone'!B282)&gt;0,"Niko",IF(COUNTIF(Asta!$H$4:$H$47,'_Supporto Listone'!B282)&gt;0,"Quici",IF(COUNTIF(Asta!$J$4:$J$47,'_Supporto Listone'!B282)&gt;0,"Fratello Quici",IF(COUNTIF(Asta!$L$4:$L$47,'_Supporto Listone'!B282)&gt;0,"Nicolò",IF(COUNTIF(Asta!$N$4:$N$47,'_Supporto Listone'!B282)&gt;0,"Vi",IF(COUNTIF(Asta!$P$4:$P$47,'_Supporto Listone'!B282)&gt;0,"Lore",IF(COUNTIF(Asta!$R$4:$R$47,'_Supporto Listone'!B282)&gt;0,"Robbo",IF(COUNTIF(Asta!$T$4:$T$47,'_Supporto Listone'!B282)&gt;0,"Ale",""))))))))))</x:f>
      </x:c>
      <x:c r="K282" s="495" t="str">
        <x:f>IF(COUNTIF(Asta!$B$4:$B$47,'_Supporto Listone'!B282)&gt;0,INDEX(Asta!$C$4:$C$47,MATCH('_Supporto Listone'!B282,Asta!$B$4:$B$47,0)),IF(COUNTIF(Asta!$D$4:$D$47,'_Supporto Listone'!B282)&gt;0,INDEX(Asta!$E$4:$E$47,MATCH('_Supporto Listone'!B282,Asta!$D$4:$D$47,0)),IF(COUNTIF(Asta!$F$4:$F$47,'_Supporto Listone'!B282)&gt;0,INDEX(Asta!$G$4:$G$47,MATCH('_Supporto Listone'!B282,Asta!$F$4:$F$47,0)),IF(COUNTIF(Asta!$H$4:$H$47,'_Supporto Listone'!B282)&gt;0,INDEX(Asta!$I$4:$I$47,MATCH('_Supporto Listone'!B282,Asta!$H$4:$H$47,0)),IF(COUNTIF(Asta!$J$4:$J$47,'_Supporto Listone'!B282)&gt;0,INDEX(Asta!$K$4:$K$47,MATCH('_Supporto Listone'!B282,Asta!$J$4:$J$47,0)),IF(COUNTIF(Asta!$L$4:$L$47,'_Supporto Listone'!B282)&gt;0,INDEX(Asta!$M$4:$M$47,MATCH('_Supporto Listone'!B282,Asta!$L$4:$L$47,0)),IF(COUNTIF(Asta!$N$4:$N$47,'_Supporto Listone'!B282)&gt;0,INDEX(Asta!$O$4:$O$47,MATCH('_Supporto Listone'!B282,Asta!$N$4:$N$47,0)),IF(COUNTIF(Asta!$P$4:$P$47,'_Supporto Listone'!B282)&gt;0,INDEX(Asta!$Q$4:$Q$47,MATCH('_Supporto Listone'!B282,Asta!$P$4:$P$47,0)),IF(COUNTIF(Asta!$R$4:$R$47,'_Supporto Listone'!B282)&gt;0,INDEX(Asta!$S$4:$S$47,MATCH('_Supporto Listone'!B282,Asta!$R$4:$R$47,0)),IF(COUNTIF(Asta!$T$4:$T$47,'_Supporto Listone'!B282)&gt;0,INDEX(Asta!$U$4:$U$47,MATCH('_Supporto Listone'!B282,Asta!$T$4:$T$47,0)),""))))))))))</x:f>
      </x:c>
    </x:row>
    <x:row r="283">
      <x:c r="A283" s="440" t="str">
        <x:f>IF($J283&lt;&gt;"",REGEXREPLACE(TO_TEXT('_Supporto Listone'!A283),"(.)","$1"&amp;UNICHAR(822)),'_Supporto Listone'!A283)</x:f>
        <x:v>C</x:v>
      </x:c>
      <x:c r="B283" s="441" t="str">
        <x:f>IF($J283&lt;&gt;"",REGEXREPLACE(TO_TEXT('_Supporto Listone'!B283),"(.)","$1"&amp;UNICHAR(822)),'_Supporto Listone'!B283)</x:f>
        <x:v>Casadei</x:v>
      </x:c>
      <x:c r="C283" s="441" t="str">
        <x:f>IF($J283&lt;&gt;"",REGEXREPLACE(TO_TEXT('_Supporto Listone'!C283),"(.)","$1"&amp;UNICHAR(822)),'_Supporto Listone'!C283)</x:f>
        <x:v>Torino</x:v>
      </x:c>
      <x:c r="D283" s="441" t="str">
        <x:f>IF($J283&lt;&gt;"",REGEXREPLACE(TO_TEXT('_Supporto Listone'!D283),"(.)","$1"&amp;UNICHAR(822)),'_Supporto Listone'!D283)</x:f>
        <x:v>C;T</x:v>
      </x:c>
      <x:c r="E283" s="441" t="str">
        <x:f>IF($J283&lt;&gt;"",REGEXREPLACE(TO_TEXT('_Supporto Listone'!E283),"(.)","$1"&amp;UNICHAR(822)),'_Supporto Listone'!E283)</x:f>
        <x:v>Titolare / ballottaggio</x:v>
      </x:c>
      <x:c r="F283" s="464" t="n">
        <x:f>IF($J283&lt;&gt;"",REGEXREPLACE(TO_TEXT('_Supporto Listone'!F283),"(.)","$1"&amp;UNICHAR(822)),'_Supporto Listone'!F283)</x:f>
        <x:v>10</x:v>
      </x:c>
      <x:c r="G283" s="464" t="n">
        <x:f>IF($J283&lt;&gt;"",REGEXREPLACE(TO_TEXT('_Supporto Listone'!G283),"(.)","$1"&amp;UNICHAR(822)),'_Supporto Listone'!G283)</x:f>
        <x:v>37</x:v>
      </x:c>
      <x:c r="H283" s="464" t="n">
        <x:f>IF($J283&lt;&gt;"",REGEXREPLACE(TO_TEXT('_Supporto Listone'!H283),"(.)","$1"&amp;UNICHAR(822)),'_Supporto Listone'!H283)</x:f>
        <x:v>19</x:v>
      </x:c>
      <x:c r="I283" s="442"/>
      <x:c r="J283" s="441" t="str">
        <x:f>IF(COUNTIF(Asta!$B$4:$B$47,'_Supporto Listone'!B283)&gt;0,"Simone",IF(COUNTIF(Asta!$D$4:$D$47,'_Supporto Listone'!B283)&gt;0,"Giacomo",IF(COUNTIF(Asta!$F$4:$F$47,'_Supporto Listone'!B283)&gt;0,"Niko",IF(COUNTIF(Asta!$H$4:$H$47,'_Supporto Listone'!B283)&gt;0,"Quici",IF(COUNTIF(Asta!$J$4:$J$47,'_Supporto Listone'!B283)&gt;0,"Fratello Quici",IF(COUNTIF(Asta!$L$4:$L$47,'_Supporto Listone'!B283)&gt;0,"Nicolò",IF(COUNTIF(Asta!$N$4:$N$47,'_Supporto Listone'!B283)&gt;0,"Vi",IF(COUNTIF(Asta!$P$4:$P$47,'_Supporto Listone'!B283)&gt;0,"Lore",IF(COUNTIF(Asta!$R$4:$R$47,'_Supporto Listone'!B283)&gt;0,"Robbo",IF(COUNTIF(Asta!$T$4:$T$47,'_Supporto Listone'!B283)&gt;0,"Ale",""))))))))))</x:f>
      </x:c>
      <x:c r="K283" s="495" t="str">
        <x:f>IF(COUNTIF(Asta!$B$4:$B$47,'_Supporto Listone'!B283)&gt;0,INDEX(Asta!$C$4:$C$47,MATCH('_Supporto Listone'!B283,Asta!$B$4:$B$47,0)),IF(COUNTIF(Asta!$D$4:$D$47,'_Supporto Listone'!B283)&gt;0,INDEX(Asta!$E$4:$E$47,MATCH('_Supporto Listone'!B283,Asta!$D$4:$D$47,0)),IF(COUNTIF(Asta!$F$4:$F$47,'_Supporto Listone'!B283)&gt;0,INDEX(Asta!$G$4:$G$47,MATCH('_Supporto Listone'!B283,Asta!$F$4:$F$47,0)),IF(COUNTIF(Asta!$H$4:$H$47,'_Supporto Listone'!B283)&gt;0,INDEX(Asta!$I$4:$I$47,MATCH('_Supporto Listone'!B283,Asta!$H$4:$H$47,0)),IF(COUNTIF(Asta!$J$4:$J$47,'_Supporto Listone'!B283)&gt;0,INDEX(Asta!$K$4:$K$47,MATCH('_Supporto Listone'!B283,Asta!$J$4:$J$47,0)),IF(COUNTIF(Asta!$L$4:$L$47,'_Supporto Listone'!B283)&gt;0,INDEX(Asta!$M$4:$M$47,MATCH('_Supporto Listone'!B283,Asta!$L$4:$L$47,0)),IF(COUNTIF(Asta!$N$4:$N$47,'_Supporto Listone'!B283)&gt;0,INDEX(Asta!$O$4:$O$47,MATCH('_Supporto Listone'!B283,Asta!$N$4:$N$47,0)),IF(COUNTIF(Asta!$P$4:$P$47,'_Supporto Listone'!B283)&gt;0,INDEX(Asta!$Q$4:$Q$47,MATCH('_Supporto Listone'!B283,Asta!$P$4:$P$47,0)),IF(COUNTIF(Asta!$R$4:$R$47,'_Supporto Listone'!B283)&gt;0,INDEX(Asta!$S$4:$S$47,MATCH('_Supporto Listone'!B283,Asta!$R$4:$R$47,0)),IF(COUNTIF(Asta!$T$4:$T$47,'_Supporto Listone'!B283)&gt;0,INDEX(Asta!$U$4:$U$47,MATCH('_Supporto Listone'!B283,Asta!$T$4:$T$47,0)),""))))))))))</x:f>
      </x:c>
    </x:row>
    <x:row r="284">
      <x:c r="A284" s="440" t="str">
        <x:f>IF($J284&lt;&gt;"",REGEXREPLACE(TO_TEXT('_Supporto Listone'!A284),"(.)","$1"&amp;UNICHAR(822)),'_Supporto Listone'!A284)</x:f>
        <x:v>C</x:v>
      </x:c>
      <x:c r="B284" s="441" t="str">
        <x:f>IF($J284&lt;&gt;"",REGEXREPLACE(TO_TEXT('_Supporto Listone'!B284),"(.)","$1"&amp;UNICHAR(822)),'_Supporto Listone'!B284)</x:f>
        <x:v>Ekkelenkamp</x:v>
      </x:c>
      <x:c r="C284" s="441" t="str">
        <x:f>IF($J284&lt;&gt;"",REGEXREPLACE(TO_TEXT('_Supporto Listone'!C284),"(.)","$1"&amp;UNICHAR(822)),'_Supporto Listone'!C284)</x:f>
        <x:v>Udinese</x:v>
      </x:c>
      <x:c r="D284" s="441" t="str">
        <x:f>IF($J284&lt;&gt;"",REGEXREPLACE(TO_TEXT('_Supporto Listone'!D284),"(.)","$1"&amp;UNICHAR(822)),'_Supporto Listone'!D284)</x:f>
        <x:v>C;T</x:v>
      </x:c>
      <x:c r="E284" s="441" t="str">
        <x:f>IF($J284&lt;&gt;"",REGEXREPLACE(TO_TEXT('_Supporto Listone'!E284),"(.)","$1"&amp;UNICHAR(822)),'_Supporto Listone'!E284)</x:f>
        <x:v>Titolare</x:v>
      </x:c>
      <x:c r="F284" s="464" t="n">
        <x:f>IF($J284&lt;&gt;"",REGEXREPLACE(TO_TEXT('_Supporto Listone'!F284),"(.)","$1"&amp;UNICHAR(822)),'_Supporto Listone'!F284)</x:f>
        <x:v>10</x:v>
      </x:c>
      <x:c r="G284" s="464" t="n">
        <x:f>IF($J284&lt;&gt;"",REGEXREPLACE(TO_TEXT('_Supporto Listone'!G284),"(.)","$1"&amp;UNICHAR(822)),'_Supporto Listone'!G284)</x:f>
        <x:v>41</x:v>
      </x:c>
      <x:c r="H284" s="464" t="n">
        <x:f>IF($J284&lt;&gt;"",REGEXREPLACE(TO_TEXT('_Supporto Listone'!H284),"(.)","$1"&amp;UNICHAR(822)),'_Supporto Listone'!H284)</x:f>
        <x:v>21</x:v>
      </x:c>
      <x:c r="I284" s="442" t="str">
        <x:f>IF($J284&lt;&gt;"",REGEXREPLACE(TO_TEXT('_Supporto Listone'!I284),"(.)","$1"&amp;UNICHAR(822)),'_Supporto Listone'!I284)</x:f>
        <x:v>Piazzati</x:v>
      </x:c>
      <x:c r="J284" s="441" t="str">
        <x:f>IF(COUNTIF(Asta!$B$4:$B$47,'_Supporto Listone'!B284)&gt;0,"Simone",IF(COUNTIF(Asta!$D$4:$D$47,'_Supporto Listone'!B284)&gt;0,"Giacomo",IF(COUNTIF(Asta!$F$4:$F$47,'_Supporto Listone'!B284)&gt;0,"Niko",IF(COUNTIF(Asta!$H$4:$H$47,'_Supporto Listone'!B284)&gt;0,"Quici",IF(COUNTIF(Asta!$J$4:$J$47,'_Supporto Listone'!B284)&gt;0,"Fratello Quici",IF(COUNTIF(Asta!$L$4:$L$47,'_Supporto Listone'!B284)&gt;0,"Nicolò",IF(COUNTIF(Asta!$N$4:$N$47,'_Supporto Listone'!B284)&gt;0,"Vi",IF(COUNTIF(Asta!$P$4:$P$47,'_Supporto Listone'!B284)&gt;0,"Lore",IF(COUNTIF(Asta!$R$4:$R$47,'_Supporto Listone'!B284)&gt;0,"Robbo",IF(COUNTIF(Asta!$T$4:$T$47,'_Supporto Listone'!B284)&gt;0,"Ale",""))))))))))</x:f>
      </x:c>
      <x:c r="K284" s="495" t="str">
        <x:f>IF(COUNTIF(Asta!$B$4:$B$47,'_Supporto Listone'!B284)&gt;0,INDEX(Asta!$C$4:$C$47,MATCH('_Supporto Listone'!B284,Asta!$B$4:$B$47,0)),IF(COUNTIF(Asta!$D$4:$D$47,'_Supporto Listone'!B284)&gt;0,INDEX(Asta!$E$4:$E$47,MATCH('_Supporto Listone'!B284,Asta!$D$4:$D$47,0)),IF(COUNTIF(Asta!$F$4:$F$47,'_Supporto Listone'!B284)&gt;0,INDEX(Asta!$G$4:$G$47,MATCH('_Supporto Listone'!B284,Asta!$F$4:$F$47,0)),IF(COUNTIF(Asta!$H$4:$H$47,'_Supporto Listone'!B284)&gt;0,INDEX(Asta!$I$4:$I$47,MATCH('_Supporto Listone'!B284,Asta!$H$4:$H$47,0)),IF(COUNTIF(Asta!$J$4:$J$47,'_Supporto Listone'!B284)&gt;0,INDEX(Asta!$K$4:$K$47,MATCH('_Supporto Listone'!B284,Asta!$J$4:$J$47,0)),IF(COUNTIF(Asta!$L$4:$L$47,'_Supporto Listone'!B284)&gt;0,INDEX(Asta!$M$4:$M$47,MATCH('_Supporto Listone'!B284,Asta!$L$4:$L$47,0)),IF(COUNTIF(Asta!$N$4:$N$47,'_Supporto Listone'!B284)&gt;0,INDEX(Asta!$O$4:$O$47,MATCH('_Supporto Listone'!B284,Asta!$N$4:$N$47,0)),IF(COUNTIF(Asta!$P$4:$P$47,'_Supporto Listone'!B284)&gt;0,INDEX(Asta!$Q$4:$Q$47,MATCH('_Supporto Listone'!B284,Asta!$P$4:$P$47,0)),IF(COUNTIF(Asta!$R$4:$R$47,'_Supporto Listone'!B284)&gt;0,INDEX(Asta!$S$4:$S$47,MATCH('_Supporto Listone'!B284,Asta!$R$4:$R$47,0)),IF(COUNTIF(Asta!$T$4:$T$47,'_Supporto Listone'!B284)&gt;0,INDEX(Asta!$U$4:$U$47,MATCH('_Supporto Listone'!B284,Asta!$T$4:$T$47,0)),""))))))))))</x:f>
      </x:c>
    </x:row>
    <x:row r="285">
      <x:c r="A285" s="440" t="str">
        <x:f>IF($J285&lt;&gt;"",REGEXREPLACE(TO_TEXT('_Supporto Listone'!A285),"(.)","$1"&amp;UNICHAR(822)),'_Supporto Listone'!A285)</x:f>
        <x:v>C</x:v>
      </x:c>
      <x:c r="B285" s="441" t="str">
        <x:f>IF($J285&lt;&gt;"",REGEXREPLACE(TO_TEXT('_Supporto Listone'!B285),"(.)","$1"&amp;UNICHAR(822)),'_Supporto Listone'!B285)</x:f>
        <x:v>Pasalic</x:v>
      </x:c>
      <x:c r="C285" s="441" t="str">
        <x:f>IF($J285&lt;&gt;"",REGEXREPLACE(TO_TEXT('_Supporto Listone'!C285),"(.)","$1"&amp;UNICHAR(822)),'_Supporto Listone'!C285)</x:f>
        <x:v>Atalanta</x:v>
      </x:c>
      <x:c r="D285" s="441" t="str">
        <x:f>IF($J285&lt;&gt;"",REGEXREPLACE(TO_TEXT('_Supporto Listone'!D285),"(.)","$1"&amp;UNICHAR(822)),'_Supporto Listone'!D285)</x:f>
        <x:v>C;T</x:v>
      </x:c>
      <x:c r="E285" s="441" t="str">
        <x:f>IF($J285&lt;&gt;"",REGEXREPLACE(TO_TEXT('_Supporto Listone'!E285),"(.)","$1"&amp;UNICHAR(822)),'_Supporto Listone'!E285)</x:f>
        <x:v>Riserva / rotazione</x:v>
      </x:c>
      <x:c r="F285" s="464" t="n">
        <x:f>IF($J285&lt;&gt;"",REGEXREPLACE(TO_TEXT('_Supporto Listone'!F285),"(.)","$1"&amp;UNICHAR(822)),'_Supporto Listone'!F285)</x:f>
        <x:v>9</x:v>
      </x:c>
      <x:c r="G285" s="464" t="n">
        <x:f>IF($J285&lt;&gt;"",REGEXREPLACE(TO_TEXT('_Supporto Listone'!G285),"(.)","$1"&amp;UNICHAR(822)),'_Supporto Listone'!G285)</x:f>
        <x:v>32</x:v>
      </x:c>
      <x:c r="H285" s="464" t="n">
        <x:f>IF($J285&lt;&gt;"",REGEXREPLACE(TO_TEXT('_Supporto Listone'!H285),"(.)","$1"&amp;UNICHAR(822)),'_Supporto Listone'!H285)</x:f>
        <x:v>16</x:v>
      </x:c>
      <x:c r="I285" s="442"/>
      <x:c r="J285" s="441" t="str">
        <x:f>IF(COUNTIF(Asta!$B$4:$B$47,'_Supporto Listone'!B285)&gt;0,"Simone",IF(COUNTIF(Asta!$D$4:$D$47,'_Supporto Listone'!B285)&gt;0,"Giacomo",IF(COUNTIF(Asta!$F$4:$F$47,'_Supporto Listone'!B285)&gt;0,"Niko",IF(COUNTIF(Asta!$H$4:$H$47,'_Supporto Listone'!B285)&gt;0,"Quici",IF(COUNTIF(Asta!$J$4:$J$47,'_Supporto Listone'!B285)&gt;0,"Fratello Quici",IF(COUNTIF(Asta!$L$4:$L$47,'_Supporto Listone'!B285)&gt;0,"Nicolò",IF(COUNTIF(Asta!$N$4:$N$47,'_Supporto Listone'!B285)&gt;0,"Vi",IF(COUNTIF(Asta!$P$4:$P$47,'_Supporto Listone'!B285)&gt;0,"Lore",IF(COUNTIF(Asta!$R$4:$R$47,'_Supporto Listone'!B285)&gt;0,"Robbo",IF(COUNTIF(Asta!$T$4:$T$47,'_Supporto Listone'!B285)&gt;0,"Ale",""))))))))))</x:f>
      </x:c>
      <x:c r="K285" s="495" t="str">
        <x:f>IF(COUNTIF(Asta!$B$4:$B$47,'_Supporto Listone'!B285)&gt;0,INDEX(Asta!$C$4:$C$47,MATCH('_Supporto Listone'!B285,Asta!$B$4:$B$47,0)),IF(COUNTIF(Asta!$D$4:$D$47,'_Supporto Listone'!B285)&gt;0,INDEX(Asta!$E$4:$E$47,MATCH('_Supporto Listone'!B285,Asta!$D$4:$D$47,0)),IF(COUNTIF(Asta!$F$4:$F$47,'_Supporto Listone'!B285)&gt;0,INDEX(Asta!$G$4:$G$47,MATCH('_Supporto Listone'!B285,Asta!$F$4:$F$47,0)),IF(COUNTIF(Asta!$H$4:$H$47,'_Supporto Listone'!B285)&gt;0,INDEX(Asta!$I$4:$I$47,MATCH('_Supporto Listone'!B285,Asta!$H$4:$H$47,0)),IF(COUNTIF(Asta!$J$4:$J$47,'_Supporto Listone'!B285)&gt;0,INDEX(Asta!$K$4:$K$47,MATCH('_Supporto Listone'!B285,Asta!$J$4:$J$47,0)),IF(COUNTIF(Asta!$L$4:$L$47,'_Supporto Listone'!B285)&gt;0,INDEX(Asta!$M$4:$M$47,MATCH('_Supporto Listone'!B285,Asta!$L$4:$L$47,0)),IF(COUNTIF(Asta!$N$4:$N$47,'_Supporto Listone'!B285)&gt;0,INDEX(Asta!$O$4:$O$47,MATCH('_Supporto Listone'!B285,Asta!$N$4:$N$47,0)),IF(COUNTIF(Asta!$P$4:$P$47,'_Supporto Listone'!B285)&gt;0,INDEX(Asta!$Q$4:$Q$47,MATCH('_Supporto Listone'!B285,Asta!$P$4:$P$47,0)),IF(COUNTIF(Asta!$R$4:$R$47,'_Supporto Listone'!B285)&gt;0,INDEX(Asta!$S$4:$S$47,MATCH('_Supporto Listone'!B285,Asta!$R$4:$R$47,0)),IF(COUNTIF(Asta!$T$4:$T$47,'_Supporto Listone'!B285)&gt;0,INDEX(Asta!$U$4:$U$47,MATCH('_Supporto Listone'!B285,Asta!$T$4:$T$47,0)),""))))))))))</x:f>
      </x:c>
    </x:row>
    <x:row r="286">
      <x:c r="A286" s="440" t="str">
        <x:f>IF($J286&lt;&gt;"",REGEXREPLACE(TO_TEXT('_Supporto Listone'!A286),"(.)","$1"&amp;UNICHAR(822)),'_Supporto Listone'!A286)</x:f>
        <x:v>C</x:v>
      </x:c>
      <x:c r="B286" s="441" t="str">
        <x:f>IF($J286&lt;&gt;"",REGEXREPLACE(TO_TEXT('_Supporto Listone'!B286),"(.)","$1"&amp;UNICHAR(822)),'_Supporto Listone'!B286)</x:f>
        <x:v>Bernardeschi</x:v>
      </x:c>
      <x:c r="C286" s="441" t="str">
        <x:f>IF($J286&lt;&gt;"",REGEXREPLACE(TO_TEXT('_Supporto Listone'!C286),"(.)","$1"&amp;UNICHAR(822)),'_Supporto Listone'!C286)</x:f>
        <x:v>Bologna</x:v>
      </x:c>
      <x:c r="D286" s="441" t="str">
        <x:f>IF($J286&lt;&gt;"",REGEXREPLACE(TO_TEXT('_Supporto Listone'!D286),"(.)","$1"&amp;UNICHAR(822)),'_Supporto Listone'!D286)</x:f>
        <x:v>W;T</x:v>
      </x:c>
      <x:c r="E286" s="441" t="str">
        <x:f>IF($J286&lt;&gt;"",REGEXREPLACE(TO_TEXT('_Supporto Listone'!E286),"(.)","$1"&amp;UNICHAR(822)),'_Supporto Listone'!E286)</x:f>
        <x:v>Ballottaggio</x:v>
      </x:c>
      <x:c r="F286" s="464" t="n">
        <x:f>IF($J286&lt;&gt;"",REGEXREPLACE(TO_TEXT('_Supporto Listone'!F286),"(.)","$1"&amp;UNICHAR(822)),'_Supporto Listone'!F286)</x:f>
        <x:v>9</x:v>
      </x:c>
      <x:c r="G286" s="464" t="n">
        <x:f>IF($J286&lt;&gt;"",REGEXREPLACE(TO_TEXT('_Supporto Listone'!G286),"(.)","$1"&amp;UNICHAR(822)),'_Supporto Listone'!G286)</x:f>
        <x:v>21</x:v>
      </x:c>
      <x:c r="H286" s="464" t="n">
        <x:f>IF($J286&lt;&gt;"",REGEXREPLACE(TO_TEXT('_Supporto Listone'!H286),"(.)","$1"&amp;UNICHAR(822)),'_Supporto Listone'!H286)</x:f>
        <x:v>11</x:v>
      </x:c>
      <x:c r="I286" s="442" t="str">
        <x:f>IF($J286&lt;&gt;"",REGEXREPLACE(TO_TEXT('_Supporto Listone'!I286),"(.)","$1"&amp;UNICHAR(822)),'_Supporto Listone'!I286)</x:f>
        <x:v>Rigorista · Piazzati</x:v>
      </x:c>
      <x:c r="J286" s="441" t="str">
        <x:f>IF(COUNTIF(Asta!$B$4:$B$47,'_Supporto Listone'!B286)&gt;0,"Simone",IF(COUNTIF(Asta!$D$4:$D$47,'_Supporto Listone'!B286)&gt;0,"Giacomo",IF(COUNTIF(Asta!$F$4:$F$47,'_Supporto Listone'!B286)&gt;0,"Niko",IF(COUNTIF(Asta!$H$4:$H$47,'_Supporto Listone'!B286)&gt;0,"Quici",IF(COUNTIF(Asta!$J$4:$J$47,'_Supporto Listone'!B286)&gt;0,"Fratello Quici",IF(COUNTIF(Asta!$L$4:$L$47,'_Supporto Listone'!B286)&gt;0,"Nicolò",IF(COUNTIF(Asta!$N$4:$N$47,'_Supporto Listone'!B286)&gt;0,"Vi",IF(COUNTIF(Asta!$P$4:$P$47,'_Supporto Listone'!B286)&gt;0,"Lore",IF(COUNTIF(Asta!$R$4:$R$47,'_Supporto Listone'!B286)&gt;0,"Robbo",IF(COUNTIF(Asta!$T$4:$T$47,'_Supporto Listone'!B286)&gt;0,"Ale",""))))))))))</x:f>
      </x:c>
      <x:c r="K286" s="495" t="str">
        <x:f>IF(COUNTIF(Asta!$B$4:$B$47,'_Supporto Listone'!B286)&gt;0,INDEX(Asta!$C$4:$C$47,MATCH('_Supporto Listone'!B286,Asta!$B$4:$B$47,0)),IF(COUNTIF(Asta!$D$4:$D$47,'_Supporto Listone'!B286)&gt;0,INDEX(Asta!$E$4:$E$47,MATCH('_Supporto Listone'!B286,Asta!$D$4:$D$47,0)),IF(COUNTIF(Asta!$F$4:$F$47,'_Supporto Listone'!B286)&gt;0,INDEX(Asta!$G$4:$G$47,MATCH('_Supporto Listone'!B286,Asta!$F$4:$F$47,0)),IF(COUNTIF(Asta!$H$4:$H$47,'_Supporto Listone'!B286)&gt;0,INDEX(Asta!$I$4:$I$47,MATCH('_Supporto Listone'!B286,Asta!$H$4:$H$47,0)),IF(COUNTIF(Asta!$J$4:$J$47,'_Supporto Listone'!B286)&gt;0,INDEX(Asta!$K$4:$K$47,MATCH('_Supporto Listone'!B286,Asta!$J$4:$J$47,0)),IF(COUNTIF(Asta!$L$4:$L$47,'_Supporto Listone'!B286)&gt;0,INDEX(Asta!$M$4:$M$47,MATCH('_Supporto Listone'!B286,Asta!$L$4:$L$47,0)),IF(COUNTIF(Asta!$N$4:$N$47,'_Supporto Listone'!B286)&gt;0,INDEX(Asta!$O$4:$O$47,MATCH('_Supporto Listone'!B286,Asta!$N$4:$N$47,0)),IF(COUNTIF(Asta!$P$4:$P$47,'_Supporto Listone'!B286)&gt;0,INDEX(Asta!$Q$4:$Q$47,MATCH('_Supporto Listone'!B286,Asta!$P$4:$P$47,0)),IF(COUNTIF(Asta!$R$4:$R$47,'_Supporto Listone'!B286)&gt;0,INDEX(Asta!$S$4:$S$47,MATCH('_Supporto Listone'!B286,Asta!$R$4:$R$47,0)),IF(COUNTIF(Asta!$T$4:$T$47,'_Supporto Listone'!B286)&gt;0,INDEX(Asta!$U$4:$U$47,MATCH('_Supporto Listone'!B286,Asta!$T$4:$T$47,0)),""))))))))))</x:f>
      </x:c>
    </x:row>
    <x:row r="287">
      <x:c r="A287" s="440" t="str">
        <x:f>IF($J287&lt;&gt;"",REGEXREPLACE(TO_TEXT('_Supporto Listone'!A287),"(.)","$1"&amp;UNICHAR(822)),'_Supporto Listone'!A287)</x:f>
        <x:v>C</x:v>
      </x:c>
      <x:c r="B287" s="441" t="str">
        <x:f>IF($J287&lt;&gt;"",REGEXREPLACE(TO_TEXT('_Supporto Listone'!B287),"(.)","$1"&amp;UNICHAR(822)),'_Supporto Listone'!B287)</x:f>
        <x:v>Mandragora</x:v>
      </x:c>
      <x:c r="C287" s="441" t="str">
        <x:f>IF($J287&lt;&gt;"",REGEXREPLACE(TO_TEXT('_Supporto Listone'!C287),"(.)","$1"&amp;UNICHAR(822)),'_Supporto Listone'!C287)</x:f>
        <x:v>Fiorentina</x:v>
      </x:c>
      <x:c r="D287" s="441" t="str">
        <x:f>IF($J287&lt;&gt;"",REGEXREPLACE(TO_TEXT('_Supporto Listone'!D287),"(.)","$1"&amp;UNICHAR(822)),'_Supporto Listone'!D287)</x:f>
        <x:v>C</x:v>
      </x:c>
      <x:c r="E287" s="441" t="str">
        <x:f>IF($J287&lt;&gt;"",REGEXREPLACE(TO_TEXT('_Supporto Listone'!E287),"(.)","$1"&amp;UNICHAR(822)),'_Supporto Listone'!E287)</x:f>
        <x:v>Riserva / rotazione</x:v>
      </x:c>
      <x:c r="F287" s="464" t="n">
        <x:f>IF($J287&lt;&gt;"",REGEXREPLACE(TO_TEXT('_Supporto Listone'!F287),"(.)","$1"&amp;UNICHAR(822)),'_Supporto Listone'!F287)</x:f>
        <x:v>9</x:v>
      </x:c>
      <x:c r="G287" s="464" t="n">
        <x:f>IF($J287&lt;&gt;"",REGEXREPLACE(TO_TEXT('_Supporto Listone'!G287),"(.)","$1"&amp;UNICHAR(822)),'_Supporto Listone'!G287)</x:f>
        <x:v>28</x:v>
      </x:c>
      <x:c r="H287" s="464" t="n">
        <x:f>IF($J287&lt;&gt;"",REGEXREPLACE(TO_TEXT('_Supporto Listone'!H287),"(.)","$1"&amp;UNICHAR(822)),'_Supporto Listone'!H287)</x:f>
        <x:v>14</x:v>
      </x:c>
      <x:c r="I287" s="442"/>
      <x:c r="J287" s="441" t="str">
        <x:f>IF(COUNTIF(Asta!$B$4:$B$47,'_Supporto Listone'!B287)&gt;0,"Simone",IF(COUNTIF(Asta!$D$4:$D$47,'_Supporto Listone'!B287)&gt;0,"Giacomo",IF(COUNTIF(Asta!$F$4:$F$47,'_Supporto Listone'!B287)&gt;0,"Niko",IF(COUNTIF(Asta!$H$4:$H$47,'_Supporto Listone'!B287)&gt;0,"Quici",IF(COUNTIF(Asta!$J$4:$J$47,'_Supporto Listone'!B287)&gt;0,"Fratello Quici",IF(COUNTIF(Asta!$L$4:$L$47,'_Supporto Listone'!B287)&gt;0,"Nicolò",IF(COUNTIF(Asta!$N$4:$N$47,'_Supporto Listone'!B287)&gt;0,"Vi",IF(COUNTIF(Asta!$P$4:$P$47,'_Supporto Listone'!B287)&gt;0,"Lore",IF(COUNTIF(Asta!$R$4:$R$47,'_Supporto Listone'!B287)&gt;0,"Robbo",IF(COUNTIF(Asta!$T$4:$T$47,'_Supporto Listone'!B287)&gt;0,"Ale",""))))))))))</x:f>
      </x:c>
      <x:c r="K287" s="495" t="str">
        <x:f>IF(COUNTIF(Asta!$B$4:$B$47,'_Supporto Listone'!B287)&gt;0,INDEX(Asta!$C$4:$C$47,MATCH('_Supporto Listone'!B287,Asta!$B$4:$B$47,0)),IF(COUNTIF(Asta!$D$4:$D$47,'_Supporto Listone'!B287)&gt;0,INDEX(Asta!$E$4:$E$47,MATCH('_Supporto Listone'!B287,Asta!$D$4:$D$47,0)),IF(COUNTIF(Asta!$F$4:$F$47,'_Supporto Listone'!B287)&gt;0,INDEX(Asta!$G$4:$G$47,MATCH('_Supporto Listone'!B287,Asta!$F$4:$F$47,0)),IF(COUNTIF(Asta!$H$4:$H$47,'_Supporto Listone'!B287)&gt;0,INDEX(Asta!$I$4:$I$47,MATCH('_Supporto Listone'!B287,Asta!$H$4:$H$47,0)),IF(COUNTIF(Asta!$J$4:$J$47,'_Supporto Listone'!B287)&gt;0,INDEX(Asta!$K$4:$K$47,MATCH('_Supporto Listone'!B287,Asta!$J$4:$J$47,0)),IF(COUNTIF(Asta!$L$4:$L$47,'_Supporto Listone'!B287)&gt;0,INDEX(Asta!$M$4:$M$47,MATCH('_Supporto Listone'!B287,Asta!$L$4:$L$47,0)),IF(COUNTIF(Asta!$N$4:$N$47,'_Supporto Listone'!B287)&gt;0,INDEX(Asta!$O$4:$O$47,MATCH('_Supporto Listone'!B287,Asta!$N$4:$N$47,0)),IF(COUNTIF(Asta!$P$4:$P$47,'_Supporto Listone'!B287)&gt;0,INDEX(Asta!$Q$4:$Q$47,MATCH('_Supporto Listone'!B287,Asta!$P$4:$P$47,0)),IF(COUNTIF(Asta!$R$4:$R$47,'_Supporto Listone'!B287)&gt;0,INDEX(Asta!$S$4:$S$47,MATCH('_Supporto Listone'!B287,Asta!$R$4:$R$47,0)),IF(COUNTIF(Asta!$T$4:$T$47,'_Supporto Listone'!B287)&gt;0,INDEX(Asta!$U$4:$U$47,MATCH('_Supporto Listone'!B287,Asta!$T$4:$T$47,0)),""))))))))))</x:f>
      </x:c>
    </x:row>
    <x:row r="288">
      <x:c r="A288" s="440" t="str">
        <x:f>IF($J288&lt;&gt;"",REGEXREPLACE(TO_TEXT('_Supporto Listone'!A288),"(.)","$1"&amp;UNICHAR(822)),'_Supporto Listone'!A288)</x:f>
        <x:v>C</x:v>
      </x:c>
      <x:c r="B288" s="441" t="str">
        <x:f>IF($J288&lt;&gt;"",REGEXREPLACE(TO_TEXT('_Supporto Listone'!B288),"(.)","$1"&amp;UNICHAR(822)),'_Supporto Listone'!B288)</x:f>
        <x:v>Cancellieri</x:v>
      </x:c>
      <x:c r="C288" s="441" t="str">
        <x:f>IF($J288&lt;&gt;"",REGEXREPLACE(TO_TEXT('_Supporto Listone'!C288),"(.)","$1"&amp;UNICHAR(822)),'_Supporto Listone'!C288)</x:f>
        <x:v>Lazio</x:v>
      </x:c>
      <x:c r="D288" s="441" t="str">
        <x:f>IF($J288&lt;&gt;"",REGEXREPLACE(TO_TEXT('_Supporto Listone'!D288),"(.)","$1"&amp;UNICHAR(822)),'_Supporto Listone'!D288)</x:f>
        <x:v>W;A</x:v>
      </x:c>
      <x:c r="E288" s="441" t="str">
        <x:f>IF($J288&lt;&gt;"",REGEXREPLACE(TO_TEXT('_Supporto Listone'!E288),"(.)","$1"&amp;UNICHAR(822)),'_Supporto Listone'!E288)</x:f>
        <x:v>Ballottaggio</x:v>
      </x:c>
      <x:c r="F288" s="464" t="n">
        <x:f>IF($J288&lt;&gt;"",REGEXREPLACE(TO_TEXT('_Supporto Listone'!F288),"(.)","$1"&amp;UNICHAR(822)),'_Supporto Listone'!F288)</x:f>
        <x:v>9</x:v>
      </x:c>
      <x:c r="G288" s="464" t="n">
        <x:f>IF($J288&lt;&gt;"",REGEXREPLACE(TO_TEXT('_Supporto Listone'!G288),"(.)","$1"&amp;UNICHAR(822)),'_Supporto Listone'!G288)</x:f>
        <x:v>28</x:v>
      </x:c>
      <x:c r="H288" s="464" t="n">
        <x:f>IF($J288&lt;&gt;"",REGEXREPLACE(TO_TEXT('_Supporto Listone'!H288),"(.)","$1"&amp;UNICHAR(822)),'_Supporto Listone'!H288)</x:f>
        <x:v>14</x:v>
      </x:c>
      <x:c r="I288" s="442"/>
      <x:c r="J288" s="441" t="str">
        <x:f>IF(COUNTIF(Asta!$B$4:$B$47,'_Supporto Listone'!B288)&gt;0,"Simone",IF(COUNTIF(Asta!$D$4:$D$47,'_Supporto Listone'!B288)&gt;0,"Giacomo",IF(COUNTIF(Asta!$F$4:$F$47,'_Supporto Listone'!B288)&gt;0,"Niko",IF(COUNTIF(Asta!$H$4:$H$47,'_Supporto Listone'!B288)&gt;0,"Quici",IF(COUNTIF(Asta!$J$4:$J$47,'_Supporto Listone'!B288)&gt;0,"Fratello Quici",IF(COUNTIF(Asta!$L$4:$L$47,'_Supporto Listone'!B288)&gt;0,"Nicolò",IF(COUNTIF(Asta!$N$4:$N$47,'_Supporto Listone'!B288)&gt;0,"Vi",IF(COUNTIF(Asta!$P$4:$P$47,'_Supporto Listone'!B288)&gt;0,"Lore",IF(COUNTIF(Asta!$R$4:$R$47,'_Supporto Listone'!B288)&gt;0,"Robbo",IF(COUNTIF(Asta!$T$4:$T$47,'_Supporto Listone'!B288)&gt;0,"Ale",""))))))))))</x:f>
      </x:c>
      <x:c r="K288" s="495" t="str">
        <x:f>IF(COUNTIF(Asta!$B$4:$B$47,'_Supporto Listone'!B288)&gt;0,INDEX(Asta!$C$4:$C$47,MATCH('_Supporto Listone'!B288,Asta!$B$4:$B$47,0)),IF(COUNTIF(Asta!$D$4:$D$47,'_Supporto Listone'!B288)&gt;0,INDEX(Asta!$E$4:$E$47,MATCH('_Supporto Listone'!B288,Asta!$D$4:$D$47,0)),IF(COUNTIF(Asta!$F$4:$F$47,'_Supporto Listone'!B288)&gt;0,INDEX(Asta!$G$4:$G$47,MATCH('_Supporto Listone'!B288,Asta!$F$4:$F$47,0)),IF(COUNTIF(Asta!$H$4:$H$47,'_Supporto Listone'!B288)&gt;0,INDEX(Asta!$I$4:$I$47,MATCH('_Supporto Listone'!B288,Asta!$H$4:$H$47,0)),IF(COUNTIF(Asta!$J$4:$J$47,'_Supporto Listone'!B288)&gt;0,INDEX(Asta!$K$4:$K$47,MATCH('_Supporto Listone'!B288,Asta!$J$4:$J$47,0)),IF(COUNTIF(Asta!$L$4:$L$47,'_Supporto Listone'!B288)&gt;0,INDEX(Asta!$M$4:$M$47,MATCH('_Supporto Listone'!B288,Asta!$L$4:$L$47,0)),IF(COUNTIF(Asta!$N$4:$N$47,'_Supporto Listone'!B288)&gt;0,INDEX(Asta!$O$4:$O$47,MATCH('_Supporto Listone'!B288,Asta!$N$4:$N$47,0)),IF(COUNTIF(Asta!$P$4:$P$47,'_Supporto Listone'!B288)&gt;0,INDEX(Asta!$Q$4:$Q$47,MATCH('_Supporto Listone'!B288,Asta!$P$4:$P$47,0)),IF(COUNTIF(Asta!$R$4:$R$47,'_Supporto Listone'!B288)&gt;0,INDEX(Asta!$S$4:$S$47,MATCH('_Supporto Listone'!B288,Asta!$R$4:$R$47,0)),IF(COUNTIF(Asta!$T$4:$T$47,'_Supporto Listone'!B288)&gt;0,INDEX(Asta!$U$4:$U$47,MATCH('_Supporto Listone'!B288,Asta!$T$4:$T$47,0)),""))))))))))</x:f>
      </x:c>
    </x:row>
    <x:row r="289">
      <x:c r="A289" s="440" t="str">
        <x:f>IF($J289&lt;&gt;"",REGEXREPLACE(TO_TEXT('_Supporto Listone'!A289),"(.)","$1"&amp;UNICHAR(822)),'_Supporto Listone'!A289)</x:f>
        <x:v>C</x:v>
      </x:c>
      <x:c r="B289" s="441" t="str">
        <x:f>IF($J289&lt;&gt;"",REGEXREPLACE(TO_TEXT('_Supporto Listone'!B289),"(.)","$1"&amp;UNICHAR(822)),'_Supporto Listone'!B289)</x:f>
        <x:v>Isaksen</x:v>
      </x:c>
      <x:c r="C289" s="441" t="str">
        <x:f>IF($J289&lt;&gt;"",REGEXREPLACE(TO_TEXT('_Supporto Listone'!C289),"(.)","$1"&amp;UNICHAR(822)),'_Supporto Listone'!C289)</x:f>
        <x:v>Lazio</x:v>
      </x:c>
      <x:c r="D289" s="441" t="str">
        <x:f>IF($J289&lt;&gt;"",REGEXREPLACE(TO_TEXT('_Supporto Listone'!D289),"(.)","$1"&amp;UNICHAR(822)),'_Supporto Listone'!D289)</x:f>
        <x:v>W;A</x:v>
      </x:c>
      <x:c r="E289" s="441" t="str">
        <x:f>IF($J289&lt;&gt;"",REGEXREPLACE(TO_TEXT('_Supporto Listone'!E289),"(.)","$1"&amp;UNICHAR(822)),'_Supporto Listone'!E289)</x:f>
        <x:v>Titolare / ballottaggio</x:v>
      </x:c>
      <x:c r="F289" s="464" t="n">
        <x:f>IF($J289&lt;&gt;"",REGEXREPLACE(TO_TEXT('_Supporto Listone'!F289),"(.)","$1"&amp;UNICHAR(822)),'_Supporto Listone'!F289)</x:f>
        <x:v>9</x:v>
      </x:c>
      <x:c r="G289" s="464" t="n">
        <x:f>IF($J289&lt;&gt;"",REGEXREPLACE(TO_TEXT('_Supporto Listone'!G289),"(.)","$1"&amp;UNICHAR(822)),'_Supporto Listone'!G289)</x:f>
        <x:v>25</x:v>
      </x:c>
      <x:c r="H289" s="464" t="n">
        <x:f>IF($J289&lt;&gt;"",REGEXREPLACE(TO_TEXT('_Supporto Listone'!H289),"(.)","$1"&amp;UNICHAR(822)),'_Supporto Listone'!H289)</x:f>
        <x:v>13</x:v>
      </x:c>
      <x:c r="I289" s="442"/>
      <x:c r="J289" s="441" t="str">
        <x:f>IF(COUNTIF(Asta!$B$4:$B$47,'_Supporto Listone'!B289)&gt;0,"Simone",IF(COUNTIF(Asta!$D$4:$D$47,'_Supporto Listone'!B289)&gt;0,"Giacomo",IF(COUNTIF(Asta!$F$4:$F$47,'_Supporto Listone'!B289)&gt;0,"Niko",IF(COUNTIF(Asta!$H$4:$H$47,'_Supporto Listone'!B289)&gt;0,"Quici",IF(COUNTIF(Asta!$J$4:$J$47,'_Supporto Listone'!B289)&gt;0,"Fratello Quici",IF(COUNTIF(Asta!$L$4:$L$47,'_Supporto Listone'!B289)&gt;0,"Nicolò",IF(COUNTIF(Asta!$N$4:$N$47,'_Supporto Listone'!B289)&gt;0,"Vi",IF(COUNTIF(Asta!$P$4:$P$47,'_Supporto Listone'!B289)&gt;0,"Lore",IF(COUNTIF(Asta!$R$4:$R$47,'_Supporto Listone'!B289)&gt;0,"Robbo",IF(COUNTIF(Asta!$T$4:$T$47,'_Supporto Listone'!B289)&gt;0,"Ale",""))))))))))</x:f>
      </x:c>
      <x:c r="K289" s="495" t="str">
        <x:f>IF(COUNTIF(Asta!$B$4:$B$47,'_Supporto Listone'!B289)&gt;0,INDEX(Asta!$C$4:$C$47,MATCH('_Supporto Listone'!B289,Asta!$B$4:$B$47,0)),IF(COUNTIF(Asta!$D$4:$D$47,'_Supporto Listone'!B289)&gt;0,INDEX(Asta!$E$4:$E$47,MATCH('_Supporto Listone'!B289,Asta!$D$4:$D$47,0)),IF(COUNTIF(Asta!$F$4:$F$47,'_Supporto Listone'!B289)&gt;0,INDEX(Asta!$G$4:$G$47,MATCH('_Supporto Listone'!B289,Asta!$F$4:$F$47,0)),IF(COUNTIF(Asta!$H$4:$H$47,'_Supporto Listone'!B289)&gt;0,INDEX(Asta!$I$4:$I$47,MATCH('_Supporto Listone'!B289,Asta!$H$4:$H$47,0)),IF(COUNTIF(Asta!$J$4:$J$47,'_Supporto Listone'!B289)&gt;0,INDEX(Asta!$K$4:$K$47,MATCH('_Supporto Listone'!B289,Asta!$J$4:$J$47,0)),IF(COUNTIF(Asta!$L$4:$L$47,'_Supporto Listone'!B289)&gt;0,INDEX(Asta!$M$4:$M$47,MATCH('_Supporto Listone'!B289,Asta!$L$4:$L$47,0)),IF(COUNTIF(Asta!$N$4:$N$47,'_Supporto Listone'!B289)&gt;0,INDEX(Asta!$O$4:$O$47,MATCH('_Supporto Listone'!B289,Asta!$N$4:$N$47,0)),IF(COUNTIF(Asta!$P$4:$P$47,'_Supporto Listone'!B289)&gt;0,INDEX(Asta!$Q$4:$Q$47,MATCH('_Supporto Listone'!B289,Asta!$P$4:$P$47,0)),IF(COUNTIF(Asta!$R$4:$R$47,'_Supporto Listone'!B289)&gt;0,INDEX(Asta!$S$4:$S$47,MATCH('_Supporto Listone'!B289,Asta!$R$4:$R$47,0)),IF(COUNTIF(Asta!$T$4:$T$47,'_Supporto Listone'!B289)&gt;0,INDEX(Asta!$U$4:$U$47,MATCH('_Supporto Listone'!B289,Asta!$T$4:$T$47,0)),""))))))))))</x:f>
      </x:c>
    </x:row>
    <x:row r="290">
      <x:c r="A290" s="440" t="str">
        <x:f>IF($J290&lt;&gt;"",REGEXREPLACE(TO_TEXT('_Supporto Listone'!A290),"(.)","$1"&amp;UNICHAR(822)),'_Supporto Listone'!A290)</x:f>
        <x:v>C</x:v>
      </x:c>
      <x:c r="B290" s="441" t="str">
        <x:f>IF($J290&lt;&gt;"",REGEXREPLACE(TO_TEXT('_Supporto Listone'!B290),"(.)","$1"&amp;UNICHAR(822)),'_Supporto Listone'!B290)</x:f>
        <x:v>Konè I.</x:v>
      </x:c>
      <x:c r="C290" s="441" t="str">
        <x:f>IF($J290&lt;&gt;"",REGEXREPLACE(TO_TEXT('_Supporto Listone'!C290),"(.)","$1"&amp;UNICHAR(822)),'_Supporto Listone'!C290)</x:f>
        <x:v>Sassuolo</x:v>
      </x:c>
      <x:c r="D290" s="441" t="str">
        <x:f>IF($J290&lt;&gt;"",REGEXREPLACE(TO_TEXT('_Supporto Listone'!D290),"(.)","$1"&amp;UNICHAR(822)),'_Supporto Listone'!D290)</x:f>
        <x:v>C</x:v>
      </x:c>
      <x:c r="E290" s="441" t="str">
        <x:f>IF($J290&lt;&gt;"",REGEXREPLACE(TO_TEXT('_Supporto Listone'!E290),"(.)","$1"&amp;UNICHAR(822)),'_Supporto Listone'!E290)</x:f>
        <x:v>Riserva / rotazione</x:v>
      </x:c>
      <x:c r="F290" s="464" t="n">
        <x:f>IF($J290&lt;&gt;"",REGEXREPLACE(TO_TEXT('_Supporto Listone'!F290),"(.)","$1"&amp;UNICHAR(822)),'_Supporto Listone'!F290)</x:f>
        <x:v>9</x:v>
      </x:c>
      <x:c r="G290" s="464" t="n">
        <x:f>IF($J290&lt;&gt;"",REGEXREPLACE(TO_TEXT('_Supporto Listone'!G290),"(.)","$1"&amp;UNICHAR(822)),'_Supporto Listone'!G290)</x:f>
        <x:v>20</x:v>
      </x:c>
      <x:c r="H290" s="464" t="n">
        <x:f>IF($J290&lt;&gt;"",REGEXREPLACE(TO_TEXT('_Supporto Listone'!H290),"(.)","$1"&amp;UNICHAR(822)),'_Supporto Listone'!H290)</x:f>
        <x:v>10</x:v>
      </x:c>
      <x:c r="I290" s="442"/>
      <x:c r="J290" s="441" t="str">
        <x:f>IF(COUNTIF(Asta!$B$4:$B$47,'_Supporto Listone'!B290)&gt;0,"Simone",IF(COUNTIF(Asta!$D$4:$D$47,'_Supporto Listone'!B290)&gt;0,"Giacomo",IF(COUNTIF(Asta!$F$4:$F$47,'_Supporto Listone'!B290)&gt;0,"Niko",IF(COUNTIF(Asta!$H$4:$H$47,'_Supporto Listone'!B290)&gt;0,"Quici",IF(COUNTIF(Asta!$J$4:$J$47,'_Supporto Listone'!B290)&gt;0,"Fratello Quici",IF(COUNTIF(Asta!$L$4:$L$47,'_Supporto Listone'!B290)&gt;0,"Nicolò",IF(COUNTIF(Asta!$N$4:$N$47,'_Supporto Listone'!B290)&gt;0,"Vi",IF(COUNTIF(Asta!$P$4:$P$47,'_Supporto Listone'!B290)&gt;0,"Lore",IF(COUNTIF(Asta!$R$4:$R$47,'_Supporto Listone'!B290)&gt;0,"Robbo",IF(COUNTIF(Asta!$T$4:$T$47,'_Supporto Listone'!B290)&gt;0,"Ale",""))))))))))</x:f>
      </x:c>
      <x:c r="K290" s="495" t="str">
        <x:f>IF(COUNTIF(Asta!$B$4:$B$47,'_Supporto Listone'!B290)&gt;0,INDEX(Asta!$C$4:$C$47,MATCH('_Supporto Listone'!B290,Asta!$B$4:$B$47,0)),IF(COUNTIF(Asta!$D$4:$D$47,'_Supporto Listone'!B290)&gt;0,INDEX(Asta!$E$4:$E$47,MATCH('_Supporto Listone'!B290,Asta!$D$4:$D$47,0)),IF(COUNTIF(Asta!$F$4:$F$47,'_Supporto Listone'!B290)&gt;0,INDEX(Asta!$G$4:$G$47,MATCH('_Supporto Listone'!B290,Asta!$F$4:$F$47,0)),IF(COUNTIF(Asta!$H$4:$H$47,'_Supporto Listone'!B290)&gt;0,INDEX(Asta!$I$4:$I$47,MATCH('_Supporto Listone'!B290,Asta!$H$4:$H$47,0)),IF(COUNTIF(Asta!$J$4:$J$47,'_Supporto Listone'!B290)&gt;0,INDEX(Asta!$K$4:$K$47,MATCH('_Supporto Listone'!B290,Asta!$J$4:$J$47,0)),IF(COUNTIF(Asta!$L$4:$L$47,'_Supporto Listone'!B290)&gt;0,INDEX(Asta!$M$4:$M$47,MATCH('_Supporto Listone'!B290,Asta!$L$4:$L$47,0)),IF(COUNTIF(Asta!$N$4:$N$47,'_Supporto Listone'!B290)&gt;0,INDEX(Asta!$O$4:$O$47,MATCH('_Supporto Listone'!B290,Asta!$N$4:$N$47,0)),IF(COUNTIF(Asta!$P$4:$P$47,'_Supporto Listone'!B290)&gt;0,INDEX(Asta!$Q$4:$Q$47,MATCH('_Supporto Listone'!B290,Asta!$P$4:$P$47,0)),IF(COUNTIF(Asta!$R$4:$R$47,'_Supporto Listone'!B290)&gt;0,INDEX(Asta!$S$4:$S$47,MATCH('_Supporto Listone'!B290,Asta!$R$4:$R$47,0)),IF(COUNTIF(Asta!$T$4:$T$47,'_Supporto Listone'!B290)&gt;0,INDEX(Asta!$U$4:$U$47,MATCH('_Supporto Listone'!B290,Asta!$T$4:$T$47,0)),""))))))))))</x:f>
      </x:c>
    </x:row>
    <x:row r="291">
      <x:c r="A291" s="440" t="str">
        <x:f>IF($J291&lt;&gt;"",REGEXREPLACE(TO_TEXT('_Supporto Listone'!A291),"(.)","$1"&amp;UNICHAR(822)),'_Supporto Listone'!A291)</x:f>
        <x:v>C</x:v>
      </x:c>
      <x:c r="B291" s="441" t="str">
        <x:f>IF($J291&lt;&gt;"",REGEXREPLACE(TO_TEXT('_Supporto Listone'!B291),"(.)","$1"&amp;UNICHAR(822)),'_Supporto Listone'!B291)</x:f>
        <x:v>Cambiaghi</x:v>
      </x:c>
      <x:c r="C291" s="441" t="str">
        <x:f>IF($J291&lt;&gt;"",REGEXREPLACE(TO_TEXT('_Supporto Listone'!C291),"(.)","$1"&amp;UNICHAR(822)),'_Supporto Listone'!C291)</x:f>
        <x:v>Bologna</x:v>
      </x:c>
      <x:c r="D291" s="441" t="str">
        <x:f>IF($J291&lt;&gt;"",REGEXREPLACE(TO_TEXT('_Supporto Listone'!D291),"(.)","$1"&amp;UNICHAR(822)),'_Supporto Listone'!D291)</x:f>
        <x:v>W;A</x:v>
      </x:c>
      <x:c r="E291" s="441" t="str">
        <x:f>IF($J291&lt;&gt;"",REGEXREPLACE(TO_TEXT('_Supporto Listone'!E291),"(.)","$1"&amp;UNICHAR(822)),'_Supporto Listone'!E291)</x:f>
        <x:v>Titolare / ballottaggio</x:v>
      </x:c>
      <x:c r="F291" s="464" t="n">
        <x:f>IF($J291&lt;&gt;"",REGEXREPLACE(TO_TEXT('_Supporto Listone'!F291),"(.)","$1"&amp;UNICHAR(822)),'_Supporto Listone'!F291)</x:f>
        <x:v>8</x:v>
      </x:c>
      <x:c r="G291" s="464" t="n">
        <x:f>IF($J291&lt;&gt;"",REGEXREPLACE(TO_TEXT('_Supporto Listone'!G291),"(.)","$1"&amp;UNICHAR(822)),'_Supporto Listone'!G291)</x:f>
        <x:v>25</x:v>
      </x:c>
      <x:c r="H291" s="464" t="n">
        <x:f>IF($J291&lt;&gt;"",REGEXREPLACE(TO_TEXT('_Supporto Listone'!H291),"(.)","$1"&amp;UNICHAR(822)),'_Supporto Listone'!H291)</x:f>
        <x:v>13</x:v>
      </x:c>
      <x:c r="I291" s="442"/>
      <x:c r="J291" s="441" t="str">
        <x:f>IF(COUNTIF(Asta!$B$4:$B$47,'_Supporto Listone'!B291)&gt;0,"Simone",IF(COUNTIF(Asta!$D$4:$D$47,'_Supporto Listone'!B291)&gt;0,"Giacomo",IF(COUNTIF(Asta!$F$4:$F$47,'_Supporto Listone'!B291)&gt;0,"Niko",IF(COUNTIF(Asta!$H$4:$H$47,'_Supporto Listone'!B291)&gt;0,"Quici",IF(COUNTIF(Asta!$J$4:$J$47,'_Supporto Listone'!B291)&gt;0,"Fratello Quici",IF(COUNTIF(Asta!$L$4:$L$47,'_Supporto Listone'!B291)&gt;0,"Nicolò",IF(COUNTIF(Asta!$N$4:$N$47,'_Supporto Listone'!B291)&gt;0,"Vi",IF(COUNTIF(Asta!$P$4:$P$47,'_Supporto Listone'!B291)&gt;0,"Lore",IF(COUNTIF(Asta!$R$4:$R$47,'_Supporto Listone'!B291)&gt;0,"Robbo",IF(COUNTIF(Asta!$T$4:$T$47,'_Supporto Listone'!B291)&gt;0,"Ale",""))))))))))</x:f>
      </x:c>
      <x:c r="K291" s="495" t="str">
        <x:f>IF(COUNTIF(Asta!$B$4:$B$47,'_Supporto Listone'!B291)&gt;0,INDEX(Asta!$C$4:$C$47,MATCH('_Supporto Listone'!B291,Asta!$B$4:$B$47,0)),IF(COUNTIF(Asta!$D$4:$D$47,'_Supporto Listone'!B291)&gt;0,INDEX(Asta!$E$4:$E$47,MATCH('_Supporto Listone'!B291,Asta!$D$4:$D$47,0)),IF(COUNTIF(Asta!$F$4:$F$47,'_Supporto Listone'!B291)&gt;0,INDEX(Asta!$G$4:$G$47,MATCH('_Supporto Listone'!B291,Asta!$F$4:$F$47,0)),IF(COUNTIF(Asta!$H$4:$H$47,'_Supporto Listone'!B291)&gt;0,INDEX(Asta!$I$4:$I$47,MATCH('_Supporto Listone'!B291,Asta!$H$4:$H$47,0)),IF(COUNTIF(Asta!$J$4:$J$47,'_Supporto Listone'!B291)&gt;0,INDEX(Asta!$K$4:$K$47,MATCH('_Supporto Listone'!B291,Asta!$J$4:$J$47,0)),IF(COUNTIF(Asta!$L$4:$L$47,'_Supporto Listone'!B291)&gt;0,INDEX(Asta!$M$4:$M$47,MATCH('_Supporto Listone'!B291,Asta!$L$4:$L$47,0)),IF(COUNTIF(Asta!$N$4:$N$47,'_Supporto Listone'!B291)&gt;0,INDEX(Asta!$O$4:$O$47,MATCH('_Supporto Listone'!B291,Asta!$N$4:$N$47,0)),IF(COUNTIF(Asta!$P$4:$P$47,'_Supporto Listone'!B291)&gt;0,INDEX(Asta!$Q$4:$Q$47,MATCH('_Supporto Listone'!B291,Asta!$P$4:$P$47,0)),IF(COUNTIF(Asta!$R$4:$R$47,'_Supporto Listone'!B291)&gt;0,INDEX(Asta!$S$4:$S$47,MATCH('_Supporto Listone'!B291,Asta!$R$4:$R$47,0)),IF(COUNTIF(Asta!$T$4:$T$47,'_Supporto Listone'!B291)&gt;0,INDEX(Asta!$U$4:$U$47,MATCH('_Supporto Listone'!B291,Asta!$T$4:$T$47,0)),""))))))))))</x:f>
      </x:c>
    </x:row>
    <x:row r="292">
      <x:c r="A292" s="440" t="str">
        <x:f>IF($J292&lt;&gt;"",REGEXREPLACE(TO_TEXT('_Supporto Listone'!A292),"(.)","$1"&amp;UNICHAR(822)),'_Supporto Listone'!A292)</x:f>
        <x:v>C</x:v>
      </x:c>
      <x:c r="B292" s="441" t="str">
        <x:f>IF($J292&lt;&gt;"",REGEXREPLACE(TO_TEXT('_Supporto Listone'!B292),"(.)","$1"&amp;UNICHAR(822)),'_Supporto Listone'!B292)</x:f>
        <x:v>Odgaard</x:v>
      </x:c>
      <x:c r="C292" s="441" t="str">
        <x:f>IF($J292&lt;&gt;"",REGEXREPLACE(TO_TEXT('_Supporto Listone'!C292),"(.)","$1"&amp;UNICHAR(822)),'_Supporto Listone'!C292)</x:f>
        <x:v>Bologna</x:v>
      </x:c>
      <x:c r="D292" s="441" t="str">
        <x:f>IF($J292&lt;&gt;"",REGEXREPLACE(TO_TEXT('_Supporto Listone'!D292),"(.)","$1"&amp;UNICHAR(822)),'_Supporto Listone'!D292)</x:f>
        <x:v>T</x:v>
      </x:c>
      <x:c r="E292" s="441" t="str">
        <x:f>IF($J292&lt;&gt;"",REGEXREPLACE(TO_TEXT('_Supporto Listone'!E292),"(.)","$1"&amp;UNICHAR(822)),'_Supporto Listone'!E292)</x:f>
        <x:v>Titolare / ballottaggio</x:v>
      </x:c>
      <x:c r="F292" s="464" t="n">
        <x:f>IF($J292&lt;&gt;"",REGEXREPLACE(TO_TEXT('_Supporto Listone'!F292),"(.)","$1"&amp;UNICHAR(822)),'_Supporto Listone'!F292)</x:f>
        <x:v>8</x:v>
      </x:c>
      <x:c r="G292" s="464" t="n">
        <x:f>IF($J292&lt;&gt;"",REGEXREPLACE(TO_TEXT('_Supporto Listone'!G292),"(.)","$1"&amp;UNICHAR(822)),'_Supporto Listone'!G292)</x:f>
        <x:v>22</x:v>
      </x:c>
      <x:c r="H292" s="464" t="n">
        <x:f>IF($J292&lt;&gt;"",REGEXREPLACE(TO_TEXT('_Supporto Listone'!H292),"(.)","$1"&amp;UNICHAR(822)),'_Supporto Listone'!H292)</x:f>
        <x:v>11</x:v>
      </x:c>
      <x:c r="I292" s="442"/>
      <x:c r="J292" s="441" t="str">
        <x:f>IF(COUNTIF(Asta!$B$4:$B$47,'_Supporto Listone'!B292)&gt;0,"Simone",IF(COUNTIF(Asta!$D$4:$D$47,'_Supporto Listone'!B292)&gt;0,"Giacomo",IF(COUNTIF(Asta!$F$4:$F$47,'_Supporto Listone'!B292)&gt;0,"Niko",IF(COUNTIF(Asta!$H$4:$H$47,'_Supporto Listone'!B292)&gt;0,"Quici",IF(COUNTIF(Asta!$J$4:$J$47,'_Supporto Listone'!B292)&gt;0,"Fratello Quici",IF(COUNTIF(Asta!$L$4:$L$47,'_Supporto Listone'!B292)&gt;0,"Nicolò",IF(COUNTIF(Asta!$N$4:$N$47,'_Supporto Listone'!B292)&gt;0,"Vi",IF(COUNTIF(Asta!$P$4:$P$47,'_Supporto Listone'!B292)&gt;0,"Lore",IF(COUNTIF(Asta!$R$4:$R$47,'_Supporto Listone'!B292)&gt;0,"Robbo",IF(COUNTIF(Asta!$T$4:$T$47,'_Supporto Listone'!B292)&gt;0,"Ale",""))))))))))</x:f>
      </x:c>
      <x:c r="K292" s="495" t="str">
        <x:f>IF(COUNTIF(Asta!$B$4:$B$47,'_Supporto Listone'!B292)&gt;0,INDEX(Asta!$C$4:$C$47,MATCH('_Supporto Listone'!B292,Asta!$B$4:$B$47,0)),IF(COUNTIF(Asta!$D$4:$D$47,'_Supporto Listone'!B292)&gt;0,INDEX(Asta!$E$4:$E$47,MATCH('_Supporto Listone'!B292,Asta!$D$4:$D$47,0)),IF(COUNTIF(Asta!$F$4:$F$47,'_Supporto Listone'!B292)&gt;0,INDEX(Asta!$G$4:$G$47,MATCH('_Supporto Listone'!B292,Asta!$F$4:$F$47,0)),IF(COUNTIF(Asta!$H$4:$H$47,'_Supporto Listone'!B292)&gt;0,INDEX(Asta!$I$4:$I$47,MATCH('_Supporto Listone'!B292,Asta!$H$4:$H$47,0)),IF(COUNTIF(Asta!$J$4:$J$47,'_Supporto Listone'!B292)&gt;0,INDEX(Asta!$K$4:$K$47,MATCH('_Supporto Listone'!B292,Asta!$J$4:$J$47,0)),IF(COUNTIF(Asta!$L$4:$L$47,'_Supporto Listone'!B292)&gt;0,INDEX(Asta!$M$4:$M$47,MATCH('_Supporto Listone'!B292,Asta!$L$4:$L$47,0)),IF(COUNTIF(Asta!$N$4:$N$47,'_Supporto Listone'!B292)&gt;0,INDEX(Asta!$O$4:$O$47,MATCH('_Supporto Listone'!B292,Asta!$N$4:$N$47,0)),IF(COUNTIF(Asta!$P$4:$P$47,'_Supporto Listone'!B292)&gt;0,INDEX(Asta!$Q$4:$Q$47,MATCH('_Supporto Listone'!B292,Asta!$P$4:$P$47,0)),IF(COUNTIF(Asta!$R$4:$R$47,'_Supporto Listone'!B292)&gt;0,INDEX(Asta!$S$4:$S$47,MATCH('_Supporto Listone'!B292,Asta!$R$4:$R$47,0)),IF(COUNTIF(Asta!$T$4:$T$47,'_Supporto Listone'!B292)&gt;0,INDEX(Asta!$U$4:$U$47,MATCH('_Supporto Listone'!B292,Asta!$T$4:$T$47,0)),""))))))))))</x:f>
      </x:c>
    </x:row>
    <x:row r="293">
      <x:c r="A293" s="440" t="str">
        <x:f>IF($J293&lt;&gt;"",REGEXREPLACE(TO_TEXT('_Supporto Listone'!A293),"(.)","$1"&amp;UNICHAR(822)),'_Supporto Listone'!A293)</x:f>
        <x:v>C</x:v>
      </x:c>
      <x:c r="B293" s="441" t="str">
        <x:f>IF($J293&lt;&gt;"",REGEXREPLACE(TO_TEXT('_Supporto Listone'!B293),"(.)","$1"&amp;UNICHAR(822)),'_Supporto Listone'!B293)</x:f>
        <x:v>Fagioli</x:v>
      </x:c>
      <x:c r="C293" s="441" t="str">
        <x:f>IF($J293&lt;&gt;"",REGEXREPLACE(TO_TEXT('_Supporto Listone'!C293),"(.)","$1"&amp;UNICHAR(822)),'_Supporto Listone'!C293)</x:f>
        <x:v>Fiorentina</x:v>
      </x:c>
      <x:c r="D293" s="441" t="str">
        <x:f>IF($J293&lt;&gt;"",REGEXREPLACE(TO_TEXT('_Supporto Listone'!D293),"(.)","$1"&amp;UNICHAR(822)),'_Supporto Listone'!D293)</x:f>
        <x:v>M;C</x:v>
      </x:c>
      <x:c r="E293" s="441" t="str">
        <x:f>IF($J293&lt;&gt;"",REGEXREPLACE(TO_TEXT('_Supporto Listone'!E293),"(.)","$1"&amp;UNICHAR(822)),'_Supporto Listone'!E293)</x:f>
        <x:v>Titolare / ballottaggio</x:v>
      </x:c>
      <x:c r="F293" s="464" t="n">
        <x:f>IF($J293&lt;&gt;"",REGEXREPLACE(TO_TEXT('_Supporto Listone'!F293),"(.)","$1"&amp;UNICHAR(822)),'_Supporto Listone'!F293)</x:f>
        <x:v>8</x:v>
      </x:c>
      <x:c r="G293" s="464" t="n">
        <x:f>IF($J293&lt;&gt;"",REGEXREPLACE(TO_TEXT('_Supporto Listone'!G293),"(.)","$1"&amp;UNICHAR(822)),'_Supporto Listone'!G293)</x:f>
        <x:v>23</x:v>
      </x:c>
      <x:c r="H293" s="464" t="n">
        <x:f>IF($J293&lt;&gt;"",REGEXREPLACE(TO_TEXT('_Supporto Listone'!H293),"(.)","$1"&amp;UNICHAR(822)),'_Supporto Listone'!H293)</x:f>
        <x:v>12</x:v>
      </x:c>
      <x:c r="I293" s="442"/>
      <x:c r="J293" s="441" t="str">
        <x:f>IF(COUNTIF(Asta!$B$4:$B$47,'_Supporto Listone'!B293)&gt;0,"Simone",IF(COUNTIF(Asta!$D$4:$D$47,'_Supporto Listone'!B293)&gt;0,"Giacomo",IF(COUNTIF(Asta!$F$4:$F$47,'_Supporto Listone'!B293)&gt;0,"Niko",IF(COUNTIF(Asta!$H$4:$H$47,'_Supporto Listone'!B293)&gt;0,"Quici",IF(COUNTIF(Asta!$J$4:$J$47,'_Supporto Listone'!B293)&gt;0,"Fratello Quici",IF(COUNTIF(Asta!$L$4:$L$47,'_Supporto Listone'!B293)&gt;0,"Nicolò",IF(COUNTIF(Asta!$N$4:$N$47,'_Supporto Listone'!B293)&gt;0,"Vi",IF(COUNTIF(Asta!$P$4:$P$47,'_Supporto Listone'!B293)&gt;0,"Lore",IF(COUNTIF(Asta!$R$4:$R$47,'_Supporto Listone'!B293)&gt;0,"Robbo",IF(COUNTIF(Asta!$T$4:$T$47,'_Supporto Listone'!B293)&gt;0,"Ale",""))))))))))</x:f>
      </x:c>
      <x:c r="K293" s="495" t="str">
        <x:f>IF(COUNTIF(Asta!$B$4:$B$47,'_Supporto Listone'!B293)&gt;0,INDEX(Asta!$C$4:$C$47,MATCH('_Supporto Listone'!B293,Asta!$B$4:$B$47,0)),IF(COUNTIF(Asta!$D$4:$D$47,'_Supporto Listone'!B293)&gt;0,INDEX(Asta!$E$4:$E$47,MATCH('_Supporto Listone'!B293,Asta!$D$4:$D$47,0)),IF(COUNTIF(Asta!$F$4:$F$47,'_Supporto Listone'!B293)&gt;0,INDEX(Asta!$G$4:$G$47,MATCH('_Supporto Listone'!B293,Asta!$F$4:$F$47,0)),IF(COUNTIF(Asta!$H$4:$H$47,'_Supporto Listone'!B293)&gt;0,INDEX(Asta!$I$4:$I$47,MATCH('_Supporto Listone'!B293,Asta!$H$4:$H$47,0)),IF(COUNTIF(Asta!$J$4:$J$47,'_Supporto Listone'!B293)&gt;0,INDEX(Asta!$K$4:$K$47,MATCH('_Supporto Listone'!B293,Asta!$J$4:$J$47,0)),IF(COUNTIF(Asta!$L$4:$L$47,'_Supporto Listone'!B293)&gt;0,INDEX(Asta!$M$4:$M$47,MATCH('_Supporto Listone'!B293,Asta!$L$4:$L$47,0)),IF(COUNTIF(Asta!$N$4:$N$47,'_Supporto Listone'!B293)&gt;0,INDEX(Asta!$O$4:$O$47,MATCH('_Supporto Listone'!B293,Asta!$N$4:$N$47,0)),IF(COUNTIF(Asta!$P$4:$P$47,'_Supporto Listone'!B293)&gt;0,INDEX(Asta!$Q$4:$Q$47,MATCH('_Supporto Listone'!B293,Asta!$P$4:$P$47,0)),IF(COUNTIF(Asta!$R$4:$R$47,'_Supporto Listone'!B293)&gt;0,INDEX(Asta!$S$4:$S$47,MATCH('_Supporto Listone'!B293,Asta!$R$4:$R$47,0)),IF(COUNTIF(Asta!$T$4:$T$47,'_Supporto Listone'!B293)&gt;0,INDEX(Asta!$U$4:$U$47,MATCH('_Supporto Listone'!B293,Asta!$T$4:$T$47,0)),""))))))))))</x:f>
      </x:c>
    </x:row>
    <x:row r="294">
      <x:c r="A294" s="440" t="str">
        <x:f>IF($J294&lt;&gt;"",REGEXREPLACE(TO_TEXT('_Supporto Listone'!A294),"(.)","$1"&amp;UNICHAR(822)),'_Supporto Listone'!A294)</x:f>
        <x:v>C</x:v>
      </x:c>
      <x:c r="B294" s="441" t="str">
        <x:f>IF($J294&lt;&gt;"",REGEXREPLACE(TO_TEXT('_Supporto Listone'!B294),"(.)","$1"&amp;UNICHAR(822)),'_Supporto Listone'!B294)</x:f>
        <x:v>Ndour</x:v>
      </x:c>
      <x:c r="C294" s="441" t="str">
        <x:f>IF($J294&lt;&gt;"",REGEXREPLACE(TO_TEXT('_Supporto Listone'!C294),"(.)","$1"&amp;UNICHAR(822)),'_Supporto Listone'!C294)</x:f>
        <x:v>Fiorentina</x:v>
      </x:c>
      <x:c r="D294" s="441" t="str">
        <x:f>IF($J294&lt;&gt;"",REGEXREPLACE(TO_TEXT('_Supporto Listone'!D294),"(.)","$1"&amp;UNICHAR(822)),'_Supporto Listone'!D294)</x:f>
        <x:v>C</x:v>
      </x:c>
      <x:c r="E294" s="441" t="str">
        <x:f>IF($J294&lt;&gt;"",REGEXREPLACE(TO_TEXT('_Supporto Listone'!E294),"(.)","$1"&amp;UNICHAR(822)),'_Supporto Listone'!E294)</x:f>
        <x:v>Titolare</x:v>
      </x:c>
      <x:c r="F294" s="464" t="n">
        <x:f>IF($J294&lt;&gt;"",REGEXREPLACE(TO_TEXT('_Supporto Listone'!F294),"(.)","$1"&amp;UNICHAR(822)),'_Supporto Listone'!F294)</x:f>
        <x:v>8</x:v>
      </x:c>
      <x:c r="G294" s="464" t="n">
        <x:f>IF($J294&lt;&gt;"",REGEXREPLACE(TO_TEXT('_Supporto Listone'!G294),"(.)","$1"&amp;UNICHAR(822)),'_Supporto Listone'!G294)</x:f>
        <x:v>25</x:v>
      </x:c>
      <x:c r="H294" s="464" t="n">
        <x:f>IF($J294&lt;&gt;"",REGEXREPLACE(TO_TEXT('_Supporto Listone'!H294),"(.)","$1"&amp;UNICHAR(822)),'_Supporto Listone'!H294)</x:f>
        <x:v>13</x:v>
      </x:c>
      <x:c r="I294" s="442"/>
      <x:c r="J294" s="441" t="str">
        <x:f>IF(COUNTIF(Asta!$B$4:$B$47,'_Supporto Listone'!B294)&gt;0,"Simone",IF(COUNTIF(Asta!$D$4:$D$47,'_Supporto Listone'!B294)&gt;0,"Giacomo",IF(COUNTIF(Asta!$F$4:$F$47,'_Supporto Listone'!B294)&gt;0,"Niko",IF(COUNTIF(Asta!$H$4:$H$47,'_Supporto Listone'!B294)&gt;0,"Quici",IF(COUNTIF(Asta!$J$4:$J$47,'_Supporto Listone'!B294)&gt;0,"Fratello Quici",IF(COUNTIF(Asta!$L$4:$L$47,'_Supporto Listone'!B294)&gt;0,"Nicolò",IF(COUNTIF(Asta!$N$4:$N$47,'_Supporto Listone'!B294)&gt;0,"Vi",IF(COUNTIF(Asta!$P$4:$P$47,'_Supporto Listone'!B294)&gt;0,"Lore",IF(COUNTIF(Asta!$R$4:$R$47,'_Supporto Listone'!B294)&gt;0,"Robbo",IF(COUNTIF(Asta!$T$4:$T$47,'_Supporto Listone'!B294)&gt;0,"Ale",""))))))))))</x:f>
      </x:c>
      <x:c r="K294" s="495" t="str">
        <x:f>IF(COUNTIF(Asta!$B$4:$B$47,'_Supporto Listone'!B294)&gt;0,INDEX(Asta!$C$4:$C$47,MATCH('_Supporto Listone'!B294,Asta!$B$4:$B$47,0)),IF(COUNTIF(Asta!$D$4:$D$47,'_Supporto Listone'!B294)&gt;0,INDEX(Asta!$E$4:$E$47,MATCH('_Supporto Listone'!B294,Asta!$D$4:$D$47,0)),IF(COUNTIF(Asta!$F$4:$F$47,'_Supporto Listone'!B294)&gt;0,INDEX(Asta!$G$4:$G$47,MATCH('_Supporto Listone'!B294,Asta!$F$4:$F$47,0)),IF(COUNTIF(Asta!$H$4:$H$47,'_Supporto Listone'!B294)&gt;0,INDEX(Asta!$I$4:$I$47,MATCH('_Supporto Listone'!B294,Asta!$H$4:$H$47,0)),IF(COUNTIF(Asta!$J$4:$J$47,'_Supporto Listone'!B294)&gt;0,INDEX(Asta!$K$4:$K$47,MATCH('_Supporto Listone'!B294,Asta!$J$4:$J$47,0)),IF(COUNTIF(Asta!$L$4:$L$47,'_Supporto Listone'!B294)&gt;0,INDEX(Asta!$M$4:$M$47,MATCH('_Supporto Listone'!B294,Asta!$L$4:$L$47,0)),IF(COUNTIF(Asta!$N$4:$N$47,'_Supporto Listone'!B294)&gt;0,INDEX(Asta!$O$4:$O$47,MATCH('_Supporto Listone'!B294,Asta!$N$4:$N$47,0)),IF(COUNTIF(Asta!$P$4:$P$47,'_Supporto Listone'!B294)&gt;0,INDEX(Asta!$Q$4:$Q$47,MATCH('_Supporto Listone'!B294,Asta!$P$4:$P$47,0)),IF(COUNTIF(Asta!$R$4:$R$47,'_Supporto Listone'!B294)&gt;0,INDEX(Asta!$S$4:$S$47,MATCH('_Supporto Listone'!B294,Asta!$R$4:$R$47,0)),IF(COUNTIF(Asta!$T$4:$T$47,'_Supporto Listone'!B294)&gt;0,INDEX(Asta!$U$4:$U$47,MATCH('_Supporto Listone'!B294,Asta!$T$4:$T$47,0)),""))))))))))</x:f>
      </x:c>
    </x:row>
    <x:row r="295">
      <x:c r="A295" s="440" t="str">
        <x:f>IF($J295&lt;&gt;"",REGEXREPLACE(TO_TEXT('_Supporto Listone'!A295),"(.)","$1"&amp;UNICHAR(822)),'_Supporto Listone'!A295)</x:f>
        <x:v>C</x:v>
      </x:c>
      <x:c r="B295" s="441" t="str">
        <x:f>IF($J295&lt;&gt;"",REGEXREPLACE(TO_TEXT('_Supporto Listone'!B295),"(.)","$1"&amp;UNICHAR(822)),'_Supporto Listone'!B295)</x:f>
        <x:v>Diouf</x:v>
      </x:c>
      <x:c r="C295" s="441" t="str">
        <x:f>IF($J295&lt;&gt;"",REGEXREPLACE(TO_TEXT('_Supporto Listone'!C295),"(.)","$1"&amp;UNICHAR(822)),'_Supporto Listone'!C295)</x:f>
        <x:v>Inter</x:v>
      </x:c>
      <x:c r="D295" s="441" t="str">
        <x:f>IF($J295&lt;&gt;"",REGEXREPLACE(TO_TEXT('_Supporto Listone'!D295),"(.)","$1"&amp;UNICHAR(822)),'_Supporto Listone'!D295)</x:f>
        <x:v>E;C</x:v>
      </x:c>
      <x:c r="E295" s="441" t="str">
        <x:f>IF($J295&lt;&gt;"",REGEXREPLACE(TO_TEXT('_Supporto Listone'!E295),"(.)","$1"&amp;UNICHAR(822)),'_Supporto Listone'!E295)</x:f>
        <x:v>Ballottaggio</x:v>
      </x:c>
      <x:c r="F295" s="464" t="n">
        <x:f>IF($J295&lt;&gt;"",REGEXREPLACE(TO_TEXT('_Supporto Listone'!F295),"(.)","$1"&amp;UNICHAR(822)),'_Supporto Listone'!F295)</x:f>
        <x:v>8</x:v>
      </x:c>
      <x:c r="G295" s="464" t="n">
        <x:f>IF($J295&lt;&gt;"",REGEXREPLACE(TO_TEXT('_Supporto Listone'!G295),"(.)","$1"&amp;UNICHAR(822)),'_Supporto Listone'!G295)</x:f>
        <x:v>37</x:v>
      </x:c>
      <x:c r="H295" s="464" t="n">
        <x:f>IF($J295&lt;&gt;"",REGEXREPLACE(TO_TEXT('_Supporto Listone'!H295),"(.)","$1"&amp;UNICHAR(822)),'_Supporto Listone'!H295)</x:f>
        <x:v>19</x:v>
      </x:c>
      <x:c r="I295" s="442"/>
      <x:c r="J295" s="441" t="str">
        <x:f>IF(COUNTIF(Asta!$B$4:$B$47,'_Supporto Listone'!B295)&gt;0,"Simone",IF(COUNTIF(Asta!$D$4:$D$47,'_Supporto Listone'!B295)&gt;0,"Giacomo",IF(COUNTIF(Asta!$F$4:$F$47,'_Supporto Listone'!B295)&gt;0,"Niko",IF(COUNTIF(Asta!$H$4:$H$47,'_Supporto Listone'!B295)&gt;0,"Quici",IF(COUNTIF(Asta!$J$4:$J$47,'_Supporto Listone'!B295)&gt;0,"Fratello Quici",IF(COUNTIF(Asta!$L$4:$L$47,'_Supporto Listone'!B295)&gt;0,"Nicolò",IF(COUNTIF(Asta!$N$4:$N$47,'_Supporto Listone'!B295)&gt;0,"Vi",IF(COUNTIF(Asta!$P$4:$P$47,'_Supporto Listone'!B295)&gt;0,"Lore",IF(COUNTIF(Asta!$R$4:$R$47,'_Supporto Listone'!B295)&gt;0,"Robbo",IF(COUNTIF(Asta!$T$4:$T$47,'_Supporto Listone'!B295)&gt;0,"Ale",""))))))))))</x:f>
      </x:c>
      <x:c r="K295" s="495" t="str">
        <x:f>IF(COUNTIF(Asta!$B$4:$B$47,'_Supporto Listone'!B295)&gt;0,INDEX(Asta!$C$4:$C$47,MATCH('_Supporto Listone'!B295,Asta!$B$4:$B$47,0)),IF(COUNTIF(Asta!$D$4:$D$47,'_Supporto Listone'!B295)&gt;0,INDEX(Asta!$E$4:$E$47,MATCH('_Supporto Listone'!B295,Asta!$D$4:$D$47,0)),IF(COUNTIF(Asta!$F$4:$F$47,'_Supporto Listone'!B295)&gt;0,INDEX(Asta!$G$4:$G$47,MATCH('_Supporto Listone'!B295,Asta!$F$4:$F$47,0)),IF(COUNTIF(Asta!$H$4:$H$47,'_Supporto Listone'!B295)&gt;0,INDEX(Asta!$I$4:$I$47,MATCH('_Supporto Listone'!B295,Asta!$H$4:$H$47,0)),IF(COUNTIF(Asta!$J$4:$J$47,'_Supporto Listone'!B295)&gt;0,INDEX(Asta!$K$4:$K$47,MATCH('_Supporto Listone'!B295,Asta!$J$4:$J$47,0)),IF(COUNTIF(Asta!$L$4:$L$47,'_Supporto Listone'!B295)&gt;0,INDEX(Asta!$M$4:$M$47,MATCH('_Supporto Listone'!B295,Asta!$L$4:$L$47,0)),IF(COUNTIF(Asta!$N$4:$N$47,'_Supporto Listone'!B295)&gt;0,INDEX(Asta!$O$4:$O$47,MATCH('_Supporto Listone'!B295,Asta!$N$4:$N$47,0)),IF(COUNTIF(Asta!$P$4:$P$47,'_Supporto Listone'!B295)&gt;0,INDEX(Asta!$Q$4:$Q$47,MATCH('_Supporto Listone'!B295,Asta!$P$4:$P$47,0)),IF(COUNTIF(Asta!$R$4:$R$47,'_Supporto Listone'!B295)&gt;0,INDEX(Asta!$S$4:$S$47,MATCH('_Supporto Listone'!B295,Asta!$R$4:$R$47,0)),IF(COUNTIF(Asta!$T$4:$T$47,'_Supporto Listone'!B295)&gt;0,INDEX(Asta!$U$4:$U$47,MATCH('_Supporto Listone'!B295,Asta!$T$4:$T$47,0)),""))))))))))</x:f>
      </x:c>
    </x:row>
    <x:row r="296">
      <x:c r="A296" s="440" t="str">
        <x:f>IF($J296&lt;&gt;"",REGEXREPLACE(TO_TEXT('_Supporto Listone'!A296),"(.)","$1"&amp;UNICHAR(822)),'_Supporto Listone'!A296)</x:f>
        <x:v>C</x:v>
      </x:c>
      <x:c r="B296" s="441" t="str">
        <x:f>IF($J296&lt;&gt;"",REGEXREPLACE(TO_TEXT('_Supporto Listone'!B296),"(.)","$1"&amp;UNICHAR(822)),'_Supporto Listone'!B296)</x:f>
        <x:v>Sucic P.</x:v>
      </x:c>
      <x:c r="C296" s="441" t="str">
        <x:f>IF($J296&lt;&gt;"",REGEXREPLACE(TO_TEXT('_Supporto Listone'!C296),"(.)","$1"&amp;UNICHAR(822)),'_Supporto Listone'!C296)</x:f>
        <x:v>Inter</x:v>
      </x:c>
      <x:c r="D296" s="441" t="str">
        <x:f>IF($J296&lt;&gt;"",REGEXREPLACE(TO_TEXT('_Supporto Listone'!D296),"(.)","$1"&amp;UNICHAR(822)),'_Supporto Listone'!D296)</x:f>
        <x:v>C</x:v>
      </x:c>
      <x:c r="E296" s="441" t="str">
        <x:f>IF($J296&lt;&gt;"",REGEXREPLACE(TO_TEXT('_Supporto Listone'!E296),"(.)","$1"&amp;UNICHAR(822)),'_Supporto Listone'!E296)</x:f>
        <x:v>Riserva / rotazione</x:v>
      </x:c>
      <x:c r="F296" s="464" t="n">
        <x:f>IF($J296&lt;&gt;"",REGEXREPLACE(TO_TEXT('_Supporto Listone'!F296),"(.)","$1"&amp;UNICHAR(822)),'_Supporto Listone'!F296)</x:f>
        <x:v>8</x:v>
      </x:c>
      <x:c r="G296" s="464" t="n">
        <x:f>IF($J296&lt;&gt;"",REGEXREPLACE(TO_TEXT('_Supporto Listone'!G296),"(.)","$1"&amp;UNICHAR(822)),'_Supporto Listone'!G296)</x:f>
        <x:v>26</x:v>
      </x:c>
      <x:c r="H296" s="464" t="n">
        <x:f>IF($J296&lt;&gt;"",REGEXREPLACE(TO_TEXT('_Supporto Listone'!H296),"(.)","$1"&amp;UNICHAR(822)),'_Supporto Listone'!H296)</x:f>
        <x:v>13</x:v>
      </x:c>
      <x:c r="I296" s="442"/>
      <x:c r="J296" s="441" t="str">
        <x:f>IF(COUNTIF(Asta!$B$4:$B$47,'_Supporto Listone'!B296)&gt;0,"Simone",IF(COUNTIF(Asta!$D$4:$D$47,'_Supporto Listone'!B296)&gt;0,"Giacomo",IF(COUNTIF(Asta!$F$4:$F$47,'_Supporto Listone'!B296)&gt;0,"Niko",IF(COUNTIF(Asta!$H$4:$H$47,'_Supporto Listone'!B296)&gt;0,"Quici",IF(COUNTIF(Asta!$J$4:$J$47,'_Supporto Listone'!B296)&gt;0,"Fratello Quici",IF(COUNTIF(Asta!$L$4:$L$47,'_Supporto Listone'!B296)&gt;0,"Nicolò",IF(COUNTIF(Asta!$N$4:$N$47,'_Supporto Listone'!B296)&gt;0,"Vi",IF(COUNTIF(Asta!$P$4:$P$47,'_Supporto Listone'!B296)&gt;0,"Lore",IF(COUNTIF(Asta!$R$4:$R$47,'_Supporto Listone'!B296)&gt;0,"Robbo",IF(COUNTIF(Asta!$T$4:$T$47,'_Supporto Listone'!B296)&gt;0,"Ale",""))))))))))</x:f>
      </x:c>
      <x:c r="K296" s="495" t="str">
        <x:f>IF(COUNTIF(Asta!$B$4:$B$47,'_Supporto Listone'!B296)&gt;0,INDEX(Asta!$C$4:$C$47,MATCH('_Supporto Listone'!B296,Asta!$B$4:$B$47,0)),IF(COUNTIF(Asta!$D$4:$D$47,'_Supporto Listone'!B296)&gt;0,INDEX(Asta!$E$4:$E$47,MATCH('_Supporto Listone'!B296,Asta!$D$4:$D$47,0)),IF(COUNTIF(Asta!$F$4:$F$47,'_Supporto Listone'!B296)&gt;0,INDEX(Asta!$G$4:$G$47,MATCH('_Supporto Listone'!B296,Asta!$F$4:$F$47,0)),IF(COUNTIF(Asta!$H$4:$H$47,'_Supporto Listone'!B296)&gt;0,INDEX(Asta!$I$4:$I$47,MATCH('_Supporto Listone'!B296,Asta!$H$4:$H$47,0)),IF(COUNTIF(Asta!$J$4:$J$47,'_Supporto Listone'!B296)&gt;0,INDEX(Asta!$K$4:$K$47,MATCH('_Supporto Listone'!B296,Asta!$J$4:$J$47,0)),IF(COUNTIF(Asta!$L$4:$L$47,'_Supporto Listone'!B296)&gt;0,INDEX(Asta!$M$4:$M$47,MATCH('_Supporto Listone'!B296,Asta!$L$4:$L$47,0)),IF(COUNTIF(Asta!$N$4:$N$47,'_Supporto Listone'!B296)&gt;0,INDEX(Asta!$O$4:$O$47,MATCH('_Supporto Listone'!B296,Asta!$N$4:$N$47,0)),IF(COUNTIF(Asta!$P$4:$P$47,'_Supporto Listone'!B296)&gt;0,INDEX(Asta!$Q$4:$Q$47,MATCH('_Supporto Listone'!B296,Asta!$P$4:$P$47,0)),IF(COUNTIF(Asta!$R$4:$R$47,'_Supporto Listone'!B296)&gt;0,INDEX(Asta!$S$4:$S$47,MATCH('_Supporto Listone'!B296,Asta!$R$4:$R$47,0)),IF(COUNTIF(Asta!$T$4:$T$47,'_Supporto Listone'!B296)&gt;0,INDEX(Asta!$U$4:$U$47,MATCH('_Supporto Listone'!B296,Asta!$T$4:$T$47,0)),""))))))))))</x:f>
      </x:c>
    </x:row>
    <x:row r="297">
      <x:c r="A297" s="440" t="str">
        <x:f>IF($J297&lt;&gt;"",REGEXREPLACE(TO_TEXT('_Supporto Listone'!A297),"(.)","$1"&amp;UNICHAR(822)),'_Supporto Listone'!A297)</x:f>
        <x:v>C</x:v>
      </x:c>
      <x:c r="B297" s="441" t="str">
        <x:f>IF($J297&lt;&gt;"",REGEXREPLACE(TO_TEXT('_Supporto Listone'!B297),"(.)","$1"&amp;UNICHAR(822)),'_Supporto Listone'!B297)</x:f>
        <x:v>Locatelli</x:v>
      </x:c>
      <x:c r="C297" s="441" t="str">
        <x:f>IF($J297&lt;&gt;"",REGEXREPLACE(TO_TEXT('_Supporto Listone'!C297),"(.)","$1"&amp;UNICHAR(822)),'_Supporto Listone'!C297)</x:f>
        <x:v>Juventus</x:v>
      </x:c>
      <x:c r="D297" s="441" t="str">
        <x:f>IF($J297&lt;&gt;"",REGEXREPLACE(TO_TEXT('_Supporto Listone'!D297),"(.)","$1"&amp;UNICHAR(822)),'_Supporto Listone'!D297)</x:f>
        <x:v>M;C</x:v>
      </x:c>
      <x:c r="E297" s="441" t="str">
        <x:f>IF($J297&lt;&gt;"",REGEXREPLACE(TO_TEXT('_Supporto Listone'!E297),"(.)","$1"&amp;UNICHAR(822)),'_Supporto Listone'!E297)</x:f>
        <x:v>Titolare</x:v>
      </x:c>
      <x:c r="F297" s="464" t="n">
        <x:f>IF($J297&lt;&gt;"",REGEXREPLACE(TO_TEXT('_Supporto Listone'!F297),"(.)","$1"&amp;UNICHAR(822)),'_Supporto Listone'!F297)</x:f>
        <x:v>8</x:v>
      </x:c>
      <x:c r="G297" s="464" t="n">
        <x:f>IF($J297&lt;&gt;"",REGEXREPLACE(TO_TEXT('_Supporto Listone'!G297),"(.)","$1"&amp;UNICHAR(822)),'_Supporto Listone'!G297)</x:f>
        <x:v>32</x:v>
      </x:c>
      <x:c r="H297" s="464" t="n">
        <x:f>IF($J297&lt;&gt;"",REGEXREPLACE(TO_TEXT('_Supporto Listone'!H297),"(.)","$1"&amp;UNICHAR(822)),'_Supporto Listone'!H297)</x:f>
        <x:v>16</x:v>
      </x:c>
      <x:c r="I297" s="442" t="str">
        <x:f>IF($J297&lt;&gt;"",REGEXREPLACE(TO_TEXT('_Supporto Listone'!I297),"(.)","$1"&amp;UNICHAR(822)),'_Supporto Listone'!I297)</x:f>
        <x:v>Piazzati</x:v>
      </x:c>
      <x:c r="J297" s="441" t="str">
        <x:f>IF(COUNTIF(Asta!$B$4:$B$47,'_Supporto Listone'!B297)&gt;0,"Simone",IF(COUNTIF(Asta!$D$4:$D$47,'_Supporto Listone'!B297)&gt;0,"Giacomo",IF(COUNTIF(Asta!$F$4:$F$47,'_Supporto Listone'!B297)&gt;0,"Niko",IF(COUNTIF(Asta!$H$4:$H$47,'_Supporto Listone'!B297)&gt;0,"Quici",IF(COUNTIF(Asta!$J$4:$J$47,'_Supporto Listone'!B297)&gt;0,"Fratello Quici",IF(COUNTIF(Asta!$L$4:$L$47,'_Supporto Listone'!B297)&gt;0,"Nicolò",IF(COUNTIF(Asta!$N$4:$N$47,'_Supporto Listone'!B297)&gt;0,"Vi",IF(COUNTIF(Asta!$P$4:$P$47,'_Supporto Listone'!B297)&gt;0,"Lore",IF(COUNTIF(Asta!$R$4:$R$47,'_Supporto Listone'!B297)&gt;0,"Robbo",IF(COUNTIF(Asta!$T$4:$T$47,'_Supporto Listone'!B297)&gt;0,"Ale",""))))))))))</x:f>
      </x:c>
      <x:c r="K297" s="495" t="str">
        <x:f>IF(COUNTIF(Asta!$B$4:$B$47,'_Supporto Listone'!B297)&gt;0,INDEX(Asta!$C$4:$C$47,MATCH('_Supporto Listone'!B297,Asta!$B$4:$B$47,0)),IF(COUNTIF(Asta!$D$4:$D$47,'_Supporto Listone'!B297)&gt;0,INDEX(Asta!$E$4:$E$47,MATCH('_Supporto Listone'!B297,Asta!$D$4:$D$47,0)),IF(COUNTIF(Asta!$F$4:$F$47,'_Supporto Listone'!B297)&gt;0,INDEX(Asta!$G$4:$G$47,MATCH('_Supporto Listone'!B297,Asta!$F$4:$F$47,0)),IF(COUNTIF(Asta!$H$4:$H$47,'_Supporto Listone'!B297)&gt;0,INDEX(Asta!$I$4:$I$47,MATCH('_Supporto Listone'!B297,Asta!$H$4:$H$47,0)),IF(COUNTIF(Asta!$J$4:$J$47,'_Supporto Listone'!B297)&gt;0,INDEX(Asta!$K$4:$K$47,MATCH('_Supporto Listone'!B297,Asta!$J$4:$J$47,0)),IF(COUNTIF(Asta!$L$4:$L$47,'_Supporto Listone'!B297)&gt;0,INDEX(Asta!$M$4:$M$47,MATCH('_Supporto Listone'!B297,Asta!$L$4:$L$47,0)),IF(COUNTIF(Asta!$N$4:$N$47,'_Supporto Listone'!B297)&gt;0,INDEX(Asta!$O$4:$O$47,MATCH('_Supporto Listone'!B297,Asta!$N$4:$N$47,0)),IF(COUNTIF(Asta!$P$4:$P$47,'_Supporto Listone'!B297)&gt;0,INDEX(Asta!$Q$4:$Q$47,MATCH('_Supporto Listone'!B297,Asta!$P$4:$P$47,0)),IF(COUNTIF(Asta!$R$4:$R$47,'_Supporto Listone'!B297)&gt;0,INDEX(Asta!$S$4:$S$47,MATCH('_Supporto Listone'!B297,Asta!$R$4:$R$47,0)),IF(COUNTIF(Asta!$T$4:$T$47,'_Supporto Listone'!B297)&gt;0,INDEX(Asta!$U$4:$U$47,MATCH('_Supporto Listone'!B297,Asta!$T$4:$T$47,0)),""))))))))))</x:f>
      </x:c>
    </x:row>
    <x:row r="298">
      <x:c r="A298" s="440" t="str">
        <x:f>IF($J298&lt;&gt;"",REGEXREPLACE(TO_TEXT('_Supporto Listone'!A298),"(.)","$1"&amp;UNICHAR(822)),'_Supporto Listone'!A298)</x:f>
        <x:v>C</x:v>
      </x:c>
      <x:c r="B298" s="441" t="str">
        <x:f>IF($J298&lt;&gt;"",REGEXREPLACE(TO_TEXT('_Supporto Listone'!B298),"(.)","$1"&amp;UNICHAR(822)),'_Supporto Listone'!B298)</x:f>
        <x:v>Colpani</x:v>
      </x:c>
      <x:c r="C298" s="441" t="str">
        <x:f>IF($J298&lt;&gt;"",REGEXREPLACE(TO_TEXT('_Supporto Listone'!C298),"(.)","$1"&amp;UNICHAR(822)),'_Supporto Listone'!C298)</x:f>
        <x:v>Monza</x:v>
      </x:c>
      <x:c r="D298" s="441" t="str">
        <x:f>IF($J298&lt;&gt;"",REGEXREPLACE(TO_TEXT('_Supporto Listone'!D298),"(.)","$1"&amp;UNICHAR(822)),'_Supporto Listone'!D298)</x:f>
        <x:v>T</x:v>
      </x:c>
      <x:c r="E298" s="441" t="str">
        <x:f>IF($J298&lt;&gt;"",REGEXREPLACE(TO_TEXT('_Supporto Listone'!E298),"(.)","$1"&amp;UNICHAR(822)),'_Supporto Listone'!E298)</x:f>
        <x:v>Ballottaggio</x:v>
      </x:c>
      <x:c r="F298" s="464" t="n">
        <x:f>IF($J298&lt;&gt;"",REGEXREPLACE(TO_TEXT('_Supporto Listone'!F298),"(.)","$1"&amp;UNICHAR(822)),'_Supporto Listone'!F298)</x:f>
        <x:v>8</x:v>
      </x:c>
      <x:c r="G298" s="464" t="n">
        <x:f>IF($J298&lt;&gt;"",REGEXREPLACE(TO_TEXT('_Supporto Listone'!G298),"(.)","$1"&amp;UNICHAR(822)),'_Supporto Listone'!G298)</x:f>
        <x:v>25</x:v>
      </x:c>
      <x:c r="H298" s="464" t="n">
        <x:f>IF($J298&lt;&gt;"",REGEXREPLACE(TO_TEXT('_Supporto Listone'!H298),"(.)","$1"&amp;UNICHAR(822)),'_Supporto Listone'!H298)</x:f>
        <x:v>13</x:v>
      </x:c>
      <x:c r="I298" s="442"/>
      <x:c r="J298" s="441" t="str">
        <x:f>IF(COUNTIF(Asta!$B$4:$B$47,'_Supporto Listone'!B298)&gt;0,"Simone",IF(COUNTIF(Asta!$D$4:$D$47,'_Supporto Listone'!B298)&gt;0,"Giacomo",IF(COUNTIF(Asta!$F$4:$F$47,'_Supporto Listone'!B298)&gt;0,"Niko",IF(COUNTIF(Asta!$H$4:$H$47,'_Supporto Listone'!B298)&gt;0,"Quici",IF(COUNTIF(Asta!$J$4:$J$47,'_Supporto Listone'!B298)&gt;0,"Fratello Quici",IF(COUNTIF(Asta!$L$4:$L$47,'_Supporto Listone'!B298)&gt;0,"Nicolò",IF(COUNTIF(Asta!$N$4:$N$47,'_Supporto Listone'!B298)&gt;0,"Vi",IF(COUNTIF(Asta!$P$4:$P$47,'_Supporto Listone'!B298)&gt;0,"Lore",IF(COUNTIF(Asta!$R$4:$R$47,'_Supporto Listone'!B298)&gt;0,"Robbo",IF(COUNTIF(Asta!$T$4:$T$47,'_Supporto Listone'!B298)&gt;0,"Ale",""))))))))))</x:f>
      </x:c>
      <x:c r="K298" s="495" t="str">
        <x:f>IF(COUNTIF(Asta!$B$4:$B$47,'_Supporto Listone'!B298)&gt;0,INDEX(Asta!$C$4:$C$47,MATCH('_Supporto Listone'!B298,Asta!$B$4:$B$47,0)),IF(COUNTIF(Asta!$D$4:$D$47,'_Supporto Listone'!B298)&gt;0,INDEX(Asta!$E$4:$E$47,MATCH('_Supporto Listone'!B298,Asta!$D$4:$D$47,0)),IF(COUNTIF(Asta!$F$4:$F$47,'_Supporto Listone'!B298)&gt;0,INDEX(Asta!$G$4:$G$47,MATCH('_Supporto Listone'!B298,Asta!$F$4:$F$47,0)),IF(COUNTIF(Asta!$H$4:$H$47,'_Supporto Listone'!B298)&gt;0,INDEX(Asta!$I$4:$I$47,MATCH('_Supporto Listone'!B298,Asta!$H$4:$H$47,0)),IF(COUNTIF(Asta!$J$4:$J$47,'_Supporto Listone'!B298)&gt;0,INDEX(Asta!$K$4:$K$47,MATCH('_Supporto Listone'!B298,Asta!$J$4:$J$47,0)),IF(COUNTIF(Asta!$L$4:$L$47,'_Supporto Listone'!B298)&gt;0,INDEX(Asta!$M$4:$M$47,MATCH('_Supporto Listone'!B298,Asta!$L$4:$L$47,0)),IF(COUNTIF(Asta!$N$4:$N$47,'_Supporto Listone'!B298)&gt;0,INDEX(Asta!$O$4:$O$47,MATCH('_Supporto Listone'!B298,Asta!$N$4:$N$47,0)),IF(COUNTIF(Asta!$P$4:$P$47,'_Supporto Listone'!B298)&gt;0,INDEX(Asta!$Q$4:$Q$47,MATCH('_Supporto Listone'!B298,Asta!$P$4:$P$47,0)),IF(COUNTIF(Asta!$R$4:$R$47,'_Supporto Listone'!B298)&gt;0,INDEX(Asta!$S$4:$S$47,MATCH('_Supporto Listone'!B298,Asta!$R$4:$R$47,0)),IF(COUNTIF(Asta!$T$4:$T$47,'_Supporto Listone'!B298)&gt;0,INDEX(Asta!$U$4:$U$47,MATCH('_Supporto Listone'!B298,Asta!$T$4:$T$47,0)),""))))))))))</x:f>
      </x:c>
    </x:row>
    <x:row r="299">
      <x:c r="A299" s="440" t="str">
        <x:f>IF($J299&lt;&gt;"",REGEXREPLACE(TO_TEXT('_Supporto Listone'!A299),"(.)","$1"&amp;UNICHAR(822)),'_Supporto Listone'!A299)</x:f>
        <x:v>C</x:v>
      </x:c>
      <x:c r="B299" s="441" t="str">
        <x:f>IF($J299&lt;&gt;"",REGEXREPLACE(TO_TEXT('_Supporto Listone'!B299),"(.)","$1"&amp;UNICHAR(822)),'_Supporto Listone'!B299)</x:f>
        <x:v>Vergara</x:v>
      </x:c>
      <x:c r="C299" s="441" t="str">
        <x:f>IF($J299&lt;&gt;"",REGEXREPLACE(TO_TEXT('_Supporto Listone'!C299),"(.)","$1"&amp;UNICHAR(822)),'_Supporto Listone'!C299)</x:f>
        <x:v>Napoli</x:v>
      </x:c>
      <x:c r="D299" s="441" t="str">
        <x:f>IF($J299&lt;&gt;"",REGEXREPLACE(TO_TEXT('_Supporto Listone'!D299),"(.)","$1"&amp;UNICHAR(822)),'_Supporto Listone'!D299)</x:f>
        <x:v>W;T</x:v>
      </x:c>
      <x:c r="E299" s="441" t="str">
        <x:f>IF($J299&lt;&gt;"",REGEXREPLACE(TO_TEXT('_Supporto Listone'!E299),"(.)","$1"&amp;UNICHAR(822)),'_Supporto Listone'!E299)</x:f>
        <x:v>Ballottaggio</x:v>
      </x:c>
      <x:c r="F299" s="464" t="n">
        <x:f>IF($J299&lt;&gt;"",REGEXREPLACE(TO_TEXT('_Supporto Listone'!F299),"(.)","$1"&amp;UNICHAR(822)),'_Supporto Listone'!F299)</x:f>
        <x:v>8</x:v>
      </x:c>
      <x:c r="G299" s="464" t="n">
        <x:f>IF($J299&lt;&gt;"",REGEXREPLACE(TO_TEXT('_Supporto Listone'!G299),"(.)","$1"&amp;UNICHAR(822)),'_Supporto Listone'!G299)</x:f>
        <x:v>34</x:v>
      </x:c>
      <x:c r="H299" s="464" t="n">
        <x:f>IF($J299&lt;&gt;"",REGEXREPLACE(TO_TEXT('_Supporto Listone'!H299),"(.)","$1"&amp;UNICHAR(822)),'_Supporto Listone'!H299)</x:f>
        <x:v>17</x:v>
      </x:c>
      <x:c r="I299" s="442"/>
      <x:c r="J299" s="441" t="str">
        <x:f>IF(COUNTIF(Asta!$B$4:$B$47,'_Supporto Listone'!B299)&gt;0,"Simone",IF(COUNTIF(Asta!$D$4:$D$47,'_Supporto Listone'!B299)&gt;0,"Giacomo",IF(COUNTIF(Asta!$F$4:$F$47,'_Supporto Listone'!B299)&gt;0,"Niko",IF(COUNTIF(Asta!$H$4:$H$47,'_Supporto Listone'!B299)&gt;0,"Quici",IF(COUNTIF(Asta!$J$4:$J$47,'_Supporto Listone'!B299)&gt;0,"Fratello Quici",IF(COUNTIF(Asta!$L$4:$L$47,'_Supporto Listone'!B299)&gt;0,"Nicolò",IF(COUNTIF(Asta!$N$4:$N$47,'_Supporto Listone'!B299)&gt;0,"Vi",IF(COUNTIF(Asta!$P$4:$P$47,'_Supporto Listone'!B299)&gt;0,"Lore",IF(COUNTIF(Asta!$R$4:$R$47,'_Supporto Listone'!B299)&gt;0,"Robbo",IF(COUNTIF(Asta!$T$4:$T$47,'_Supporto Listone'!B299)&gt;0,"Ale",""))))))))))</x:f>
      </x:c>
      <x:c r="K299" s="495" t="str">
        <x:f>IF(COUNTIF(Asta!$B$4:$B$47,'_Supporto Listone'!B299)&gt;0,INDEX(Asta!$C$4:$C$47,MATCH('_Supporto Listone'!B299,Asta!$B$4:$B$47,0)),IF(COUNTIF(Asta!$D$4:$D$47,'_Supporto Listone'!B299)&gt;0,INDEX(Asta!$E$4:$E$47,MATCH('_Supporto Listone'!B299,Asta!$D$4:$D$47,0)),IF(COUNTIF(Asta!$F$4:$F$47,'_Supporto Listone'!B299)&gt;0,INDEX(Asta!$G$4:$G$47,MATCH('_Supporto Listone'!B299,Asta!$F$4:$F$47,0)),IF(COUNTIF(Asta!$H$4:$H$47,'_Supporto Listone'!B299)&gt;0,INDEX(Asta!$I$4:$I$47,MATCH('_Supporto Listone'!B299,Asta!$H$4:$H$47,0)),IF(COUNTIF(Asta!$J$4:$J$47,'_Supporto Listone'!B299)&gt;0,INDEX(Asta!$K$4:$K$47,MATCH('_Supporto Listone'!B299,Asta!$J$4:$J$47,0)),IF(COUNTIF(Asta!$L$4:$L$47,'_Supporto Listone'!B299)&gt;0,INDEX(Asta!$M$4:$M$47,MATCH('_Supporto Listone'!B299,Asta!$L$4:$L$47,0)),IF(COUNTIF(Asta!$N$4:$N$47,'_Supporto Listone'!B299)&gt;0,INDEX(Asta!$O$4:$O$47,MATCH('_Supporto Listone'!B299,Asta!$N$4:$N$47,0)),IF(COUNTIF(Asta!$P$4:$P$47,'_Supporto Listone'!B299)&gt;0,INDEX(Asta!$Q$4:$Q$47,MATCH('_Supporto Listone'!B299,Asta!$P$4:$P$47,0)),IF(COUNTIF(Asta!$R$4:$R$47,'_Supporto Listone'!B299)&gt;0,INDEX(Asta!$S$4:$S$47,MATCH('_Supporto Listone'!B299,Asta!$R$4:$R$47,0)),IF(COUNTIF(Asta!$T$4:$T$47,'_Supporto Listone'!B299)&gt;0,INDEX(Asta!$U$4:$U$47,MATCH('_Supporto Listone'!B299,Asta!$T$4:$T$47,0)),""))))))))))</x:f>
      </x:c>
    </x:row>
    <x:row r="300">
      <x:c r="A300" s="440" t="str">
        <x:f>IF($J300&lt;&gt;"",REGEXREPLACE(TO_TEXT('_Supporto Listone'!A300),"(.)","$1"&amp;UNICHAR(822)),'_Supporto Listone'!A300)</x:f>
        <x:v>C</x:v>
      </x:c>
      <x:c r="B300" s="441" t="str">
        <x:f>IF($J300&lt;&gt;"",REGEXREPLACE(TO_TEXT('_Supporto Listone'!B300),"(.)","$1"&amp;UNICHAR(822)),'_Supporto Listone'!B300)</x:f>
        <x:v>Cristante</x:v>
      </x:c>
      <x:c r="C300" s="441" t="str">
        <x:f>IF($J300&lt;&gt;"",REGEXREPLACE(TO_TEXT('_Supporto Listone'!C300),"(.)","$1"&amp;UNICHAR(822)),'_Supporto Listone'!C300)</x:f>
        <x:v>Roma</x:v>
      </x:c>
      <x:c r="D300" s="441" t="str">
        <x:f>IF($J300&lt;&gt;"",REGEXREPLACE(TO_TEXT('_Supporto Listone'!D300),"(.)","$1"&amp;UNICHAR(822)),'_Supporto Listone'!D300)</x:f>
        <x:v>M;C</x:v>
      </x:c>
      <x:c r="E300" s="441" t="str">
        <x:f>IF($J300&lt;&gt;"",REGEXREPLACE(TO_TEXT('_Supporto Listone'!E300),"(.)","$1"&amp;UNICHAR(822)),'_Supporto Listone'!E300)</x:f>
        <x:v>Titolare</x:v>
      </x:c>
      <x:c r="F300" s="464" t="n">
        <x:f>IF($J300&lt;&gt;"",REGEXREPLACE(TO_TEXT('_Supporto Listone'!F300),"(.)","$1"&amp;UNICHAR(822)),'_Supporto Listone'!F300)</x:f>
        <x:v>8</x:v>
      </x:c>
      <x:c r="G300" s="464" t="n">
        <x:f>IF($J300&lt;&gt;"",REGEXREPLACE(TO_TEXT('_Supporto Listone'!G300),"(.)","$1"&amp;UNICHAR(822)),'_Supporto Listone'!G300)</x:f>
        <x:v>29</x:v>
      </x:c>
      <x:c r="H300" s="464" t="n">
        <x:f>IF($J300&lt;&gt;"",REGEXREPLACE(TO_TEXT('_Supporto Listone'!H300),"(.)","$1"&amp;UNICHAR(822)),'_Supporto Listone'!H300)</x:f>
        <x:v>15</x:v>
      </x:c>
      <x:c r="I300" s="442"/>
      <x:c r="J300" s="441" t="str">
        <x:f>IF(COUNTIF(Asta!$B$4:$B$47,'_Supporto Listone'!B300)&gt;0,"Simone",IF(COUNTIF(Asta!$D$4:$D$47,'_Supporto Listone'!B300)&gt;0,"Giacomo",IF(COUNTIF(Asta!$F$4:$F$47,'_Supporto Listone'!B300)&gt;0,"Niko",IF(COUNTIF(Asta!$H$4:$H$47,'_Supporto Listone'!B300)&gt;0,"Quici",IF(COUNTIF(Asta!$J$4:$J$47,'_Supporto Listone'!B300)&gt;0,"Fratello Quici",IF(COUNTIF(Asta!$L$4:$L$47,'_Supporto Listone'!B300)&gt;0,"Nicolò",IF(COUNTIF(Asta!$N$4:$N$47,'_Supporto Listone'!B300)&gt;0,"Vi",IF(COUNTIF(Asta!$P$4:$P$47,'_Supporto Listone'!B300)&gt;0,"Lore",IF(COUNTIF(Asta!$R$4:$R$47,'_Supporto Listone'!B300)&gt;0,"Robbo",IF(COUNTIF(Asta!$T$4:$T$47,'_Supporto Listone'!B300)&gt;0,"Ale",""))))))))))</x:f>
      </x:c>
      <x:c r="K300" s="495" t="str">
        <x:f>IF(COUNTIF(Asta!$B$4:$B$47,'_Supporto Listone'!B300)&gt;0,INDEX(Asta!$C$4:$C$47,MATCH('_Supporto Listone'!B300,Asta!$B$4:$B$47,0)),IF(COUNTIF(Asta!$D$4:$D$47,'_Supporto Listone'!B300)&gt;0,INDEX(Asta!$E$4:$E$47,MATCH('_Supporto Listone'!B300,Asta!$D$4:$D$47,0)),IF(COUNTIF(Asta!$F$4:$F$47,'_Supporto Listone'!B300)&gt;0,INDEX(Asta!$G$4:$G$47,MATCH('_Supporto Listone'!B300,Asta!$F$4:$F$47,0)),IF(COUNTIF(Asta!$H$4:$H$47,'_Supporto Listone'!B300)&gt;0,INDEX(Asta!$I$4:$I$47,MATCH('_Supporto Listone'!B300,Asta!$H$4:$H$47,0)),IF(COUNTIF(Asta!$J$4:$J$47,'_Supporto Listone'!B300)&gt;0,INDEX(Asta!$K$4:$K$47,MATCH('_Supporto Listone'!B300,Asta!$J$4:$J$47,0)),IF(COUNTIF(Asta!$L$4:$L$47,'_Supporto Listone'!B300)&gt;0,INDEX(Asta!$M$4:$M$47,MATCH('_Supporto Listone'!B300,Asta!$L$4:$L$47,0)),IF(COUNTIF(Asta!$N$4:$N$47,'_Supporto Listone'!B300)&gt;0,INDEX(Asta!$O$4:$O$47,MATCH('_Supporto Listone'!B300,Asta!$N$4:$N$47,0)),IF(COUNTIF(Asta!$P$4:$P$47,'_Supporto Listone'!B300)&gt;0,INDEX(Asta!$Q$4:$Q$47,MATCH('_Supporto Listone'!B300,Asta!$P$4:$P$47,0)),IF(COUNTIF(Asta!$R$4:$R$47,'_Supporto Listone'!B300)&gt;0,INDEX(Asta!$S$4:$S$47,MATCH('_Supporto Listone'!B300,Asta!$R$4:$R$47,0)),IF(COUNTIF(Asta!$T$4:$T$47,'_Supporto Listone'!B300)&gt;0,INDEX(Asta!$U$4:$U$47,MATCH('_Supporto Listone'!B300,Asta!$T$4:$T$47,0)),""))))))))))</x:f>
      </x:c>
    </x:row>
    <x:row r="301">
      <x:c r="A301" s="440" t="str">
        <x:f>IF($J301&lt;&gt;"",REGEXREPLACE(TO_TEXT('_Supporto Listone'!A301),"(.)","$1"&amp;UNICHAR(822)),'_Supporto Listone'!A301)</x:f>
        <x:v>C</x:v>
      </x:c>
      <x:c r="B301" s="441" t="str">
        <x:f>IF($J301&lt;&gt;"",REGEXREPLACE(TO_TEXT('_Supporto Listone'!B301),"(.)","$1"&amp;UNICHAR(822)),'_Supporto Listone'!B301)</x:f>
        <x:v>Gaetano</x:v>
      </x:c>
      <x:c r="C301" s="441" t="str">
        <x:f>IF($J301&lt;&gt;"",REGEXREPLACE(TO_TEXT('_Supporto Listone'!C301),"(.)","$1"&amp;UNICHAR(822)),'_Supporto Listone'!C301)</x:f>
        <x:v>Atalanta</x:v>
      </x:c>
      <x:c r="D301" s="441" t="str">
        <x:f>IF($J301&lt;&gt;"",REGEXREPLACE(TO_TEXT('_Supporto Listone'!D301),"(.)","$1"&amp;UNICHAR(822)),'_Supporto Listone'!D301)</x:f>
        <x:v>M;C</x:v>
      </x:c>
      <x:c r="E301" s="441" t="str">
        <x:f>IF($J301&lt;&gt;"",REGEXREPLACE(TO_TEXT('_Supporto Listone'!E301),"(.)","$1"&amp;UNICHAR(822)),'_Supporto Listone'!E301)</x:f>
        <x:v>Titolare</x:v>
      </x:c>
      <x:c r="F301" s="464" t="n">
        <x:f>IF($J301&lt;&gt;"",REGEXREPLACE(TO_TEXT('_Supporto Listone'!F301),"(.)","$1"&amp;UNICHAR(822)),'_Supporto Listone'!F301)</x:f>
        <x:v>7</x:v>
      </x:c>
      <x:c r="G301" s="464" t="n">
        <x:f>IF($J301&lt;&gt;"",REGEXREPLACE(TO_TEXT('_Supporto Listone'!G301),"(.)","$1"&amp;UNICHAR(822)),'_Supporto Listone'!G301)</x:f>
        <x:v>24</x:v>
      </x:c>
      <x:c r="H301" s="464" t="n">
        <x:f>IF($J301&lt;&gt;"",REGEXREPLACE(TO_TEXT('_Supporto Listone'!H301),"(.)","$1"&amp;UNICHAR(822)),'_Supporto Listone'!H301)</x:f>
        <x:v>12</x:v>
      </x:c>
      <x:c r="I301" s="442" t="str">
        <x:f>IF($J301&lt;&gt;"",REGEXREPLACE(TO_TEXT('_Supporto Listone'!I301),"(.)","$1"&amp;UNICHAR(822)),'_Supporto Listone'!I301)</x:f>
        <x:v>Piazzati</x:v>
      </x:c>
      <x:c r="J301" s="441" t="str">
        <x:f>IF(COUNTIF(Asta!$B$4:$B$47,'_Supporto Listone'!B301)&gt;0,"Simone",IF(COUNTIF(Asta!$D$4:$D$47,'_Supporto Listone'!B301)&gt;0,"Giacomo",IF(COUNTIF(Asta!$F$4:$F$47,'_Supporto Listone'!B301)&gt;0,"Niko",IF(COUNTIF(Asta!$H$4:$H$47,'_Supporto Listone'!B301)&gt;0,"Quici",IF(COUNTIF(Asta!$J$4:$J$47,'_Supporto Listone'!B301)&gt;0,"Fratello Quici",IF(COUNTIF(Asta!$L$4:$L$47,'_Supporto Listone'!B301)&gt;0,"Nicolò",IF(COUNTIF(Asta!$N$4:$N$47,'_Supporto Listone'!B301)&gt;0,"Vi",IF(COUNTIF(Asta!$P$4:$P$47,'_Supporto Listone'!B301)&gt;0,"Lore",IF(COUNTIF(Asta!$R$4:$R$47,'_Supporto Listone'!B301)&gt;0,"Robbo",IF(COUNTIF(Asta!$T$4:$T$47,'_Supporto Listone'!B301)&gt;0,"Ale",""))))))))))</x:f>
      </x:c>
      <x:c r="K301" s="495" t="str">
        <x:f>IF(COUNTIF(Asta!$B$4:$B$47,'_Supporto Listone'!B301)&gt;0,INDEX(Asta!$C$4:$C$47,MATCH('_Supporto Listone'!B301,Asta!$B$4:$B$47,0)),IF(COUNTIF(Asta!$D$4:$D$47,'_Supporto Listone'!B301)&gt;0,INDEX(Asta!$E$4:$E$47,MATCH('_Supporto Listone'!B301,Asta!$D$4:$D$47,0)),IF(COUNTIF(Asta!$F$4:$F$47,'_Supporto Listone'!B301)&gt;0,INDEX(Asta!$G$4:$G$47,MATCH('_Supporto Listone'!B301,Asta!$F$4:$F$47,0)),IF(COUNTIF(Asta!$H$4:$H$47,'_Supporto Listone'!B301)&gt;0,INDEX(Asta!$I$4:$I$47,MATCH('_Supporto Listone'!B301,Asta!$H$4:$H$47,0)),IF(COUNTIF(Asta!$J$4:$J$47,'_Supporto Listone'!B301)&gt;0,INDEX(Asta!$K$4:$K$47,MATCH('_Supporto Listone'!B301,Asta!$J$4:$J$47,0)),IF(COUNTIF(Asta!$L$4:$L$47,'_Supporto Listone'!B301)&gt;0,INDEX(Asta!$M$4:$M$47,MATCH('_Supporto Listone'!B301,Asta!$L$4:$L$47,0)),IF(COUNTIF(Asta!$N$4:$N$47,'_Supporto Listone'!B301)&gt;0,INDEX(Asta!$O$4:$O$47,MATCH('_Supporto Listone'!B301,Asta!$N$4:$N$47,0)),IF(COUNTIF(Asta!$P$4:$P$47,'_Supporto Listone'!B301)&gt;0,INDEX(Asta!$Q$4:$Q$47,MATCH('_Supporto Listone'!B301,Asta!$P$4:$P$47,0)),IF(COUNTIF(Asta!$R$4:$R$47,'_Supporto Listone'!B301)&gt;0,INDEX(Asta!$S$4:$S$47,MATCH('_Supporto Listone'!B301,Asta!$R$4:$R$47,0)),IF(COUNTIF(Asta!$T$4:$T$47,'_Supporto Listone'!B301)&gt;0,INDEX(Asta!$U$4:$U$47,MATCH('_Supporto Listone'!B301,Asta!$T$4:$T$47,0)),""))))))))))</x:f>
      </x:c>
    </x:row>
    <x:row r="302">
      <x:c r="A302" s="440" t="str">
        <x:f>IF($J302&lt;&gt;"",REGEXREPLACE(TO_TEXT('_Supporto Listone'!A302),"(.)","$1"&amp;UNICHAR(822)),'_Supporto Listone'!A302)</x:f>
        <x:v>C</x:v>
      </x:c>
      <x:c r="B302" s="441" t="str">
        <x:f>IF($J302&lt;&gt;"",REGEXREPLACE(TO_TEXT('_Supporto Listone'!B302),"(.)","$1"&amp;UNICHAR(822)),'_Supporto Listone'!B302)</x:f>
        <x:v>Ferguson</x:v>
      </x:c>
      <x:c r="C302" s="441" t="str">
        <x:f>IF($J302&lt;&gt;"",REGEXREPLACE(TO_TEXT('_Supporto Listone'!C302),"(.)","$1"&amp;UNICHAR(822)),'_Supporto Listone'!C302)</x:f>
        <x:v>Bologna</x:v>
      </x:c>
      <x:c r="D302" s="441" t="str">
        <x:f>IF($J302&lt;&gt;"",REGEXREPLACE(TO_TEXT('_Supporto Listone'!D302),"(.)","$1"&amp;UNICHAR(822)),'_Supporto Listone'!D302)</x:f>
        <x:v>M;C</x:v>
      </x:c>
      <x:c r="E302" s="441" t="str">
        <x:f>IF($J302&lt;&gt;"",REGEXREPLACE(TO_TEXT('_Supporto Listone'!E302),"(.)","$1"&amp;UNICHAR(822)),'_Supporto Listone'!E302)</x:f>
        <x:v>Titolare</x:v>
      </x:c>
      <x:c r="F302" s="464" t="n">
        <x:f>IF($J302&lt;&gt;"",REGEXREPLACE(TO_TEXT('_Supporto Listone'!F302),"(.)","$1"&amp;UNICHAR(822)),'_Supporto Listone'!F302)</x:f>
        <x:v>7</x:v>
      </x:c>
      <x:c r="G302" s="464" t="n">
        <x:f>IF($J302&lt;&gt;"",REGEXREPLACE(TO_TEXT('_Supporto Listone'!G302),"(.)","$1"&amp;UNICHAR(822)),'_Supporto Listone'!G302)</x:f>
        <x:v>18</x:v>
      </x:c>
      <x:c r="H302" s="464" t="n">
        <x:f>IF($J302&lt;&gt;"",REGEXREPLACE(TO_TEXT('_Supporto Listone'!H302),"(.)","$1"&amp;UNICHAR(822)),'_Supporto Listone'!H302)</x:f>
        <x:v>9</x:v>
      </x:c>
      <x:c r="I302" s="442"/>
      <x:c r="J302" s="441" t="str">
        <x:f>IF(COUNTIF(Asta!$B$4:$B$47,'_Supporto Listone'!B302)&gt;0,"Simone",IF(COUNTIF(Asta!$D$4:$D$47,'_Supporto Listone'!B302)&gt;0,"Giacomo",IF(COUNTIF(Asta!$F$4:$F$47,'_Supporto Listone'!B302)&gt;0,"Niko",IF(COUNTIF(Asta!$H$4:$H$47,'_Supporto Listone'!B302)&gt;0,"Quici",IF(COUNTIF(Asta!$J$4:$J$47,'_Supporto Listone'!B302)&gt;0,"Fratello Quici",IF(COUNTIF(Asta!$L$4:$L$47,'_Supporto Listone'!B302)&gt;0,"Nicolò",IF(COUNTIF(Asta!$N$4:$N$47,'_Supporto Listone'!B302)&gt;0,"Vi",IF(COUNTIF(Asta!$P$4:$P$47,'_Supporto Listone'!B302)&gt;0,"Lore",IF(COUNTIF(Asta!$R$4:$R$47,'_Supporto Listone'!B302)&gt;0,"Robbo",IF(COUNTIF(Asta!$T$4:$T$47,'_Supporto Listone'!B302)&gt;0,"Ale",""))))))))))</x:f>
      </x:c>
      <x:c r="K302" s="495" t="str">
        <x:f>IF(COUNTIF(Asta!$B$4:$B$47,'_Supporto Listone'!B302)&gt;0,INDEX(Asta!$C$4:$C$47,MATCH('_Supporto Listone'!B302,Asta!$B$4:$B$47,0)),IF(COUNTIF(Asta!$D$4:$D$47,'_Supporto Listone'!B302)&gt;0,INDEX(Asta!$E$4:$E$47,MATCH('_Supporto Listone'!B302,Asta!$D$4:$D$47,0)),IF(COUNTIF(Asta!$F$4:$F$47,'_Supporto Listone'!B302)&gt;0,INDEX(Asta!$G$4:$G$47,MATCH('_Supporto Listone'!B302,Asta!$F$4:$F$47,0)),IF(COUNTIF(Asta!$H$4:$H$47,'_Supporto Listone'!B302)&gt;0,INDEX(Asta!$I$4:$I$47,MATCH('_Supporto Listone'!B302,Asta!$H$4:$H$47,0)),IF(COUNTIF(Asta!$J$4:$J$47,'_Supporto Listone'!B302)&gt;0,INDEX(Asta!$K$4:$K$47,MATCH('_Supporto Listone'!B302,Asta!$J$4:$J$47,0)),IF(COUNTIF(Asta!$L$4:$L$47,'_Supporto Listone'!B302)&gt;0,INDEX(Asta!$M$4:$M$47,MATCH('_Supporto Listone'!B302,Asta!$L$4:$L$47,0)),IF(COUNTIF(Asta!$N$4:$N$47,'_Supporto Listone'!B302)&gt;0,INDEX(Asta!$O$4:$O$47,MATCH('_Supporto Listone'!B302,Asta!$N$4:$N$47,0)),IF(COUNTIF(Asta!$P$4:$P$47,'_Supporto Listone'!B302)&gt;0,INDEX(Asta!$Q$4:$Q$47,MATCH('_Supporto Listone'!B302,Asta!$P$4:$P$47,0)),IF(COUNTIF(Asta!$R$4:$R$47,'_Supporto Listone'!B302)&gt;0,INDEX(Asta!$S$4:$S$47,MATCH('_Supporto Listone'!B302,Asta!$R$4:$R$47,0)),IF(COUNTIF(Asta!$T$4:$T$47,'_Supporto Listone'!B302)&gt;0,INDEX(Asta!$U$4:$U$47,MATCH('_Supporto Listone'!B302,Asta!$T$4:$T$47,0)),""))))))))))</x:f>
      </x:c>
    </x:row>
    <x:row r="303">
      <x:c r="A303" s="440" t="str">
        <x:f>IF($J303&lt;&gt;"",REGEXREPLACE(TO_TEXT('_Supporto Listone'!A303),"(.)","$1"&amp;UNICHAR(822)),'_Supporto Listone'!A303)</x:f>
        <x:v>C</x:v>
      </x:c>
      <x:c r="B303" s="441" t="str">
        <x:f>IF($J303&lt;&gt;"",REGEXREPLACE(TO_TEXT('_Supporto Listone'!B303),"(.)","$1"&amp;UNICHAR(822)),'_Supporto Listone'!B303)</x:f>
        <x:v>Fazzini</x:v>
      </x:c>
      <x:c r="C303" s="441" t="str">
        <x:f>IF($J303&lt;&gt;"",REGEXREPLACE(TO_TEXT('_Supporto Listone'!C303),"(.)","$1"&amp;UNICHAR(822)),'_Supporto Listone'!C303)</x:f>
        <x:v>Cagliari</x:v>
      </x:c>
      <x:c r="D303" s="441" t="str">
        <x:f>IF($J303&lt;&gt;"",REGEXREPLACE(TO_TEXT('_Supporto Listone'!D303),"(.)","$1"&amp;UNICHAR(822)),'_Supporto Listone'!D303)</x:f>
        <x:v>C;T</x:v>
      </x:c>
      <x:c r="E303" s="441" t="str">
        <x:f>IF($J303&lt;&gt;"",REGEXREPLACE(TO_TEXT('_Supporto Listone'!E303),"(.)","$1"&amp;UNICHAR(822)),'_Supporto Listone'!E303)</x:f>
        <x:v>Titolare</x:v>
      </x:c>
      <x:c r="F303" s="464" t="n">
        <x:f>IF($J303&lt;&gt;"",REGEXREPLACE(TO_TEXT('_Supporto Listone'!F303),"(.)","$1"&amp;UNICHAR(822)),'_Supporto Listone'!F303)</x:f>
        <x:v>7</x:v>
      </x:c>
      <x:c r="G303" s="464" t="n">
        <x:f>IF($J303&lt;&gt;"",REGEXREPLACE(TO_TEXT('_Supporto Listone'!G303),"(.)","$1"&amp;UNICHAR(822)),'_Supporto Listone'!G303)</x:f>
        <x:v>19</x:v>
      </x:c>
      <x:c r="H303" s="464" t="n">
        <x:f>IF($J303&lt;&gt;"",REGEXREPLACE(TO_TEXT('_Supporto Listone'!H303),"(.)","$1"&amp;UNICHAR(822)),'_Supporto Listone'!H303)</x:f>
        <x:v>10</x:v>
      </x:c>
      <x:c r="I303" s="442" t="str">
        <x:f>IF($J303&lt;&gt;"",REGEXREPLACE(TO_TEXT('_Supporto Listone'!I303),"(.)","$1"&amp;UNICHAR(822)),'_Supporto Listone'!I303)</x:f>
        <x:v>Piazzati</x:v>
      </x:c>
      <x:c r="J303" s="441" t="str">
        <x:f>IF(COUNTIF(Asta!$B$4:$B$47,'_Supporto Listone'!B303)&gt;0,"Simone",IF(COUNTIF(Asta!$D$4:$D$47,'_Supporto Listone'!B303)&gt;0,"Giacomo",IF(COUNTIF(Asta!$F$4:$F$47,'_Supporto Listone'!B303)&gt;0,"Niko",IF(COUNTIF(Asta!$H$4:$H$47,'_Supporto Listone'!B303)&gt;0,"Quici",IF(COUNTIF(Asta!$J$4:$J$47,'_Supporto Listone'!B303)&gt;0,"Fratello Quici",IF(COUNTIF(Asta!$L$4:$L$47,'_Supporto Listone'!B303)&gt;0,"Nicolò",IF(COUNTIF(Asta!$N$4:$N$47,'_Supporto Listone'!B303)&gt;0,"Vi",IF(COUNTIF(Asta!$P$4:$P$47,'_Supporto Listone'!B303)&gt;0,"Lore",IF(COUNTIF(Asta!$R$4:$R$47,'_Supporto Listone'!B303)&gt;0,"Robbo",IF(COUNTIF(Asta!$T$4:$T$47,'_Supporto Listone'!B303)&gt;0,"Ale",""))))))))))</x:f>
      </x:c>
      <x:c r="K303" s="495" t="str">
        <x:f>IF(COUNTIF(Asta!$B$4:$B$47,'_Supporto Listone'!B303)&gt;0,INDEX(Asta!$C$4:$C$47,MATCH('_Supporto Listone'!B303,Asta!$B$4:$B$47,0)),IF(COUNTIF(Asta!$D$4:$D$47,'_Supporto Listone'!B303)&gt;0,INDEX(Asta!$E$4:$E$47,MATCH('_Supporto Listone'!B303,Asta!$D$4:$D$47,0)),IF(COUNTIF(Asta!$F$4:$F$47,'_Supporto Listone'!B303)&gt;0,INDEX(Asta!$G$4:$G$47,MATCH('_Supporto Listone'!B303,Asta!$F$4:$F$47,0)),IF(COUNTIF(Asta!$H$4:$H$47,'_Supporto Listone'!B303)&gt;0,INDEX(Asta!$I$4:$I$47,MATCH('_Supporto Listone'!B303,Asta!$H$4:$H$47,0)),IF(COUNTIF(Asta!$J$4:$J$47,'_Supporto Listone'!B303)&gt;0,INDEX(Asta!$K$4:$K$47,MATCH('_Supporto Listone'!B303,Asta!$J$4:$J$47,0)),IF(COUNTIF(Asta!$L$4:$L$47,'_Supporto Listone'!B303)&gt;0,INDEX(Asta!$M$4:$M$47,MATCH('_Supporto Listone'!B303,Asta!$L$4:$L$47,0)),IF(COUNTIF(Asta!$N$4:$N$47,'_Supporto Listone'!B303)&gt;0,INDEX(Asta!$O$4:$O$47,MATCH('_Supporto Listone'!B303,Asta!$N$4:$N$47,0)),IF(COUNTIF(Asta!$P$4:$P$47,'_Supporto Listone'!B303)&gt;0,INDEX(Asta!$Q$4:$Q$47,MATCH('_Supporto Listone'!B303,Asta!$P$4:$P$47,0)),IF(COUNTIF(Asta!$R$4:$R$47,'_Supporto Listone'!B303)&gt;0,INDEX(Asta!$S$4:$S$47,MATCH('_Supporto Listone'!B303,Asta!$R$4:$R$47,0)),IF(COUNTIF(Asta!$T$4:$T$47,'_Supporto Listone'!B303)&gt;0,INDEX(Asta!$U$4:$U$47,MATCH('_Supporto Listone'!B303,Asta!$T$4:$T$47,0)),""))))))))))</x:f>
      </x:c>
    </x:row>
    <x:row r="304">
      <x:c r="A304" s="440" t="str">
        <x:f>IF($J304&lt;&gt;"",REGEXREPLACE(TO_TEXT('_Supporto Listone'!A304),"(.)","$1"&amp;UNICHAR(822)),'_Supporto Listone'!A304)</x:f>
        <x:v>C</x:v>
      </x:c>
      <x:c r="B304" s="441" t="str">
        <x:f>IF($J304&lt;&gt;"",REGEXREPLACE(TO_TEXT('_Supporto Listone'!B304),"(.)","$1"&amp;UNICHAR(822)),'_Supporto Listone'!B304)</x:f>
        <x:v>Calò</x:v>
      </x:c>
      <x:c r="C304" s="441" t="str">
        <x:f>IF($J304&lt;&gt;"",REGEXREPLACE(TO_TEXT('_Supporto Listone'!C304),"(.)","$1"&amp;UNICHAR(822)),'_Supporto Listone'!C304)</x:f>
        <x:v>Frosinone</x:v>
      </x:c>
      <x:c r="D304" s="441" t="str">
        <x:f>IF($J304&lt;&gt;"",REGEXREPLACE(TO_TEXT('_Supporto Listone'!D304),"(.)","$1"&amp;UNICHAR(822)),'_Supporto Listone'!D304)</x:f>
        <x:v>M;C</x:v>
      </x:c>
      <x:c r="E304" s="441" t="str">
        <x:f>IF($J304&lt;&gt;"",REGEXREPLACE(TO_TEXT('_Supporto Listone'!E304),"(.)","$1"&amp;UNICHAR(822)),'_Supporto Listone'!E304)</x:f>
        <x:v>Titolare</x:v>
      </x:c>
      <x:c r="F304" s="464" t="n">
        <x:f>IF($J304&lt;&gt;"",REGEXREPLACE(TO_TEXT('_Supporto Listone'!F304),"(.)","$1"&amp;UNICHAR(822)),'_Supporto Listone'!F304)</x:f>
        <x:v>7</x:v>
      </x:c>
      <x:c r="G304" s="464" t="n">
        <x:f>IF($J304&lt;&gt;"",REGEXREPLACE(TO_TEXT('_Supporto Listone'!G304),"(.)","$1"&amp;UNICHAR(822)),'_Supporto Listone'!G304)</x:f>
        <x:v>25</x:v>
      </x:c>
      <x:c r="H304" s="464" t="n">
        <x:f>IF($J304&lt;&gt;"",REGEXREPLACE(TO_TEXT('_Supporto Listone'!H304),"(.)","$1"&amp;UNICHAR(822)),'_Supporto Listone'!H304)</x:f>
        <x:v>13</x:v>
      </x:c>
      <x:c r="I304" s="442" t="str">
        <x:f>IF($J304&lt;&gt;"",REGEXREPLACE(TO_TEXT('_Supporto Listone'!I304),"(.)","$1"&amp;UNICHAR(822)),'_Supporto Listone'!I304)</x:f>
        <x:v>Rigorista · Piazzati</x:v>
      </x:c>
      <x:c r="J304" s="441" t="str">
        <x:f>IF(COUNTIF(Asta!$B$4:$B$47,'_Supporto Listone'!B304)&gt;0,"Simone",IF(COUNTIF(Asta!$D$4:$D$47,'_Supporto Listone'!B304)&gt;0,"Giacomo",IF(COUNTIF(Asta!$F$4:$F$47,'_Supporto Listone'!B304)&gt;0,"Niko",IF(COUNTIF(Asta!$H$4:$H$47,'_Supporto Listone'!B304)&gt;0,"Quici",IF(COUNTIF(Asta!$J$4:$J$47,'_Supporto Listone'!B304)&gt;0,"Fratello Quici",IF(COUNTIF(Asta!$L$4:$L$47,'_Supporto Listone'!B304)&gt;0,"Nicolò",IF(COUNTIF(Asta!$N$4:$N$47,'_Supporto Listone'!B304)&gt;0,"Vi",IF(COUNTIF(Asta!$P$4:$P$47,'_Supporto Listone'!B304)&gt;0,"Lore",IF(COUNTIF(Asta!$R$4:$R$47,'_Supporto Listone'!B304)&gt;0,"Robbo",IF(COUNTIF(Asta!$T$4:$T$47,'_Supporto Listone'!B304)&gt;0,"Ale",""))))))))))</x:f>
      </x:c>
      <x:c r="K304" s="495" t="str">
        <x:f>IF(COUNTIF(Asta!$B$4:$B$47,'_Supporto Listone'!B304)&gt;0,INDEX(Asta!$C$4:$C$47,MATCH('_Supporto Listone'!B304,Asta!$B$4:$B$47,0)),IF(COUNTIF(Asta!$D$4:$D$47,'_Supporto Listone'!B304)&gt;0,INDEX(Asta!$E$4:$E$47,MATCH('_Supporto Listone'!B304,Asta!$D$4:$D$47,0)),IF(COUNTIF(Asta!$F$4:$F$47,'_Supporto Listone'!B304)&gt;0,INDEX(Asta!$G$4:$G$47,MATCH('_Supporto Listone'!B304,Asta!$F$4:$F$47,0)),IF(COUNTIF(Asta!$H$4:$H$47,'_Supporto Listone'!B304)&gt;0,INDEX(Asta!$I$4:$I$47,MATCH('_Supporto Listone'!B304,Asta!$H$4:$H$47,0)),IF(COUNTIF(Asta!$J$4:$J$47,'_Supporto Listone'!B304)&gt;0,INDEX(Asta!$K$4:$K$47,MATCH('_Supporto Listone'!B304,Asta!$J$4:$J$47,0)),IF(COUNTIF(Asta!$L$4:$L$47,'_Supporto Listone'!B304)&gt;0,INDEX(Asta!$M$4:$M$47,MATCH('_Supporto Listone'!B304,Asta!$L$4:$L$47,0)),IF(COUNTIF(Asta!$N$4:$N$47,'_Supporto Listone'!B304)&gt;0,INDEX(Asta!$O$4:$O$47,MATCH('_Supporto Listone'!B304,Asta!$N$4:$N$47,0)),IF(COUNTIF(Asta!$P$4:$P$47,'_Supporto Listone'!B304)&gt;0,INDEX(Asta!$Q$4:$Q$47,MATCH('_Supporto Listone'!B304,Asta!$P$4:$P$47,0)),IF(COUNTIF(Asta!$R$4:$R$47,'_Supporto Listone'!B304)&gt;0,INDEX(Asta!$S$4:$S$47,MATCH('_Supporto Listone'!B304,Asta!$R$4:$R$47,0)),IF(COUNTIF(Asta!$T$4:$T$47,'_Supporto Listone'!B304)&gt;0,INDEX(Asta!$U$4:$U$47,MATCH('_Supporto Listone'!B304,Asta!$T$4:$T$47,0)),""))))))))))</x:f>
      </x:c>
    </x:row>
    <x:row r="305">
      <x:c r="A305" s="440" t="str">
        <x:f>IF($J305&lt;&gt;"",REGEXREPLACE(TO_TEXT('_Supporto Listone'!A305),"(.)","$1"&amp;UNICHAR(822)),'_Supporto Listone'!A305)</x:f>
        <x:v>C</x:v>
      </x:c>
      <x:c r="B305" s="441" t="str">
        <x:f>IF($J305&lt;&gt;"",REGEXREPLACE(TO_TEXT('_Supporto Listone'!B305),"(.)","$1"&amp;UNICHAR(822)),'_Supporto Listone'!B305)</x:f>
        <x:v>Frendrup</x:v>
      </x:c>
      <x:c r="C305" s="441" t="str">
        <x:f>IF($J305&lt;&gt;"",REGEXREPLACE(TO_TEXT('_Supporto Listone'!C305),"(.)","$1"&amp;UNICHAR(822)),'_Supporto Listone'!C305)</x:f>
        <x:v>Genoa</x:v>
      </x:c>
      <x:c r="D305" s="441" t="str">
        <x:f>IF($J305&lt;&gt;"",REGEXREPLACE(TO_TEXT('_Supporto Listone'!D305),"(.)","$1"&amp;UNICHAR(822)),'_Supporto Listone'!D305)</x:f>
        <x:v>M;C</x:v>
      </x:c>
      <x:c r="E305" s="441" t="str">
        <x:f>IF($J305&lt;&gt;"",REGEXREPLACE(TO_TEXT('_Supporto Listone'!E305),"(.)","$1"&amp;UNICHAR(822)),'_Supporto Listone'!E305)</x:f>
        <x:v>Titolare</x:v>
      </x:c>
      <x:c r="F305" s="464" t="n">
        <x:f>IF($J305&lt;&gt;"",REGEXREPLACE(TO_TEXT('_Supporto Listone'!F305),"(.)","$1"&amp;UNICHAR(822)),'_Supporto Listone'!F305)</x:f>
        <x:v>7</x:v>
      </x:c>
      <x:c r="G305" s="464" t="n">
        <x:f>IF($J305&lt;&gt;"",REGEXREPLACE(TO_TEXT('_Supporto Listone'!G305),"(.)","$1"&amp;UNICHAR(822)),'_Supporto Listone'!G305)</x:f>
        <x:v>19</x:v>
      </x:c>
      <x:c r="H305" s="464" t="n">
        <x:f>IF($J305&lt;&gt;"",REGEXREPLACE(TO_TEXT('_Supporto Listone'!H305),"(.)","$1"&amp;UNICHAR(822)),'_Supporto Listone'!H305)</x:f>
        <x:v>10</x:v>
      </x:c>
      <x:c r="I305" s="442"/>
      <x:c r="J305" s="441" t="str">
        <x:f>IF(COUNTIF(Asta!$B$4:$B$47,'_Supporto Listone'!B305)&gt;0,"Simone",IF(COUNTIF(Asta!$D$4:$D$47,'_Supporto Listone'!B305)&gt;0,"Giacomo",IF(COUNTIF(Asta!$F$4:$F$47,'_Supporto Listone'!B305)&gt;0,"Niko",IF(COUNTIF(Asta!$H$4:$H$47,'_Supporto Listone'!B305)&gt;0,"Quici",IF(COUNTIF(Asta!$J$4:$J$47,'_Supporto Listone'!B305)&gt;0,"Fratello Quici",IF(COUNTIF(Asta!$L$4:$L$47,'_Supporto Listone'!B305)&gt;0,"Nicolò",IF(COUNTIF(Asta!$N$4:$N$47,'_Supporto Listone'!B305)&gt;0,"Vi",IF(COUNTIF(Asta!$P$4:$P$47,'_Supporto Listone'!B305)&gt;0,"Lore",IF(COUNTIF(Asta!$R$4:$R$47,'_Supporto Listone'!B305)&gt;0,"Robbo",IF(COUNTIF(Asta!$T$4:$T$47,'_Supporto Listone'!B305)&gt;0,"Ale",""))))))))))</x:f>
      </x:c>
      <x:c r="K305" s="495" t="str">
        <x:f>IF(COUNTIF(Asta!$B$4:$B$47,'_Supporto Listone'!B305)&gt;0,INDEX(Asta!$C$4:$C$47,MATCH('_Supporto Listone'!B305,Asta!$B$4:$B$47,0)),IF(COUNTIF(Asta!$D$4:$D$47,'_Supporto Listone'!B305)&gt;0,INDEX(Asta!$E$4:$E$47,MATCH('_Supporto Listone'!B305,Asta!$D$4:$D$47,0)),IF(COUNTIF(Asta!$F$4:$F$47,'_Supporto Listone'!B305)&gt;0,INDEX(Asta!$G$4:$G$47,MATCH('_Supporto Listone'!B305,Asta!$F$4:$F$47,0)),IF(COUNTIF(Asta!$H$4:$H$47,'_Supporto Listone'!B305)&gt;0,INDEX(Asta!$I$4:$I$47,MATCH('_Supporto Listone'!B305,Asta!$H$4:$H$47,0)),IF(COUNTIF(Asta!$J$4:$J$47,'_Supporto Listone'!B305)&gt;0,INDEX(Asta!$K$4:$K$47,MATCH('_Supporto Listone'!B305,Asta!$J$4:$J$47,0)),IF(COUNTIF(Asta!$L$4:$L$47,'_Supporto Listone'!B305)&gt;0,INDEX(Asta!$M$4:$M$47,MATCH('_Supporto Listone'!B305,Asta!$L$4:$L$47,0)),IF(COUNTIF(Asta!$N$4:$N$47,'_Supporto Listone'!B305)&gt;0,INDEX(Asta!$O$4:$O$47,MATCH('_Supporto Listone'!B305,Asta!$N$4:$N$47,0)),IF(COUNTIF(Asta!$P$4:$P$47,'_Supporto Listone'!B305)&gt;0,INDEX(Asta!$Q$4:$Q$47,MATCH('_Supporto Listone'!B305,Asta!$P$4:$P$47,0)),IF(COUNTIF(Asta!$R$4:$R$47,'_Supporto Listone'!B305)&gt;0,INDEX(Asta!$S$4:$S$47,MATCH('_Supporto Listone'!B305,Asta!$R$4:$R$47,0)),IF(COUNTIF(Asta!$T$4:$T$47,'_Supporto Listone'!B305)&gt;0,INDEX(Asta!$U$4:$U$47,MATCH('_Supporto Listone'!B305,Asta!$T$4:$T$47,0)),""))))))))))</x:f>
      </x:c>
    </x:row>
    <x:row r="306">
      <x:c r="A306" s="440" t="str">
        <x:f>IF($J306&lt;&gt;"",REGEXREPLACE(TO_TEXT('_Supporto Listone'!A306),"(.)","$1"&amp;UNICHAR(822)),'_Supporto Listone'!A306)</x:f>
        <x:v>C</x:v>
      </x:c>
      <x:c r="B306" s="441" t="str">
        <x:f>IF($J306&lt;&gt;"",REGEXREPLACE(TO_TEXT('_Supporto Listone'!B306),"(.)","$1"&amp;UNICHAR(822)),'_Supporto Listone'!B306)</x:f>
        <x:v>Frattesi</x:v>
      </x:c>
      <x:c r="C306" s="441" t="str">
        <x:f>IF($J306&lt;&gt;"",REGEXREPLACE(TO_TEXT('_Supporto Listone'!C306),"(.)","$1"&amp;UNICHAR(822)),'_Supporto Listone'!C306)</x:f>
        <x:v>Inter</x:v>
      </x:c>
      <x:c r="D306" s="441" t="str">
        <x:f>IF($J306&lt;&gt;"",REGEXREPLACE(TO_TEXT('_Supporto Listone'!D306),"(.)","$1"&amp;UNICHAR(822)),'_Supporto Listone'!D306)</x:f>
        <x:v>C;T</x:v>
      </x:c>
      <x:c r="E306" s="441" t="str">
        <x:f>IF($J306&lt;&gt;"",REGEXREPLACE(TO_TEXT('_Supporto Listone'!E306),"(.)","$1"&amp;UNICHAR(822)),'_Supporto Listone'!E306)</x:f>
        <x:v>Riserva / rotazione</x:v>
      </x:c>
      <x:c r="F306" s="464" t="n">
        <x:f>IF($J306&lt;&gt;"",REGEXREPLACE(TO_TEXT('_Supporto Listone'!F306),"(.)","$1"&amp;UNICHAR(822)),'_Supporto Listone'!F306)</x:f>
        <x:v>7</x:v>
      </x:c>
      <x:c r="G306" s="464" t="n">
        <x:f>IF($J306&lt;&gt;"",REGEXREPLACE(TO_TEXT('_Supporto Listone'!G306),"(.)","$1"&amp;UNICHAR(822)),'_Supporto Listone'!G306)</x:f>
        <x:v>13</x:v>
      </x:c>
      <x:c r="H306" s="464" t="n">
        <x:f>IF($J306&lt;&gt;"",REGEXREPLACE(TO_TEXT('_Supporto Listone'!H306),"(.)","$1"&amp;UNICHAR(822)),'_Supporto Listone'!H306)</x:f>
        <x:v>7</x:v>
      </x:c>
      <x:c r="I306" s="442"/>
      <x:c r="J306" s="441" t="str">
        <x:f>IF(COUNTIF(Asta!$B$4:$B$47,'_Supporto Listone'!B306)&gt;0,"Simone",IF(COUNTIF(Asta!$D$4:$D$47,'_Supporto Listone'!B306)&gt;0,"Giacomo",IF(COUNTIF(Asta!$F$4:$F$47,'_Supporto Listone'!B306)&gt;0,"Niko",IF(COUNTIF(Asta!$H$4:$H$47,'_Supporto Listone'!B306)&gt;0,"Quici",IF(COUNTIF(Asta!$J$4:$J$47,'_Supporto Listone'!B306)&gt;0,"Fratello Quici",IF(COUNTIF(Asta!$L$4:$L$47,'_Supporto Listone'!B306)&gt;0,"Nicolò",IF(COUNTIF(Asta!$N$4:$N$47,'_Supporto Listone'!B306)&gt;0,"Vi",IF(COUNTIF(Asta!$P$4:$P$47,'_Supporto Listone'!B306)&gt;0,"Lore",IF(COUNTIF(Asta!$R$4:$R$47,'_Supporto Listone'!B306)&gt;0,"Robbo",IF(COUNTIF(Asta!$T$4:$T$47,'_Supporto Listone'!B306)&gt;0,"Ale",""))))))))))</x:f>
      </x:c>
      <x:c r="K306" s="495" t="str">
        <x:f>IF(COUNTIF(Asta!$B$4:$B$47,'_Supporto Listone'!B306)&gt;0,INDEX(Asta!$C$4:$C$47,MATCH('_Supporto Listone'!B306,Asta!$B$4:$B$47,0)),IF(COUNTIF(Asta!$D$4:$D$47,'_Supporto Listone'!B306)&gt;0,INDEX(Asta!$E$4:$E$47,MATCH('_Supporto Listone'!B306,Asta!$D$4:$D$47,0)),IF(COUNTIF(Asta!$F$4:$F$47,'_Supporto Listone'!B306)&gt;0,INDEX(Asta!$G$4:$G$47,MATCH('_Supporto Listone'!B306,Asta!$F$4:$F$47,0)),IF(COUNTIF(Asta!$H$4:$H$47,'_Supporto Listone'!B306)&gt;0,INDEX(Asta!$I$4:$I$47,MATCH('_Supporto Listone'!B306,Asta!$H$4:$H$47,0)),IF(COUNTIF(Asta!$J$4:$J$47,'_Supporto Listone'!B306)&gt;0,INDEX(Asta!$K$4:$K$47,MATCH('_Supporto Listone'!B306,Asta!$J$4:$J$47,0)),IF(COUNTIF(Asta!$L$4:$L$47,'_Supporto Listone'!B306)&gt;0,INDEX(Asta!$M$4:$M$47,MATCH('_Supporto Listone'!B306,Asta!$L$4:$L$47,0)),IF(COUNTIF(Asta!$N$4:$N$47,'_Supporto Listone'!B306)&gt;0,INDEX(Asta!$O$4:$O$47,MATCH('_Supporto Listone'!B306,Asta!$N$4:$N$47,0)),IF(COUNTIF(Asta!$P$4:$P$47,'_Supporto Listone'!B306)&gt;0,INDEX(Asta!$Q$4:$Q$47,MATCH('_Supporto Listone'!B306,Asta!$P$4:$P$47,0)),IF(COUNTIF(Asta!$R$4:$R$47,'_Supporto Listone'!B306)&gt;0,INDEX(Asta!$S$4:$S$47,MATCH('_Supporto Listone'!B306,Asta!$R$4:$R$47,0)),IF(COUNTIF(Asta!$T$4:$T$47,'_Supporto Listone'!B306)&gt;0,INDEX(Asta!$U$4:$U$47,MATCH('_Supporto Listone'!B306,Asta!$T$4:$T$47,0)),""))))))))))</x:f>
      </x:c>
    </x:row>
    <x:row r="307">
      <x:c r="A307" s="440" t="str">
        <x:f>IF($J307&lt;&gt;"",REGEXREPLACE(TO_TEXT('_Supporto Listone'!A307),"(.)","$1"&amp;UNICHAR(822)),'_Supporto Listone'!A307)</x:f>
        <x:v>C</x:v>
      </x:c>
      <x:c r="B307" s="441" t="str">
        <x:f>IF($J307&lt;&gt;"",REGEXREPLACE(TO_TEXT('_Supporto Listone'!B307),"(.)","$1"&amp;UNICHAR(822)),'_Supporto Listone'!B307)</x:f>
        <x:v>Pessina</x:v>
      </x:c>
      <x:c r="C307" s="441" t="str">
        <x:f>IF($J307&lt;&gt;"",REGEXREPLACE(TO_TEXT('_Supporto Listone'!C307),"(.)","$1"&amp;UNICHAR(822)),'_Supporto Listone'!C307)</x:f>
        <x:v>Monza</x:v>
      </x:c>
      <x:c r="D307" s="441" t="str">
        <x:f>IF($J307&lt;&gt;"",REGEXREPLACE(TO_TEXT('_Supporto Listone'!D307),"(.)","$1"&amp;UNICHAR(822)),'_Supporto Listone'!D307)</x:f>
        <x:v>M;C</x:v>
      </x:c>
      <x:c r="E307" s="441" t="str">
        <x:f>IF($J307&lt;&gt;"",REGEXREPLACE(TO_TEXT('_Supporto Listone'!E307),"(.)","$1"&amp;UNICHAR(822)),'_Supporto Listone'!E307)</x:f>
        <x:v>Riserva / rotazione</x:v>
      </x:c>
      <x:c r="F307" s="464" t="n">
        <x:f>IF($J307&lt;&gt;"",REGEXREPLACE(TO_TEXT('_Supporto Listone'!F307),"(.)","$1"&amp;UNICHAR(822)),'_Supporto Listone'!F307)</x:f>
        <x:v>7</x:v>
      </x:c>
      <x:c r="G307" s="464" t="n">
        <x:f>IF($J307&lt;&gt;"",REGEXREPLACE(TO_TEXT('_Supporto Listone'!G307),"(.)","$1"&amp;UNICHAR(822)),'_Supporto Listone'!G307)</x:f>
        <x:v>20</x:v>
      </x:c>
      <x:c r="H307" s="464" t="n">
        <x:f>IF($J307&lt;&gt;"",REGEXREPLACE(TO_TEXT('_Supporto Listone'!H307),"(.)","$1"&amp;UNICHAR(822)),'_Supporto Listone'!H307)</x:f>
        <x:v>10</x:v>
      </x:c>
      <x:c r="I307" s="442" t="str">
        <x:f>IF($J307&lt;&gt;"",REGEXREPLACE(TO_TEXT('_Supporto Listone'!I307),"(.)","$1"&amp;UNICHAR(822)),'_Supporto Listone'!I307)</x:f>
        <x:v>Piazzati</x:v>
      </x:c>
      <x:c r="J307" s="441" t="str">
        <x:f>IF(COUNTIF(Asta!$B$4:$B$47,'_Supporto Listone'!B307)&gt;0,"Simone",IF(COUNTIF(Asta!$D$4:$D$47,'_Supporto Listone'!B307)&gt;0,"Giacomo",IF(COUNTIF(Asta!$F$4:$F$47,'_Supporto Listone'!B307)&gt;0,"Niko",IF(COUNTIF(Asta!$H$4:$H$47,'_Supporto Listone'!B307)&gt;0,"Quici",IF(COUNTIF(Asta!$J$4:$J$47,'_Supporto Listone'!B307)&gt;0,"Fratello Quici",IF(COUNTIF(Asta!$L$4:$L$47,'_Supporto Listone'!B307)&gt;0,"Nicolò",IF(COUNTIF(Asta!$N$4:$N$47,'_Supporto Listone'!B307)&gt;0,"Vi",IF(COUNTIF(Asta!$P$4:$P$47,'_Supporto Listone'!B307)&gt;0,"Lore",IF(COUNTIF(Asta!$R$4:$R$47,'_Supporto Listone'!B307)&gt;0,"Robbo",IF(COUNTIF(Asta!$T$4:$T$47,'_Supporto Listone'!B307)&gt;0,"Ale",""))))))))))</x:f>
      </x:c>
      <x:c r="K307" s="495" t="str">
        <x:f>IF(COUNTIF(Asta!$B$4:$B$47,'_Supporto Listone'!B307)&gt;0,INDEX(Asta!$C$4:$C$47,MATCH('_Supporto Listone'!B307,Asta!$B$4:$B$47,0)),IF(COUNTIF(Asta!$D$4:$D$47,'_Supporto Listone'!B307)&gt;0,INDEX(Asta!$E$4:$E$47,MATCH('_Supporto Listone'!B307,Asta!$D$4:$D$47,0)),IF(COUNTIF(Asta!$F$4:$F$47,'_Supporto Listone'!B307)&gt;0,INDEX(Asta!$G$4:$G$47,MATCH('_Supporto Listone'!B307,Asta!$F$4:$F$47,0)),IF(COUNTIF(Asta!$H$4:$H$47,'_Supporto Listone'!B307)&gt;0,INDEX(Asta!$I$4:$I$47,MATCH('_Supporto Listone'!B307,Asta!$H$4:$H$47,0)),IF(COUNTIF(Asta!$J$4:$J$47,'_Supporto Listone'!B307)&gt;0,INDEX(Asta!$K$4:$K$47,MATCH('_Supporto Listone'!B307,Asta!$J$4:$J$47,0)),IF(COUNTIF(Asta!$L$4:$L$47,'_Supporto Listone'!B307)&gt;0,INDEX(Asta!$M$4:$M$47,MATCH('_Supporto Listone'!B307,Asta!$L$4:$L$47,0)),IF(COUNTIF(Asta!$N$4:$N$47,'_Supporto Listone'!B307)&gt;0,INDEX(Asta!$O$4:$O$47,MATCH('_Supporto Listone'!B307,Asta!$N$4:$N$47,0)),IF(COUNTIF(Asta!$P$4:$P$47,'_Supporto Listone'!B307)&gt;0,INDEX(Asta!$Q$4:$Q$47,MATCH('_Supporto Listone'!B307,Asta!$P$4:$P$47,0)),IF(COUNTIF(Asta!$R$4:$R$47,'_Supporto Listone'!B307)&gt;0,INDEX(Asta!$S$4:$S$47,MATCH('_Supporto Listone'!B307,Asta!$R$4:$R$47,0)),IF(COUNTIF(Asta!$T$4:$T$47,'_Supporto Listone'!B307)&gt;0,INDEX(Asta!$U$4:$U$47,MATCH('_Supporto Listone'!B307,Asta!$T$4:$T$47,0)),""))))))))))</x:f>
      </x:c>
    </x:row>
    <x:row r="308">
      <x:c r="A308" s="440" t="str">
        <x:f>IF($J308&lt;&gt;"",REGEXREPLACE(TO_TEXT('_Supporto Listone'!A308),"(.)","$1"&amp;UNICHAR(822)),'_Supporto Listone'!A308)</x:f>
        <x:v>C</x:v>
      </x:c>
      <x:c r="B308" s="441" t="str">
        <x:f>IF($J308&lt;&gt;"",REGEXREPLACE(TO_TEXT('_Supporto Listone'!B308),"(.)","$1"&amp;UNICHAR(822)),'_Supporto Listone'!B308)</x:f>
        <x:v>Lobotka</x:v>
      </x:c>
      <x:c r="C308" s="441" t="str">
        <x:f>IF($J308&lt;&gt;"",REGEXREPLACE(TO_TEXT('_Supporto Listone'!C308),"(.)","$1"&amp;UNICHAR(822)),'_Supporto Listone'!C308)</x:f>
        <x:v>Napoli</x:v>
      </x:c>
      <x:c r="D308" s="441" t="str">
        <x:f>IF($J308&lt;&gt;"",REGEXREPLACE(TO_TEXT('_Supporto Listone'!D308),"(.)","$1"&amp;UNICHAR(822)),'_Supporto Listone'!D308)</x:f>
        <x:v>M;C</x:v>
      </x:c>
      <x:c r="E308" s="441" t="str">
        <x:f>IF($J308&lt;&gt;"",REGEXREPLACE(TO_TEXT('_Supporto Listone'!E308),"(.)","$1"&amp;UNICHAR(822)),'_Supporto Listone'!E308)</x:f>
        <x:v>Titolare</x:v>
      </x:c>
      <x:c r="F308" s="464" t="n">
        <x:f>IF($J308&lt;&gt;"",REGEXREPLACE(TO_TEXT('_Supporto Listone'!F308),"(.)","$1"&amp;UNICHAR(822)),'_Supporto Listone'!F308)</x:f>
        <x:v>7</x:v>
      </x:c>
      <x:c r="G308" s="464" t="n">
        <x:f>IF($J308&lt;&gt;"",REGEXREPLACE(TO_TEXT('_Supporto Listone'!G308),"(.)","$1"&amp;UNICHAR(822)),'_Supporto Listone'!G308)</x:f>
        <x:v>20</x:v>
      </x:c>
      <x:c r="H308" s="464" t="n">
        <x:f>IF($J308&lt;&gt;"",REGEXREPLACE(TO_TEXT('_Supporto Listone'!H308),"(.)","$1"&amp;UNICHAR(822)),'_Supporto Listone'!H308)</x:f>
        <x:v>10</x:v>
      </x:c>
      <x:c r="I308" s="442"/>
      <x:c r="J308" s="441" t="str">
        <x:f>IF(COUNTIF(Asta!$B$4:$B$47,'_Supporto Listone'!B308)&gt;0,"Simone",IF(COUNTIF(Asta!$D$4:$D$47,'_Supporto Listone'!B308)&gt;0,"Giacomo",IF(COUNTIF(Asta!$F$4:$F$47,'_Supporto Listone'!B308)&gt;0,"Niko",IF(COUNTIF(Asta!$H$4:$H$47,'_Supporto Listone'!B308)&gt;0,"Quici",IF(COUNTIF(Asta!$J$4:$J$47,'_Supporto Listone'!B308)&gt;0,"Fratello Quici",IF(COUNTIF(Asta!$L$4:$L$47,'_Supporto Listone'!B308)&gt;0,"Nicolò",IF(COUNTIF(Asta!$N$4:$N$47,'_Supporto Listone'!B308)&gt;0,"Vi",IF(COUNTIF(Asta!$P$4:$P$47,'_Supporto Listone'!B308)&gt;0,"Lore",IF(COUNTIF(Asta!$R$4:$R$47,'_Supporto Listone'!B308)&gt;0,"Robbo",IF(COUNTIF(Asta!$T$4:$T$47,'_Supporto Listone'!B308)&gt;0,"Ale",""))))))))))</x:f>
      </x:c>
      <x:c r="K308" s="495" t="str">
        <x:f>IF(COUNTIF(Asta!$B$4:$B$47,'_Supporto Listone'!B308)&gt;0,INDEX(Asta!$C$4:$C$47,MATCH('_Supporto Listone'!B308,Asta!$B$4:$B$47,0)),IF(COUNTIF(Asta!$D$4:$D$47,'_Supporto Listone'!B308)&gt;0,INDEX(Asta!$E$4:$E$47,MATCH('_Supporto Listone'!B308,Asta!$D$4:$D$47,0)),IF(COUNTIF(Asta!$F$4:$F$47,'_Supporto Listone'!B308)&gt;0,INDEX(Asta!$G$4:$G$47,MATCH('_Supporto Listone'!B308,Asta!$F$4:$F$47,0)),IF(COUNTIF(Asta!$H$4:$H$47,'_Supporto Listone'!B308)&gt;0,INDEX(Asta!$I$4:$I$47,MATCH('_Supporto Listone'!B308,Asta!$H$4:$H$47,0)),IF(COUNTIF(Asta!$J$4:$J$47,'_Supporto Listone'!B308)&gt;0,INDEX(Asta!$K$4:$K$47,MATCH('_Supporto Listone'!B308,Asta!$J$4:$J$47,0)),IF(COUNTIF(Asta!$L$4:$L$47,'_Supporto Listone'!B308)&gt;0,INDEX(Asta!$M$4:$M$47,MATCH('_Supporto Listone'!B308,Asta!$L$4:$L$47,0)),IF(COUNTIF(Asta!$N$4:$N$47,'_Supporto Listone'!B308)&gt;0,INDEX(Asta!$O$4:$O$47,MATCH('_Supporto Listone'!B308,Asta!$N$4:$N$47,0)),IF(COUNTIF(Asta!$P$4:$P$47,'_Supporto Listone'!B308)&gt;0,INDEX(Asta!$Q$4:$Q$47,MATCH('_Supporto Listone'!B308,Asta!$P$4:$P$47,0)),IF(COUNTIF(Asta!$R$4:$R$47,'_Supporto Listone'!B308)&gt;0,INDEX(Asta!$S$4:$S$47,MATCH('_Supporto Listone'!B308,Asta!$R$4:$R$47,0)),IF(COUNTIF(Asta!$T$4:$T$47,'_Supporto Listone'!B308)&gt;0,INDEX(Asta!$U$4:$U$47,MATCH('_Supporto Listone'!B308,Asta!$T$4:$T$47,0)),""))))))))))</x:f>
      </x:c>
    </x:row>
    <x:row r="309">
      <x:c r="A309" s="440" t="str">
        <x:f>IF($J309&lt;&gt;"",REGEXREPLACE(TO_TEXT('_Supporto Listone'!A309),"(.)","$1"&amp;UNICHAR(822)),'_Supporto Listone'!A309)</x:f>
        <x:v>C</x:v>
      </x:c>
      <x:c r="B309" s="441" t="str">
        <x:f>IF($J309&lt;&gt;"",REGEXREPLACE(TO_TEXT('_Supporto Listone'!B309),"(.)","$1"&amp;UNICHAR(822)),'_Supporto Listone'!B309)</x:f>
        <x:v>Bernabè</x:v>
      </x:c>
      <x:c r="C309" s="441" t="str">
        <x:f>IF($J309&lt;&gt;"",REGEXREPLACE(TO_TEXT('_Supporto Listone'!C309),"(.)","$1"&amp;UNICHAR(822)),'_Supporto Listone'!C309)</x:f>
        <x:v>Parma</x:v>
      </x:c>
      <x:c r="D309" s="441" t="str">
        <x:f>IF($J309&lt;&gt;"",REGEXREPLACE(TO_TEXT('_Supporto Listone'!D309),"(.)","$1"&amp;UNICHAR(822)),'_Supporto Listone'!D309)</x:f>
        <x:v>C</x:v>
      </x:c>
      <x:c r="E309" s="441" t="str">
        <x:f>IF($J309&lt;&gt;"",REGEXREPLACE(TO_TEXT('_Supporto Listone'!E309),"(.)","$1"&amp;UNICHAR(822)),'_Supporto Listone'!E309)</x:f>
        <x:v>Titolare</x:v>
      </x:c>
      <x:c r="F309" s="464" t="n">
        <x:f>IF($J309&lt;&gt;"",REGEXREPLACE(TO_TEXT('_Supporto Listone'!F309),"(.)","$1"&amp;UNICHAR(822)),'_Supporto Listone'!F309)</x:f>
        <x:v>7</x:v>
      </x:c>
      <x:c r="G309" s="464" t="n">
        <x:f>IF($J309&lt;&gt;"",REGEXREPLACE(TO_TEXT('_Supporto Listone'!G309),"(.)","$1"&amp;UNICHAR(822)),'_Supporto Listone'!G309)</x:f>
        <x:v>36</x:v>
      </x:c>
      <x:c r="H309" s="464" t="n">
        <x:f>IF($J309&lt;&gt;"",REGEXREPLACE(TO_TEXT('_Supporto Listone'!H309),"(.)","$1"&amp;UNICHAR(822)),'_Supporto Listone'!H309)</x:f>
        <x:v>18</x:v>
      </x:c>
      <x:c r="I309" s="442" t="str">
        <x:f>IF($J309&lt;&gt;"",REGEXREPLACE(TO_TEXT('_Supporto Listone'!I309),"(.)","$1"&amp;UNICHAR(822)),'_Supporto Listone'!I309)</x:f>
        <x:v>Piazzati</x:v>
      </x:c>
      <x:c r="J309" s="441" t="str">
        <x:f>IF(COUNTIF(Asta!$B$4:$B$47,'_Supporto Listone'!B309)&gt;0,"Simone",IF(COUNTIF(Asta!$D$4:$D$47,'_Supporto Listone'!B309)&gt;0,"Giacomo",IF(COUNTIF(Asta!$F$4:$F$47,'_Supporto Listone'!B309)&gt;0,"Niko",IF(COUNTIF(Asta!$H$4:$H$47,'_Supporto Listone'!B309)&gt;0,"Quici",IF(COUNTIF(Asta!$J$4:$J$47,'_Supporto Listone'!B309)&gt;0,"Fratello Quici",IF(COUNTIF(Asta!$L$4:$L$47,'_Supporto Listone'!B309)&gt;0,"Nicolò",IF(COUNTIF(Asta!$N$4:$N$47,'_Supporto Listone'!B309)&gt;0,"Vi",IF(COUNTIF(Asta!$P$4:$P$47,'_Supporto Listone'!B309)&gt;0,"Lore",IF(COUNTIF(Asta!$R$4:$R$47,'_Supporto Listone'!B309)&gt;0,"Robbo",IF(COUNTIF(Asta!$T$4:$T$47,'_Supporto Listone'!B309)&gt;0,"Ale",""))))))))))</x:f>
      </x:c>
      <x:c r="K309" s="495" t="str">
        <x:f>IF(COUNTIF(Asta!$B$4:$B$47,'_Supporto Listone'!B309)&gt;0,INDEX(Asta!$C$4:$C$47,MATCH('_Supporto Listone'!B309,Asta!$B$4:$B$47,0)),IF(COUNTIF(Asta!$D$4:$D$47,'_Supporto Listone'!B309)&gt;0,INDEX(Asta!$E$4:$E$47,MATCH('_Supporto Listone'!B309,Asta!$D$4:$D$47,0)),IF(COUNTIF(Asta!$F$4:$F$47,'_Supporto Listone'!B309)&gt;0,INDEX(Asta!$G$4:$G$47,MATCH('_Supporto Listone'!B309,Asta!$F$4:$F$47,0)),IF(COUNTIF(Asta!$H$4:$H$47,'_Supporto Listone'!B309)&gt;0,INDEX(Asta!$I$4:$I$47,MATCH('_Supporto Listone'!B309,Asta!$H$4:$H$47,0)),IF(COUNTIF(Asta!$J$4:$J$47,'_Supporto Listone'!B309)&gt;0,INDEX(Asta!$K$4:$K$47,MATCH('_Supporto Listone'!B309,Asta!$J$4:$J$47,0)),IF(COUNTIF(Asta!$L$4:$L$47,'_Supporto Listone'!B309)&gt;0,INDEX(Asta!$M$4:$M$47,MATCH('_Supporto Listone'!B309,Asta!$L$4:$L$47,0)),IF(COUNTIF(Asta!$N$4:$N$47,'_Supporto Listone'!B309)&gt;0,INDEX(Asta!$O$4:$O$47,MATCH('_Supporto Listone'!B309,Asta!$N$4:$N$47,0)),IF(COUNTIF(Asta!$P$4:$P$47,'_Supporto Listone'!B309)&gt;0,INDEX(Asta!$Q$4:$Q$47,MATCH('_Supporto Listone'!B309,Asta!$P$4:$P$47,0)),IF(COUNTIF(Asta!$R$4:$R$47,'_Supporto Listone'!B309)&gt;0,INDEX(Asta!$S$4:$S$47,MATCH('_Supporto Listone'!B309,Asta!$R$4:$R$47,0)),IF(COUNTIF(Asta!$T$4:$T$47,'_Supporto Listone'!B309)&gt;0,INDEX(Asta!$U$4:$U$47,MATCH('_Supporto Listone'!B309,Asta!$T$4:$T$47,0)),""))))))))))</x:f>
      </x:c>
    </x:row>
    <x:row r="310">
      <x:c r="A310" s="440" t="str">
        <x:f>IF($J310&lt;&gt;"",REGEXREPLACE(TO_TEXT('_Supporto Listone'!A310),"(.)","$1"&amp;UNICHAR(822)),'_Supporto Listone'!A310)</x:f>
        <x:v>C</x:v>
      </x:c>
      <x:c r="B310" s="441" t="str">
        <x:f>IF($J310&lt;&gt;"",REGEXREPLACE(TO_TEXT('_Supporto Listone'!B310),"(.)","$1"&amp;UNICHAR(822)),'_Supporto Listone'!B310)</x:f>
        <x:v>Volpato</x:v>
      </x:c>
      <x:c r="C310" s="441" t="str">
        <x:f>IF($J310&lt;&gt;"",REGEXREPLACE(TO_TEXT('_Supporto Listone'!C310),"(.)","$1"&amp;UNICHAR(822)),'_Supporto Listone'!C310)</x:f>
        <x:v>Sassuolo</x:v>
      </x:c>
      <x:c r="D310" s="441" t="str">
        <x:f>IF($J310&lt;&gt;"",REGEXREPLACE(TO_TEXT('_Supporto Listone'!D310),"(.)","$1"&amp;UNICHAR(822)),'_Supporto Listone'!D310)</x:f>
        <x:v>W;T</x:v>
      </x:c>
      <x:c r="E310" s="441" t="str">
        <x:f>IF($J310&lt;&gt;"",REGEXREPLACE(TO_TEXT('_Supporto Listone'!E310),"(.)","$1"&amp;UNICHAR(822)),'_Supporto Listone'!E310)</x:f>
        <x:v>Riserva / rotazione</x:v>
      </x:c>
      <x:c r="F310" s="464" t="n">
        <x:f>IF($J310&lt;&gt;"",REGEXREPLACE(TO_TEXT('_Supporto Listone'!F310),"(.)","$1"&amp;UNICHAR(822)),'_Supporto Listone'!F310)</x:f>
        <x:v>7</x:v>
      </x:c>
      <x:c r="G310" s="464" t="n">
        <x:f>IF($J310&lt;&gt;"",REGEXREPLACE(TO_TEXT('_Supporto Listone'!G310),"(.)","$1"&amp;UNICHAR(822)),'_Supporto Listone'!G310)</x:f>
        <x:v>23</x:v>
      </x:c>
      <x:c r="H310" s="464" t="n">
        <x:f>IF($J310&lt;&gt;"",REGEXREPLACE(TO_TEXT('_Supporto Listone'!H310),"(.)","$1"&amp;UNICHAR(822)),'_Supporto Listone'!H310)</x:f>
        <x:v>12</x:v>
      </x:c>
      <x:c r="I310" s="442"/>
      <x:c r="J310" s="441" t="str">
        <x:f>IF(COUNTIF(Asta!$B$4:$B$47,'_Supporto Listone'!B310)&gt;0,"Simone",IF(COUNTIF(Asta!$D$4:$D$47,'_Supporto Listone'!B310)&gt;0,"Giacomo",IF(COUNTIF(Asta!$F$4:$F$47,'_Supporto Listone'!B310)&gt;0,"Niko",IF(COUNTIF(Asta!$H$4:$H$47,'_Supporto Listone'!B310)&gt;0,"Quici",IF(COUNTIF(Asta!$J$4:$J$47,'_Supporto Listone'!B310)&gt;0,"Fratello Quici",IF(COUNTIF(Asta!$L$4:$L$47,'_Supporto Listone'!B310)&gt;0,"Nicolò",IF(COUNTIF(Asta!$N$4:$N$47,'_Supporto Listone'!B310)&gt;0,"Vi",IF(COUNTIF(Asta!$P$4:$P$47,'_Supporto Listone'!B310)&gt;0,"Lore",IF(COUNTIF(Asta!$R$4:$R$47,'_Supporto Listone'!B310)&gt;0,"Robbo",IF(COUNTIF(Asta!$T$4:$T$47,'_Supporto Listone'!B310)&gt;0,"Ale",""))))))))))</x:f>
      </x:c>
      <x:c r="K310" s="495" t="str">
        <x:f>IF(COUNTIF(Asta!$B$4:$B$47,'_Supporto Listone'!B310)&gt;0,INDEX(Asta!$C$4:$C$47,MATCH('_Supporto Listone'!B310,Asta!$B$4:$B$47,0)),IF(COUNTIF(Asta!$D$4:$D$47,'_Supporto Listone'!B310)&gt;0,INDEX(Asta!$E$4:$E$47,MATCH('_Supporto Listone'!B310,Asta!$D$4:$D$47,0)),IF(COUNTIF(Asta!$F$4:$F$47,'_Supporto Listone'!B310)&gt;0,INDEX(Asta!$G$4:$G$47,MATCH('_Supporto Listone'!B310,Asta!$F$4:$F$47,0)),IF(COUNTIF(Asta!$H$4:$H$47,'_Supporto Listone'!B310)&gt;0,INDEX(Asta!$I$4:$I$47,MATCH('_Supporto Listone'!B310,Asta!$H$4:$H$47,0)),IF(COUNTIF(Asta!$J$4:$J$47,'_Supporto Listone'!B310)&gt;0,INDEX(Asta!$K$4:$K$47,MATCH('_Supporto Listone'!B310,Asta!$J$4:$J$47,0)),IF(COUNTIF(Asta!$L$4:$L$47,'_Supporto Listone'!B310)&gt;0,INDEX(Asta!$M$4:$M$47,MATCH('_Supporto Listone'!B310,Asta!$L$4:$L$47,0)),IF(COUNTIF(Asta!$N$4:$N$47,'_Supporto Listone'!B310)&gt;0,INDEX(Asta!$O$4:$O$47,MATCH('_Supporto Listone'!B310,Asta!$N$4:$N$47,0)),IF(COUNTIF(Asta!$P$4:$P$47,'_Supporto Listone'!B310)&gt;0,INDEX(Asta!$Q$4:$Q$47,MATCH('_Supporto Listone'!B310,Asta!$P$4:$P$47,0)),IF(COUNTIF(Asta!$R$4:$R$47,'_Supporto Listone'!B310)&gt;0,INDEX(Asta!$S$4:$S$47,MATCH('_Supporto Listone'!B310,Asta!$R$4:$R$47,0)),IF(COUNTIF(Asta!$T$4:$T$47,'_Supporto Listone'!B310)&gt;0,INDEX(Asta!$U$4:$U$47,MATCH('_Supporto Listone'!B310,Asta!$T$4:$T$47,0)),""))))))))))</x:f>
      </x:c>
    </x:row>
    <x:row r="311">
      <x:c r="A311" s="440" t="str">
        <x:f>IF($J311&lt;&gt;"",REGEXREPLACE(TO_TEXT('_Supporto Listone'!A311),"(.)","$1"&amp;UNICHAR(822)),'_Supporto Listone'!A311)</x:f>
        <x:v>C</x:v>
      </x:c>
      <x:c r="B311" s="441" t="str">
        <x:f>IF($J311&lt;&gt;"",REGEXREPLACE(TO_TEXT('_Supporto Listone'!B311),"(.)","$1"&amp;UNICHAR(822)),'_Supporto Listone'!B311)</x:f>
        <x:v>Oristanio</x:v>
      </x:c>
      <x:c r="C311" s="441" t="str">
        <x:f>IF($J311&lt;&gt;"",REGEXREPLACE(TO_TEXT('_Supporto Listone'!C311),"(.)","$1"&amp;UNICHAR(822)),'_Supporto Listone'!C311)</x:f>
        <x:v>Torino</x:v>
      </x:c>
      <x:c r="D311" s="441" t="str">
        <x:f>IF($J311&lt;&gt;"",REGEXREPLACE(TO_TEXT('_Supporto Listone'!D311),"(.)","$1"&amp;UNICHAR(822)),'_Supporto Listone'!D311)</x:f>
        <x:v>W;T</x:v>
      </x:c>
      <x:c r="E311" s="441" t="str">
        <x:f>IF($J311&lt;&gt;"",REGEXREPLACE(TO_TEXT('_Supporto Listone'!E311),"(.)","$1"&amp;UNICHAR(822)),'_Supporto Listone'!E311)</x:f>
        <x:v>Riserva / rotazione</x:v>
      </x:c>
      <x:c r="F311" s="464" t="n">
        <x:f>IF($J311&lt;&gt;"",REGEXREPLACE(TO_TEXT('_Supporto Listone'!F311),"(.)","$1"&amp;UNICHAR(822)),'_Supporto Listone'!F311)</x:f>
        <x:v>7</x:v>
      </x:c>
      <x:c r="G311" s="464" t="n">
        <x:f>IF($J311&lt;&gt;"",REGEXREPLACE(TO_TEXT('_Supporto Listone'!G311),"(.)","$1"&amp;UNICHAR(822)),'_Supporto Listone'!G311)</x:f>
        <x:v>27</x:v>
      </x:c>
      <x:c r="H311" s="464" t="n">
        <x:f>IF($J311&lt;&gt;"",REGEXREPLACE(TO_TEXT('_Supporto Listone'!H311),"(.)","$1"&amp;UNICHAR(822)),'_Supporto Listone'!H311)</x:f>
        <x:v>14</x:v>
      </x:c>
      <x:c r="I311" s="442"/>
      <x:c r="J311" s="441" t="str">
        <x:f>IF(COUNTIF(Asta!$B$4:$B$47,'_Supporto Listone'!B311)&gt;0,"Simone",IF(COUNTIF(Asta!$D$4:$D$47,'_Supporto Listone'!B311)&gt;0,"Giacomo",IF(COUNTIF(Asta!$F$4:$F$47,'_Supporto Listone'!B311)&gt;0,"Niko",IF(COUNTIF(Asta!$H$4:$H$47,'_Supporto Listone'!B311)&gt;0,"Quici",IF(COUNTIF(Asta!$J$4:$J$47,'_Supporto Listone'!B311)&gt;0,"Fratello Quici",IF(COUNTIF(Asta!$L$4:$L$47,'_Supporto Listone'!B311)&gt;0,"Nicolò",IF(COUNTIF(Asta!$N$4:$N$47,'_Supporto Listone'!B311)&gt;0,"Vi",IF(COUNTIF(Asta!$P$4:$P$47,'_Supporto Listone'!B311)&gt;0,"Lore",IF(COUNTIF(Asta!$R$4:$R$47,'_Supporto Listone'!B311)&gt;0,"Robbo",IF(COUNTIF(Asta!$T$4:$T$47,'_Supporto Listone'!B311)&gt;0,"Ale",""))))))))))</x:f>
      </x:c>
      <x:c r="K311" s="495" t="str">
        <x:f>IF(COUNTIF(Asta!$B$4:$B$47,'_Supporto Listone'!B311)&gt;0,INDEX(Asta!$C$4:$C$47,MATCH('_Supporto Listone'!B311,Asta!$B$4:$B$47,0)),IF(COUNTIF(Asta!$D$4:$D$47,'_Supporto Listone'!B311)&gt;0,INDEX(Asta!$E$4:$E$47,MATCH('_Supporto Listone'!B311,Asta!$D$4:$D$47,0)),IF(COUNTIF(Asta!$F$4:$F$47,'_Supporto Listone'!B311)&gt;0,INDEX(Asta!$G$4:$G$47,MATCH('_Supporto Listone'!B311,Asta!$F$4:$F$47,0)),IF(COUNTIF(Asta!$H$4:$H$47,'_Supporto Listone'!B311)&gt;0,INDEX(Asta!$I$4:$I$47,MATCH('_Supporto Listone'!B311,Asta!$H$4:$H$47,0)),IF(COUNTIF(Asta!$J$4:$J$47,'_Supporto Listone'!B311)&gt;0,INDEX(Asta!$K$4:$K$47,MATCH('_Supporto Listone'!B311,Asta!$J$4:$J$47,0)),IF(COUNTIF(Asta!$L$4:$L$47,'_Supporto Listone'!B311)&gt;0,INDEX(Asta!$M$4:$M$47,MATCH('_Supporto Listone'!B311,Asta!$L$4:$L$47,0)),IF(COUNTIF(Asta!$N$4:$N$47,'_Supporto Listone'!B311)&gt;0,INDEX(Asta!$O$4:$O$47,MATCH('_Supporto Listone'!B311,Asta!$N$4:$N$47,0)),IF(COUNTIF(Asta!$P$4:$P$47,'_Supporto Listone'!B311)&gt;0,INDEX(Asta!$Q$4:$Q$47,MATCH('_Supporto Listone'!B311,Asta!$P$4:$P$47,0)),IF(COUNTIF(Asta!$R$4:$R$47,'_Supporto Listone'!B311)&gt;0,INDEX(Asta!$S$4:$S$47,MATCH('_Supporto Listone'!B311,Asta!$R$4:$R$47,0)),IF(COUNTIF(Asta!$T$4:$T$47,'_Supporto Listone'!B311)&gt;0,INDEX(Asta!$U$4:$U$47,MATCH('_Supporto Listone'!B311,Asta!$T$4:$T$47,0)),""))))))))))</x:f>
      </x:c>
    </x:row>
    <x:row r="312">
      <x:c r="A312" s="440" t="str">
        <x:f>IF($J312&lt;&gt;"",REGEXREPLACE(TO_TEXT('_Supporto Listone'!A312),"(.)","$1"&amp;UNICHAR(822)),'_Supporto Listone'!A312)</x:f>
        <x:v>C</x:v>
      </x:c>
      <x:c r="B312" s="441" t="str">
        <x:f>IF($J312&lt;&gt;"",REGEXREPLACE(TO_TEXT('_Supporto Listone'!B312),"(.)","$1"&amp;UNICHAR(822)),'_Supporto Listone'!B312)</x:f>
        <x:v>Unai Gomez</x:v>
      </x:c>
      <x:c r="C312" s="441" t="str">
        <x:f>IF($J312&lt;&gt;"",REGEXREPLACE(TO_TEXT('_Supporto Listone'!C312),"(.)","$1"&amp;UNICHAR(822)),'_Supporto Listone'!C312)</x:f>
        <x:v>Udinese</x:v>
      </x:c>
      <x:c r="D312" s="441" t="str">
        <x:f>IF($J312&lt;&gt;"",REGEXREPLACE(TO_TEXT('_Supporto Listone'!D312),"(.)","$1"&amp;UNICHAR(822)),'_Supporto Listone'!D312)</x:f>
        <x:v>T</x:v>
      </x:c>
      <x:c r="E312" s="441" t="str">
        <x:f>IF($J312&lt;&gt;"",REGEXREPLACE(TO_TEXT('_Supporto Listone'!E312),"(.)","$1"&amp;UNICHAR(822)),'_Supporto Listone'!E312)</x:f>
        <x:v>Riserva / rotazione</x:v>
      </x:c>
      <x:c r="F312" s="464" t="n">
        <x:f>IF($J312&lt;&gt;"",REGEXREPLACE(TO_TEXT('_Supporto Listone'!F312),"(.)","$1"&amp;UNICHAR(822)),'_Supporto Listone'!F312)</x:f>
        <x:v>7</x:v>
      </x:c>
      <x:c r="G312" s="464" t="n">
        <x:f>IF($J312&lt;&gt;"",REGEXREPLACE(TO_TEXT('_Supporto Listone'!G312),"(.)","$1"&amp;UNICHAR(822)),'_Supporto Listone'!G312)</x:f>
        <x:v>23</x:v>
      </x:c>
      <x:c r="H312" s="464" t="n">
        <x:f>IF($J312&lt;&gt;"",REGEXREPLACE(TO_TEXT('_Supporto Listone'!H312),"(.)","$1"&amp;UNICHAR(822)),'_Supporto Listone'!H312)</x:f>
        <x:v>12</x:v>
      </x:c>
      <x:c r="I312" s="442" t="str">
        <x:f>IF($J312&lt;&gt;"",REGEXREPLACE(TO_TEXT('_Supporto Listone'!I312),"(.)","$1"&amp;UNICHAR(822)),'_Supporto Listone'!I312)</x:f>
        <x:v>Piazzati</x:v>
      </x:c>
      <x:c r="J312" s="441" t="str">
        <x:f>IF(COUNTIF(Asta!$B$4:$B$47,'_Supporto Listone'!B312)&gt;0,"Simone",IF(COUNTIF(Asta!$D$4:$D$47,'_Supporto Listone'!B312)&gt;0,"Giacomo",IF(COUNTIF(Asta!$F$4:$F$47,'_Supporto Listone'!B312)&gt;0,"Niko",IF(COUNTIF(Asta!$H$4:$H$47,'_Supporto Listone'!B312)&gt;0,"Quici",IF(COUNTIF(Asta!$J$4:$J$47,'_Supporto Listone'!B312)&gt;0,"Fratello Quici",IF(COUNTIF(Asta!$L$4:$L$47,'_Supporto Listone'!B312)&gt;0,"Nicolò",IF(COUNTIF(Asta!$N$4:$N$47,'_Supporto Listone'!B312)&gt;0,"Vi",IF(COUNTIF(Asta!$P$4:$P$47,'_Supporto Listone'!B312)&gt;0,"Lore",IF(COUNTIF(Asta!$R$4:$R$47,'_Supporto Listone'!B312)&gt;0,"Robbo",IF(COUNTIF(Asta!$T$4:$T$47,'_Supporto Listone'!B312)&gt;0,"Ale",""))))))))))</x:f>
      </x:c>
      <x:c r="K312" s="495" t="str">
        <x:f>IF(COUNTIF(Asta!$B$4:$B$47,'_Supporto Listone'!B312)&gt;0,INDEX(Asta!$C$4:$C$47,MATCH('_Supporto Listone'!B312,Asta!$B$4:$B$47,0)),IF(COUNTIF(Asta!$D$4:$D$47,'_Supporto Listone'!B312)&gt;0,INDEX(Asta!$E$4:$E$47,MATCH('_Supporto Listone'!B312,Asta!$D$4:$D$47,0)),IF(COUNTIF(Asta!$F$4:$F$47,'_Supporto Listone'!B312)&gt;0,INDEX(Asta!$G$4:$G$47,MATCH('_Supporto Listone'!B312,Asta!$F$4:$F$47,0)),IF(COUNTIF(Asta!$H$4:$H$47,'_Supporto Listone'!B312)&gt;0,INDEX(Asta!$I$4:$I$47,MATCH('_Supporto Listone'!B312,Asta!$H$4:$H$47,0)),IF(COUNTIF(Asta!$J$4:$J$47,'_Supporto Listone'!B312)&gt;0,INDEX(Asta!$K$4:$K$47,MATCH('_Supporto Listone'!B312,Asta!$J$4:$J$47,0)),IF(COUNTIF(Asta!$L$4:$L$47,'_Supporto Listone'!B312)&gt;0,INDEX(Asta!$M$4:$M$47,MATCH('_Supporto Listone'!B312,Asta!$L$4:$L$47,0)),IF(COUNTIF(Asta!$N$4:$N$47,'_Supporto Listone'!B312)&gt;0,INDEX(Asta!$O$4:$O$47,MATCH('_Supporto Listone'!B312,Asta!$N$4:$N$47,0)),IF(COUNTIF(Asta!$P$4:$P$47,'_Supporto Listone'!B312)&gt;0,INDEX(Asta!$Q$4:$Q$47,MATCH('_Supporto Listone'!B312,Asta!$P$4:$P$47,0)),IF(COUNTIF(Asta!$R$4:$R$47,'_Supporto Listone'!B312)&gt;0,INDEX(Asta!$S$4:$S$47,MATCH('_Supporto Listone'!B312,Asta!$R$4:$R$47,0)),IF(COUNTIF(Asta!$T$4:$T$47,'_Supporto Listone'!B312)&gt;0,INDEX(Asta!$U$4:$U$47,MATCH('_Supporto Listone'!B312,Asta!$T$4:$T$47,0)),""))))))))))</x:f>
      </x:c>
    </x:row>
    <x:row r="313">
      <x:c r="A313" s="440" t="str">
        <x:f>IF($J313&lt;&gt;"",REGEXREPLACE(TO_TEXT('_Supporto Listone'!A313),"(.)","$1"&amp;UNICHAR(822)),'_Supporto Listone'!A313)</x:f>
        <x:v>C</x:v>
      </x:c>
      <x:c r="B313" s="441" t="str">
        <x:f>IF($J313&lt;&gt;"",REGEXREPLACE(TO_TEXT('_Supporto Listone'!B313),"(.)","$1"&amp;UNICHAR(822)),'_Supporto Listone'!B313)</x:f>
        <x:v>Zalewski</x:v>
      </x:c>
      <x:c r="C313" s="441" t="str">
        <x:f>IF($J313&lt;&gt;"",REGEXREPLACE(TO_TEXT('_Supporto Listone'!C313),"(.)","$1"&amp;UNICHAR(822)),'_Supporto Listone'!C313)</x:f>
        <x:v>Atalanta</x:v>
      </x:c>
      <x:c r="D313" s="441" t="str">
        <x:f>IF($J313&lt;&gt;"",REGEXREPLACE(TO_TEXT('_Supporto Listone'!D313),"(.)","$1"&amp;UNICHAR(822)),'_Supporto Listone'!D313)</x:f>
        <x:v>W</x:v>
      </x:c>
      <x:c r="E313" s="441" t="str">
        <x:f>IF($J313&lt;&gt;"",REGEXREPLACE(TO_TEXT('_Supporto Listone'!E313),"(.)","$1"&amp;UNICHAR(822)),'_Supporto Listone'!E313)</x:f>
        <x:v>Riserva / rotazione</x:v>
      </x:c>
      <x:c r="F313" s="464" t="n">
        <x:f>IF($J313&lt;&gt;"",REGEXREPLACE(TO_TEXT('_Supporto Listone'!F313),"(.)","$1"&amp;UNICHAR(822)),'_Supporto Listone'!F313)</x:f>
        <x:v>6</x:v>
      </x:c>
      <x:c r="G313" s="464" t="n">
        <x:f>IF($J313&lt;&gt;"",REGEXREPLACE(TO_TEXT('_Supporto Listone'!G313),"(.)","$1"&amp;UNICHAR(822)),'_Supporto Listone'!G313)</x:f>
        <x:v>21</x:v>
      </x:c>
      <x:c r="H313" s="464" t="n">
        <x:f>IF($J313&lt;&gt;"",REGEXREPLACE(TO_TEXT('_Supporto Listone'!H313),"(.)","$1"&amp;UNICHAR(822)),'_Supporto Listone'!H313)</x:f>
        <x:v>11</x:v>
      </x:c>
      <x:c r="I313" s="442"/>
      <x:c r="J313" s="441" t="str">
        <x:f>IF(COUNTIF(Asta!$B$4:$B$47,'_Supporto Listone'!B313)&gt;0,"Simone",IF(COUNTIF(Asta!$D$4:$D$47,'_Supporto Listone'!B313)&gt;0,"Giacomo",IF(COUNTIF(Asta!$F$4:$F$47,'_Supporto Listone'!B313)&gt;0,"Niko",IF(COUNTIF(Asta!$H$4:$H$47,'_Supporto Listone'!B313)&gt;0,"Quici",IF(COUNTIF(Asta!$J$4:$J$47,'_Supporto Listone'!B313)&gt;0,"Fratello Quici",IF(COUNTIF(Asta!$L$4:$L$47,'_Supporto Listone'!B313)&gt;0,"Nicolò",IF(COUNTIF(Asta!$N$4:$N$47,'_Supporto Listone'!B313)&gt;0,"Vi",IF(COUNTIF(Asta!$P$4:$P$47,'_Supporto Listone'!B313)&gt;0,"Lore",IF(COUNTIF(Asta!$R$4:$R$47,'_Supporto Listone'!B313)&gt;0,"Robbo",IF(COUNTIF(Asta!$T$4:$T$47,'_Supporto Listone'!B313)&gt;0,"Ale",""))))))))))</x:f>
      </x:c>
      <x:c r="K313" s="495" t="str">
        <x:f>IF(COUNTIF(Asta!$B$4:$B$47,'_Supporto Listone'!B313)&gt;0,INDEX(Asta!$C$4:$C$47,MATCH('_Supporto Listone'!B313,Asta!$B$4:$B$47,0)),IF(COUNTIF(Asta!$D$4:$D$47,'_Supporto Listone'!B313)&gt;0,INDEX(Asta!$E$4:$E$47,MATCH('_Supporto Listone'!B313,Asta!$D$4:$D$47,0)),IF(COUNTIF(Asta!$F$4:$F$47,'_Supporto Listone'!B313)&gt;0,INDEX(Asta!$G$4:$G$47,MATCH('_Supporto Listone'!B313,Asta!$F$4:$F$47,0)),IF(COUNTIF(Asta!$H$4:$H$47,'_Supporto Listone'!B313)&gt;0,INDEX(Asta!$I$4:$I$47,MATCH('_Supporto Listone'!B313,Asta!$H$4:$H$47,0)),IF(COUNTIF(Asta!$J$4:$J$47,'_Supporto Listone'!B313)&gt;0,INDEX(Asta!$K$4:$K$47,MATCH('_Supporto Listone'!B313,Asta!$J$4:$J$47,0)),IF(COUNTIF(Asta!$L$4:$L$47,'_Supporto Listone'!B313)&gt;0,INDEX(Asta!$M$4:$M$47,MATCH('_Supporto Listone'!B313,Asta!$L$4:$L$47,0)),IF(COUNTIF(Asta!$N$4:$N$47,'_Supporto Listone'!B313)&gt;0,INDEX(Asta!$O$4:$O$47,MATCH('_Supporto Listone'!B313,Asta!$N$4:$N$47,0)),IF(COUNTIF(Asta!$P$4:$P$47,'_Supporto Listone'!B313)&gt;0,INDEX(Asta!$Q$4:$Q$47,MATCH('_Supporto Listone'!B313,Asta!$P$4:$P$47,0)),IF(COUNTIF(Asta!$R$4:$R$47,'_Supporto Listone'!B313)&gt;0,INDEX(Asta!$S$4:$S$47,MATCH('_Supporto Listone'!B313,Asta!$R$4:$R$47,0)),IF(COUNTIF(Asta!$T$4:$T$47,'_Supporto Listone'!B313)&gt;0,INDEX(Asta!$U$4:$U$47,MATCH('_Supporto Listone'!B313,Asta!$T$4:$T$47,0)),""))))))))))</x:f>
      </x:c>
    </x:row>
    <x:row r="314">
      <x:c r="A314" s="440" t="str">
        <x:f>IF($J314&lt;&gt;"",REGEXREPLACE(TO_TEXT('_Supporto Listone'!A314),"(.)","$1"&amp;UNICHAR(822)),'_Supporto Listone'!A314)</x:f>
        <x:v>C</x:v>
      </x:c>
      <x:c r="B314" s="441" t="str">
        <x:f>IF($J314&lt;&gt;"",REGEXREPLACE(TO_TEXT('_Supporto Listone'!B314),"(.)","$1"&amp;UNICHAR(822)),'_Supporto Listone'!B314)</x:f>
        <x:v>Pobega</x:v>
      </x:c>
      <x:c r="C314" s="441" t="str">
        <x:f>IF($J314&lt;&gt;"",REGEXREPLACE(TO_TEXT('_Supporto Listone'!C314),"(.)","$1"&amp;UNICHAR(822)),'_Supporto Listone'!C314)</x:f>
        <x:v>Bologna</x:v>
      </x:c>
      <x:c r="D314" s="441" t="str">
        <x:f>IF($J314&lt;&gt;"",REGEXREPLACE(TO_TEXT('_Supporto Listone'!D314),"(.)","$1"&amp;UNICHAR(822)),'_Supporto Listone'!D314)</x:f>
        <x:v>M;C</x:v>
      </x:c>
      <x:c r="E314" s="441" t="str">
        <x:f>IF($J314&lt;&gt;"",REGEXREPLACE(TO_TEXT('_Supporto Listone'!E314),"(.)","$1"&amp;UNICHAR(822)),'_Supporto Listone'!E314)</x:f>
        <x:v>Titolare / ballottaggio</x:v>
      </x:c>
      <x:c r="F314" s="464" t="n">
        <x:f>IF($J314&lt;&gt;"",REGEXREPLACE(TO_TEXT('_Supporto Listone'!F314),"(.)","$1"&amp;UNICHAR(822)),'_Supporto Listone'!F314)</x:f>
        <x:v>6</x:v>
      </x:c>
      <x:c r="G314" s="464" t="n">
        <x:f>IF($J314&lt;&gt;"",REGEXREPLACE(TO_TEXT('_Supporto Listone'!G314),"(.)","$1"&amp;UNICHAR(822)),'_Supporto Listone'!G314)</x:f>
        <x:v>14</x:v>
      </x:c>
      <x:c r="H314" s="464" t="n">
        <x:f>IF($J314&lt;&gt;"",REGEXREPLACE(TO_TEXT('_Supporto Listone'!H314),"(.)","$1"&amp;UNICHAR(822)),'_Supporto Listone'!H314)</x:f>
        <x:v>7</x:v>
      </x:c>
      <x:c r="I314" s="442"/>
      <x:c r="J314" s="441" t="str">
        <x:f>IF(COUNTIF(Asta!$B$4:$B$47,'_Supporto Listone'!B314)&gt;0,"Simone",IF(COUNTIF(Asta!$D$4:$D$47,'_Supporto Listone'!B314)&gt;0,"Giacomo",IF(COUNTIF(Asta!$F$4:$F$47,'_Supporto Listone'!B314)&gt;0,"Niko",IF(COUNTIF(Asta!$H$4:$H$47,'_Supporto Listone'!B314)&gt;0,"Quici",IF(COUNTIF(Asta!$J$4:$J$47,'_Supporto Listone'!B314)&gt;0,"Fratello Quici",IF(COUNTIF(Asta!$L$4:$L$47,'_Supporto Listone'!B314)&gt;0,"Nicolò",IF(COUNTIF(Asta!$N$4:$N$47,'_Supporto Listone'!B314)&gt;0,"Vi",IF(COUNTIF(Asta!$P$4:$P$47,'_Supporto Listone'!B314)&gt;0,"Lore",IF(COUNTIF(Asta!$R$4:$R$47,'_Supporto Listone'!B314)&gt;0,"Robbo",IF(COUNTIF(Asta!$T$4:$T$47,'_Supporto Listone'!B314)&gt;0,"Ale",""))))))))))</x:f>
      </x:c>
      <x:c r="K314" s="495" t="str">
        <x:f>IF(COUNTIF(Asta!$B$4:$B$47,'_Supporto Listone'!B314)&gt;0,INDEX(Asta!$C$4:$C$47,MATCH('_Supporto Listone'!B314,Asta!$B$4:$B$47,0)),IF(COUNTIF(Asta!$D$4:$D$47,'_Supporto Listone'!B314)&gt;0,INDEX(Asta!$E$4:$E$47,MATCH('_Supporto Listone'!B314,Asta!$D$4:$D$47,0)),IF(COUNTIF(Asta!$F$4:$F$47,'_Supporto Listone'!B314)&gt;0,INDEX(Asta!$G$4:$G$47,MATCH('_Supporto Listone'!B314,Asta!$F$4:$F$47,0)),IF(COUNTIF(Asta!$H$4:$H$47,'_Supporto Listone'!B314)&gt;0,INDEX(Asta!$I$4:$I$47,MATCH('_Supporto Listone'!B314,Asta!$H$4:$H$47,0)),IF(COUNTIF(Asta!$J$4:$J$47,'_Supporto Listone'!B314)&gt;0,INDEX(Asta!$K$4:$K$47,MATCH('_Supporto Listone'!B314,Asta!$J$4:$J$47,0)),IF(COUNTIF(Asta!$L$4:$L$47,'_Supporto Listone'!B314)&gt;0,INDEX(Asta!$M$4:$M$47,MATCH('_Supporto Listone'!B314,Asta!$L$4:$L$47,0)),IF(COUNTIF(Asta!$N$4:$N$47,'_Supporto Listone'!B314)&gt;0,INDEX(Asta!$O$4:$O$47,MATCH('_Supporto Listone'!B314,Asta!$N$4:$N$47,0)),IF(COUNTIF(Asta!$P$4:$P$47,'_Supporto Listone'!B314)&gt;0,INDEX(Asta!$Q$4:$Q$47,MATCH('_Supporto Listone'!B314,Asta!$P$4:$P$47,0)),IF(COUNTIF(Asta!$R$4:$R$47,'_Supporto Listone'!B314)&gt;0,INDEX(Asta!$S$4:$S$47,MATCH('_Supporto Listone'!B314,Asta!$R$4:$R$47,0)),IF(COUNTIF(Asta!$T$4:$T$47,'_Supporto Listone'!B314)&gt;0,INDEX(Asta!$U$4:$U$47,MATCH('_Supporto Listone'!B314,Asta!$T$4:$T$47,0)),""))))))))))</x:f>
      </x:c>
    </x:row>
    <x:row r="315">
      <x:c r="A315" s="440" t="str">
        <x:f>IF($J315&lt;&gt;"",REGEXREPLACE(TO_TEXT('_Supporto Listone'!A315),"(.)","$1"&amp;UNICHAR(822)),'_Supporto Listone'!A315)</x:f>
        <x:v>C</x:v>
      </x:c>
      <x:c r="B315" s="441" t="str">
        <x:f>IF($J315&lt;&gt;"",REGEXREPLACE(TO_TEXT('_Supporto Listone'!B315),"(.)","$1"&amp;UNICHAR(822)),'_Supporto Listone'!B315)</x:f>
        <x:v>Adopo</x:v>
      </x:c>
      <x:c r="C315" s="441" t="str">
        <x:f>IF($J315&lt;&gt;"",REGEXREPLACE(TO_TEXT('_Supporto Listone'!C315),"(.)","$1"&amp;UNICHAR(822)),'_Supporto Listone'!C315)</x:f>
        <x:v>Cagliari</x:v>
      </x:c>
      <x:c r="D315" s="441" t="str">
        <x:f>IF($J315&lt;&gt;"",REGEXREPLACE(TO_TEXT('_Supporto Listone'!D315),"(.)","$1"&amp;UNICHAR(822)),'_Supporto Listone'!D315)</x:f>
        <x:v>M;C</x:v>
      </x:c>
      <x:c r="E315" s="441" t="str">
        <x:f>IF($J315&lt;&gt;"",REGEXREPLACE(TO_TEXT('_Supporto Listone'!E315),"(.)","$1"&amp;UNICHAR(822)),'_Supporto Listone'!E315)</x:f>
        <x:v>Titolare / ballottaggio</x:v>
      </x:c>
      <x:c r="F315" s="464" t="n">
        <x:f>IF($J315&lt;&gt;"",REGEXREPLACE(TO_TEXT('_Supporto Listone'!F315),"(.)","$1"&amp;UNICHAR(822)),'_Supporto Listone'!F315)</x:f>
        <x:v>6</x:v>
      </x:c>
      <x:c r="G315" s="464" t="n">
        <x:f>IF($J315&lt;&gt;"",REGEXREPLACE(TO_TEXT('_Supporto Listone'!G315),"(.)","$1"&amp;UNICHAR(822)),'_Supporto Listone'!G315)</x:f>
        <x:v>13</x:v>
      </x:c>
      <x:c r="H315" s="464" t="n">
        <x:f>IF($J315&lt;&gt;"",REGEXREPLACE(TO_TEXT('_Supporto Listone'!H315),"(.)","$1"&amp;UNICHAR(822)),'_Supporto Listone'!H315)</x:f>
        <x:v>7</x:v>
      </x:c>
      <x:c r="I315" s="442"/>
      <x:c r="J315" s="441" t="str">
        <x:f>IF(COUNTIF(Asta!$B$4:$B$47,'_Supporto Listone'!B315)&gt;0,"Simone",IF(COUNTIF(Asta!$D$4:$D$47,'_Supporto Listone'!B315)&gt;0,"Giacomo",IF(COUNTIF(Asta!$F$4:$F$47,'_Supporto Listone'!B315)&gt;0,"Niko",IF(COUNTIF(Asta!$H$4:$H$47,'_Supporto Listone'!B315)&gt;0,"Quici",IF(COUNTIF(Asta!$J$4:$J$47,'_Supporto Listone'!B315)&gt;0,"Fratello Quici",IF(COUNTIF(Asta!$L$4:$L$47,'_Supporto Listone'!B315)&gt;0,"Nicolò",IF(COUNTIF(Asta!$N$4:$N$47,'_Supporto Listone'!B315)&gt;0,"Vi",IF(COUNTIF(Asta!$P$4:$P$47,'_Supporto Listone'!B315)&gt;0,"Lore",IF(COUNTIF(Asta!$R$4:$R$47,'_Supporto Listone'!B315)&gt;0,"Robbo",IF(COUNTIF(Asta!$T$4:$T$47,'_Supporto Listone'!B315)&gt;0,"Ale",""))))))))))</x:f>
      </x:c>
      <x:c r="K315" s="495" t="str">
        <x:f>IF(COUNTIF(Asta!$B$4:$B$47,'_Supporto Listone'!B315)&gt;0,INDEX(Asta!$C$4:$C$47,MATCH('_Supporto Listone'!B315,Asta!$B$4:$B$47,0)),IF(COUNTIF(Asta!$D$4:$D$47,'_Supporto Listone'!B315)&gt;0,INDEX(Asta!$E$4:$E$47,MATCH('_Supporto Listone'!B315,Asta!$D$4:$D$47,0)),IF(COUNTIF(Asta!$F$4:$F$47,'_Supporto Listone'!B315)&gt;0,INDEX(Asta!$G$4:$G$47,MATCH('_Supporto Listone'!B315,Asta!$F$4:$F$47,0)),IF(COUNTIF(Asta!$H$4:$H$47,'_Supporto Listone'!B315)&gt;0,INDEX(Asta!$I$4:$I$47,MATCH('_Supporto Listone'!B315,Asta!$H$4:$H$47,0)),IF(COUNTIF(Asta!$J$4:$J$47,'_Supporto Listone'!B315)&gt;0,INDEX(Asta!$K$4:$K$47,MATCH('_Supporto Listone'!B315,Asta!$J$4:$J$47,0)),IF(COUNTIF(Asta!$L$4:$L$47,'_Supporto Listone'!B315)&gt;0,INDEX(Asta!$M$4:$M$47,MATCH('_Supporto Listone'!B315,Asta!$L$4:$L$47,0)),IF(COUNTIF(Asta!$N$4:$N$47,'_Supporto Listone'!B315)&gt;0,INDEX(Asta!$O$4:$O$47,MATCH('_Supporto Listone'!B315,Asta!$N$4:$N$47,0)),IF(COUNTIF(Asta!$P$4:$P$47,'_Supporto Listone'!B315)&gt;0,INDEX(Asta!$Q$4:$Q$47,MATCH('_Supporto Listone'!B315,Asta!$P$4:$P$47,0)),IF(COUNTIF(Asta!$R$4:$R$47,'_Supporto Listone'!B315)&gt;0,INDEX(Asta!$S$4:$S$47,MATCH('_Supporto Listone'!B315,Asta!$R$4:$R$47,0)),IF(COUNTIF(Asta!$T$4:$T$47,'_Supporto Listone'!B315)&gt;0,INDEX(Asta!$U$4:$U$47,MATCH('_Supporto Listone'!B315,Asta!$T$4:$T$47,0)),""))))))))))</x:f>
      </x:c>
    </x:row>
    <x:row r="316">
      <x:c r="A316" s="440" t="str">
        <x:f>IF($J316&lt;&gt;"",REGEXREPLACE(TO_TEXT('_Supporto Listone'!A316),"(.)","$1"&amp;UNICHAR(822)),'_Supporto Listone'!A316)</x:f>
        <x:v>C</x:v>
      </x:c>
      <x:c r="B316" s="441" t="str">
        <x:f>IF($J316&lt;&gt;"",REGEXREPLACE(TO_TEXT('_Supporto Listone'!B316),"(.)","$1"&amp;UNICHAR(822)),'_Supporto Listone'!B316)</x:f>
        <x:v>Winks</x:v>
      </x:c>
      <x:c r="C316" s="441" t="str">
        <x:f>IF($J316&lt;&gt;"",REGEXREPLACE(TO_TEXT('_Supporto Listone'!C316),"(.)","$1"&amp;UNICHAR(822)),'_Supporto Listone'!C316)</x:f>
        <x:v>Cagliari</x:v>
      </x:c>
      <x:c r="D316" s="441" t="str">
        <x:f>IF($J316&lt;&gt;"",REGEXREPLACE(TO_TEXT('_Supporto Listone'!D316),"(.)","$1"&amp;UNICHAR(822)),'_Supporto Listone'!D316)</x:f>
        <x:v>M;C</x:v>
      </x:c>
      <x:c r="E316" s="441" t="str">
        <x:f>IF($J316&lt;&gt;"",REGEXREPLACE(TO_TEXT('_Supporto Listone'!E316),"(.)","$1"&amp;UNICHAR(822)),'_Supporto Listone'!E316)</x:f>
        <x:v>Titolare</x:v>
      </x:c>
      <x:c r="F316" s="464" t="n">
        <x:f>IF($J316&lt;&gt;"",REGEXREPLACE(TO_TEXT('_Supporto Listone'!F316),"(.)","$1"&amp;UNICHAR(822)),'_Supporto Listone'!F316)</x:f>
        <x:v>6</x:v>
      </x:c>
      <x:c r="G316" s="464" t="n">
        <x:f>IF($J316&lt;&gt;"",REGEXREPLACE(TO_TEXT('_Supporto Listone'!G316),"(.)","$1"&amp;UNICHAR(822)),'_Supporto Listone'!G316)</x:f>
        <x:v>14</x:v>
      </x:c>
      <x:c r="H316" s="464" t="n">
        <x:f>IF($J316&lt;&gt;"",REGEXREPLACE(TO_TEXT('_Supporto Listone'!H316),"(.)","$1"&amp;UNICHAR(822)),'_Supporto Listone'!H316)</x:f>
        <x:v>7</x:v>
      </x:c>
      <x:c r="I316" s="442"/>
      <x:c r="J316" s="441" t="str">
        <x:f>IF(COUNTIF(Asta!$B$4:$B$47,'_Supporto Listone'!B316)&gt;0,"Simone",IF(COUNTIF(Asta!$D$4:$D$47,'_Supporto Listone'!B316)&gt;0,"Giacomo",IF(COUNTIF(Asta!$F$4:$F$47,'_Supporto Listone'!B316)&gt;0,"Niko",IF(COUNTIF(Asta!$H$4:$H$47,'_Supporto Listone'!B316)&gt;0,"Quici",IF(COUNTIF(Asta!$J$4:$J$47,'_Supporto Listone'!B316)&gt;0,"Fratello Quici",IF(COUNTIF(Asta!$L$4:$L$47,'_Supporto Listone'!B316)&gt;0,"Nicolò",IF(COUNTIF(Asta!$N$4:$N$47,'_Supporto Listone'!B316)&gt;0,"Vi",IF(COUNTIF(Asta!$P$4:$P$47,'_Supporto Listone'!B316)&gt;0,"Lore",IF(COUNTIF(Asta!$R$4:$R$47,'_Supporto Listone'!B316)&gt;0,"Robbo",IF(COUNTIF(Asta!$T$4:$T$47,'_Supporto Listone'!B316)&gt;0,"Ale",""))))))))))</x:f>
      </x:c>
      <x:c r="K316" s="495" t="str">
        <x:f>IF(COUNTIF(Asta!$B$4:$B$47,'_Supporto Listone'!B316)&gt;0,INDEX(Asta!$C$4:$C$47,MATCH('_Supporto Listone'!B316,Asta!$B$4:$B$47,0)),IF(COUNTIF(Asta!$D$4:$D$47,'_Supporto Listone'!B316)&gt;0,INDEX(Asta!$E$4:$E$47,MATCH('_Supporto Listone'!B316,Asta!$D$4:$D$47,0)),IF(COUNTIF(Asta!$F$4:$F$47,'_Supporto Listone'!B316)&gt;0,INDEX(Asta!$G$4:$G$47,MATCH('_Supporto Listone'!B316,Asta!$F$4:$F$47,0)),IF(COUNTIF(Asta!$H$4:$H$47,'_Supporto Listone'!B316)&gt;0,INDEX(Asta!$I$4:$I$47,MATCH('_Supporto Listone'!B316,Asta!$H$4:$H$47,0)),IF(COUNTIF(Asta!$J$4:$J$47,'_Supporto Listone'!B316)&gt;0,INDEX(Asta!$K$4:$K$47,MATCH('_Supporto Listone'!B316,Asta!$J$4:$J$47,0)),IF(COUNTIF(Asta!$L$4:$L$47,'_Supporto Listone'!B316)&gt;0,INDEX(Asta!$M$4:$M$47,MATCH('_Supporto Listone'!B316,Asta!$L$4:$L$47,0)),IF(COUNTIF(Asta!$N$4:$N$47,'_Supporto Listone'!B316)&gt;0,INDEX(Asta!$O$4:$O$47,MATCH('_Supporto Listone'!B316,Asta!$N$4:$N$47,0)),IF(COUNTIF(Asta!$P$4:$P$47,'_Supporto Listone'!B316)&gt;0,INDEX(Asta!$Q$4:$Q$47,MATCH('_Supporto Listone'!B316,Asta!$P$4:$P$47,0)),IF(COUNTIF(Asta!$R$4:$R$47,'_Supporto Listone'!B316)&gt;0,INDEX(Asta!$S$4:$S$47,MATCH('_Supporto Listone'!B316,Asta!$R$4:$R$47,0)),IF(COUNTIF(Asta!$T$4:$T$47,'_Supporto Listone'!B316)&gt;0,INDEX(Asta!$U$4:$U$47,MATCH('_Supporto Listone'!B316,Asta!$T$4:$T$47,0)),""))))))))))</x:f>
      </x:c>
    </x:row>
    <x:row r="317">
      <x:c r="A317" s="440" t="str">
        <x:f>IF($J317&lt;&gt;"",REGEXREPLACE(TO_TEXT('_Supporto Listone'!A317),"(.)","$1"&amp;UNICHAR(822)),'_Supporto Listone'!A317)</x:f>
        <x:v>C</x:v>
      </x:c>
      <x:c r="B317" s="441" t="str">
        <x:f>IF($J317&lt;&gt;"",REGEXREPLACE(TO_TEXT('_Supporto Listone'!B317),"(.)","$1"&amp;UNICHAR(822)),'_Supporto Listone'!B317)</x:f>
        <x:v>Caqueret</x:v>
      </x:c>
      <x:c r="C317" s="441" t="str">
        <x:f>IF($J317&lt;&gt;"",REGEXREPLACE(TO_TEXT('_Supporto Listone'!C317),"(.)","$1"&amp;UNICHAR(822)),'_Supporto Listone'!C317)</x:f>
        <x:v>Como</x:v>
      </x:c>
      <x:c r="D317" s="441" t="str">
        <x:f>IF($J317&lt;&gt;"",REGEXREPLACE(TO_TEXT('_Supporto Listone'!D317),"(.)","$1"&amp;UNICHAR(822)),'_Supporto Listone'!D317)</x:f>
        <x:v>C;T</x:v>
      </x:c>
      <x:c r="E317" s="441" t="str">
        <x:f>IF($J317&lt;&gt;"",REGEXREPLACE(TO_TEXT('_Supporto Listone'!E317),"(.)","$1"&amp;UNICHAR(822)),'_Supporto Listone'!E317)</x:f>
        <x:v>Riserva / rotazione</x:v>
      </x:c>
      <x:c r="F317" s="464" t="n">
        <x:f>IF($J317&lt;&gt;"",REGEXREPLACE(TO_TEXT('_Supporto Listone'!F317),"(.)","$1"&amp;UNICHAR(822)),'_Supporto Listone'!F317)</x:f>
        <x:v>6</x:v>
      </x:c>
      <x:c r="G317" s="464" t="n">
        <x:f>IF($J317&lt;&gt;"",REGEXREPLACE(TO_TEXT('_Supporto Listone'!G317),"(.)","$1"&amp;UNICHAR(822)),'_Supporto Listone'!G317)</x:f>
        <x:v>20</x:v>
      </x:c>
      <x:c r="H317" s="464" t="n">
        <x:f>IF($J317&lt;&gt;"",REGEXREPLACE(TO_TEXT('_Supporto Listone'!H317),"(.)","$1"&amp;UNICHAR(822)),'_Supporto Listone'!H317)</x:f>
        <x:v>10</x:v>
      </x:c>
      <x:c r="I317" s="442"/>
      <x:c r="J317" s="441" t="str">
        <x:f>IF(COUNTIF(Asta!$B$4:$B$47,'_Supporto Listone'!B317)&gt;0,"Simone",IF(COUNTIF(Asta!$D$4:$D$47,'_Supporto Listone'!B317)&gt;0,"Giacomo",IF(COUNTIF(Asta!$F$4:$F$47,'_Supporto Listone'!B317)&gt;0,"Niko",IF(COUNTIF(Asta!$H$4:$H$47,'_Supporto Listone'!B317)&gt;0,"Quici",IF(COUNTIF(Asta!$J$4:$J$47,'_Supporto Listone'!B317)&gt;0,"Fratello Quici",IF(COUNTIF(Asta!$L$4:$L$47,'_Supporto Listone'!B317)&gt;0,"Nicolò",IF(COUNTIF(Asta!$N$4:$N$47,'_Supporto Listone'!B317)&gt;0,"Vi",IF(COUNTIF(Asta!$P$4:$P$47,'_Supporto Listone'!B317)&gt;0,"Lore",IF(COUNTIF(Asta!$R$4:$R$47,'_Supporto Listone'!B317)&gt;0,"Robbo",IF(COUNTIF(Asta!$T$4:$T$47,'_Supporto Listone'!B317)&gt;0,"Ale",""))))))))))</x:f>
      </x:c>
      <x:c r="K317" s="495" t="str">
        <x:f>IF(COUNTIF(Asta!$B$4:$B$47,'_Supporto Listone'!B317)&gt;0,INDEX(Asta!$C$4:$C$47,MATCH('_Supporto Listone'!B317,Asta!$B$4:$B$47,0)),IF(COUNTIF(Asta!$D$4:$D$47,'_Supporto Listone'!B317)&gt;0,INDEX(Asta!$E$4:$E$47,MATCH('_Supporto Listone'!B317,Asta!$D$4:$D$47,0)),IF(COUNTIF(Asta!$F$4:$F$47,'_Supporto Listone'!B317)&gt;0,INDEX(Asta!$G$4:$G$47,MATCH('_Supporto Listone'!B317,Asta!$F$4:$F$47,0)),IF(COUNTIF(Asta!$H$4:$H$47,'_Supporto Listone'!B317)&gt;0,INDEX(Asta!$I$4:$I$47,MATCH('_Supporto Listone'!B317,Asta!$H$4:$H$47,0)),IF(COUNTIF(Asta!$J$4:$J$47,'_Supporto Listone'!B317)&gt;0,INDEX(Asta!$K$4:$K$47,MATCH('_Supporto Listone'!B317,Asta!$J$4:$J$47,0)),IF(COUNTIF(Asta!$L$4:$L$47,'_Supporto Listone'!B317)&gt;0,INDEX(Asta!$M$4:$M$47,MATCH('_Supporto Listone'!B317,Asta!$L$4:$L$47,0)),IF(COUNTIF(Asta!$N$4:$N$47,'_Supporto Listone'!B317)&gt;0,INDEX(Asta!$O$4:$O$47,MATCH('_Supporto Listone'!B317,Asta!$N$4:$N$47,0)),IF(COUNTIF(Asta!$P$4:$P$47,'_Supporto Listone'!B317)&gt;0,INDEX(Asta!$Q$4:$Q$47,MATCH('_Supporto Listone'!B317,Asta!$P$4:$P$47,0)),IF(COUNTIF(Asta!$R$4:$R$47,'_Supporto Listone'!B317)&gt;0,INDEX(Asta!$S$4:$S$47,MATCH('_Supporto Listone'!B317,Asta!$R$4:$R$47,0)),IF(COUNTIF(Asta!$T$4:$T$47,'_Supporto Listone'!B317)&gt;0,INDEX(Asta!$U$4:$U$47,MATCH('_Supporto Listone'!B317,Asta!$T$4:$T$47,0)),""))))))))))</x:f>
      </x:c>
    </x:row>
    <x:row r="318">
      <x:c r="A318" s="440" t="str">
        <x:f>IF($J318&lt;&gt;"",REGEXREPLACE(TO_TEXT('_Supporto Listone'!A318),"(.)","$1"&amp;UNICHAR(822)),'_Supporto Listone'!A318)</x:f>
        <x:v>C</x:v>
      </x:c>
      <x:c r="B318" s="441" t="str">
        <x:f>IF($J318&lt;&gt;"",REGEXREPLACE(TO_TEXT('_Supporto Listone'!B318),"(.)","$1"&amp;UNICHAR(822)),'_Supporto Listone'!B318)</x:f>
        <x:v>Liberali</x:v>
      </x:c>
      <x:c r="C318" s="441" t="str">
        <x:f>IF($J318&lt;&gt;"",REGEXREPLACE(TO_TEXT('_Supporto Listone'!C318),"(.)","$1"&amp;UNICHAR(822)),'_Supporto Listone'!C318)</x:f>
        <x:v>Como</x:v>
      </x:c>
      <x:c r="D318" s="441" t="str">
        <x:f>IF($J318&lt;&gt;"",REGEXREPLACE(TO_TEXT('_Supporto Listone'!D318),"(.)","$1"&amp;UNICHAR(822)),'_Supporto Listone'!D318)</x:f>
        <x:v>T</x:v>
      </x:c>
      <x:c r="E318" s="441" t="str">
        <x:f>IF($J318&lt;&gt;"",REGEXREPLACE(TO_TEXT('_Supporto Listone'!E318),"(.)","$1"&amp;UNICHAR(822)),'_Supporto Listone'!E318)</x:f>
        <x:v>Riserva / rotazione</x:v>
      </x:c>
      <x:c r="F318" s="464" t="n">
        <x:f>IF($J318&lt;&gt;"",REGEXREPLACE(TO_TEXT('_Supporto Listone'!F318),"(.)","$1"&amp;UNICHAR(822)),'_Supporto Listone'!F318)</x:f>
        <x:v>6</x:v>
      </x:c>
      <x:c r="G318" s="464" t="n">
        <x:f>IF($J318&lt;&gt;"",REGEXREPLACE(TO_TEXT('_Supporto Listone'!G318),"(.)","$1"&amp;UNICHAR(822)),'_Supporto Listone'!G318)</x:f>
        <x:v>22</x:v>
      </x:c>
      <x:c r="H318" s="464" t="n">
        <x:f>IF($J318&lt;&gt;"",REGEXREPLACE(TO_TEXT('_Supporto Listone'!H318),"(.)","$1"&amp;UNICHAR(822)),'_Supporto Listone'!H318)</x:f>
        <x:v>11</x:v>
      </x:c>
      <x:c r="I318" s="442"/>
      <x:c r="J318" s="441" t="str">
        <x:f>IF(COUNTIF(Asta!$B$4:$B$47,'_Supporto Listone'!B318)&gt;0,"Simone",IF(COUNTIF(Asta!$D$4:$D$47,'_Supporto Listone'!B318)&gt;0,"Giacomo",IF(COUNTIF(Asta!$F$4:$F$47,'_Supporto Listone'!B318)&gt;0,"Niko",IF(COUNTIF(Asta!$H$4:$H$47,'_Supporto Listone'!B318)&gt;0,"Quici",IF(COUNTIF(Asta!$J$4:$J$47,'_Supporto Listone'!B318)&gt;0,"Fratello Quici",IF(COUNTIF(Asta!$L$4:$L$47,'_Supporto Listone'!B318)&gt;0,"Nicolò",IF(COUNTIF(Asta!$N$4:$N$47,'_Supporto Listone'!B318)&gt;0,"Vi",IF(COUNTIF(Asta!$P$4:$P$47,'_Supporto Listone'!B318)&gt;0,"Lore",IF(COUNTIF(Asta!$R$4:$R$47,'_Supporto Listone'!B318)&gt;0,"Robbo",IF(COUNTIF(Asta!$T$4:$T$47,'_Supporto Listone'!B318)&gt;0,"Ale",""))))))))))</x:f>
      </x:c>
      <x:c r="K318" s="495" t="str">
        <x:f>IF(COUNTIF(Asta!$B$4:$B$47,'_Supporto Listone'!B318)&gt;0,INDEX(Asta!$C$4:$C$47,MATCH('_Supporto Listone'!B318,Asta!$B$4:$B$47,0)),IF(COUNTIF(Asta!$D$4:$D$47,'_Supporto Listone'!B318)&gt;0,INDEX(Asta!$E$4:$E$47,MATCH('_Supporto Listone'!B318,Asta!$D$4:$D$47,0)),IF(COUNTIF(Asta!$F$4:$F$47,'_Supporto Listone'!B318)&gt;0,INDEX(Asta!$G$4:$G$47,MATCH('_Supporto Listone'!B318,Asta!$F$4:$F$47,0)),IF(COUNTIF(Asta!$H$4:$H$47,'_Supporto Listone'!B318)&gt;0,INDEX(Asta!$I$4:$I$47,MATCH('_Supporto Listone'!B318,Asta!$H$4:$H$47,0)),IF(COUNTIF(Asta!$J$4:$J$47,'_Supporto Listone'!B318)&gt;0,INDEX(Asta!$K$4:$K$47,MATCH('_Supporto Listone'!B318,Asta!$J$4:$J$47,0)),IF(COUNTIF(Asta!$L$4:$L$47,'_Supporto Listone'!B318)&gt;0,INDEX(Asta!$M$4:$M$47,MATCH('_Supporto Listone'!B318,Asta!$L$4:$L$47,0)),IF(COUNTIF(Asta!$N$4:$N$47,'_Supporto Listone'!B318)&gt;0,INDEX(Asta!$O$4:$O$47,MATCH('_Supporto Listone'!B318,Asta!$N$4:$N$47,0)),IF(COUNTIF(Asta!$P$4:$P$47,'_Supporto Listone'!B318)&gt;0,INDEX(Asta!$Q$4:$Q$47,MATCH('_Supporto Listone'!B318,Asta!$P$4:$P$47,0)),IF(COUNTIF(Asta!$R$4:$R$47,'_Supporto Listone'!B318)&gt;0,INDEX(Asta!$S$4:$S$47,MATCH('_Supporto Listone'!B318,Asta!$R$4:$R$47,0)),IF(COUNTIF(Asta!$T$4:$T$47,'_Supporto Listone'!B318)&gt;0,INDEX(Asta!$U$4:$U$47,MATCH('_Supporto Listone'!B318,Asta!$T$4:$T$47,0)),""))))))))))</x:f>
      </x:c>
    </x:row>
    <x:row r="319">
      <x:c r="A319" s="440" t="str">
        <x:f>IF($J319&lt;&gt;"",REGEXREPLACE(TO_TEXT('_Supporto Listone'!A319),"(.)","$1"&amp;UNICHAR(822)),'_Supporto Listone'!A319)</x:f>
        <x:v>C</x:v>
      </x:c>
      <x:c r="B319" s="441" t="str">
        <x:f>IF($J319&lt;&gt;"",REGEXREPLACE(TO_TEXT('_Supporto Listone'!B319),"(.)","$1"&amp;UNICHAR(822)),'_Supporto Listone'!B319)</x:f>
        <x:v>Oulai</x:v>
      </x:c>
      <x:c r="C319" s="441" t="str">
        <x:f>IF($J319&lt;&gt;"",REGEXREPLACE(TO_TEXT('_Supporto Listone'!C319),"(.)","$1"&amp;UNICHAR(822)),'_Supporto Listone'!C319)</x:f>
        <x:v>Fiorentina</x:v>
      </x:c>
      <x:c r="D319" s="441" t="str">
        <x:f>IF($J319&lt;&gt;"",REGEXREPLACE(TO_TEXT('_Supporto Listone'!D319),"(.)","$1"&amp;UNICHAR(822)),'_Supporto Listone'!D319)</x:f>
        <x:v>M;C</x:v>
      </x:c>
      <x:c r="E319" s="441" t="str">
        <x:f>IF($J319&lt;&gt;"",REGEXREPLACE(TO_TEXT('_Supporto Listone'!E319),"(.)","$1"&amp;UNICHAR(822)),'_Supporto Listone'!E319)</x:f>
        <x:v>Ballottaggio</x:v>
      </x:c>
      <x:c r="F319" s="464" t="n">
        <x:f>IF($J319&lt;&gt;"",REGEXREPLACE(TO_TEXT('_Supporto Listone'!F319),"(.)","$1"&amp;UNICHAR(822)),'_Supporto Listone'!F319)</x:f>
        <x:v>6</x:v>
      </x:c>
      <x:c r="G319" s="464" t="n">
        <x:f>IF($J319&lt;&gt;"",REGEXREPLACE(TO_TEXT('_Supporto Listone'!G319),"(.)","$1"&amp;UNICHAR(822)),'_Supporto Listone'!G319)</x:f>
        <x:v>20</x:v>
      </x:c>
      <x:c r="H319" s="464" t="n">
        <x:f>IF($J319&lt;&gt;"",REGEXREPLACE(TO_TEXT('_Supporto Listone'!H319),"(.)","$1"&amp;UNICHAR(822)),'_Supporto Listone'!H319)</x:f>
        <x:v>10</x:v>
      </x:c>
      <x:c r="I319" s="442"/>
      <x:c r="J319" s="441" t="str">
        <x:f>IF(COUNTIF(Asta!$B$4:$B$47,'_Supporto Listone'!B319)&gt;0,"Simone",IF(COUNTIF(Asta!$D$4:$D$47,'_Supporto Listone'!B319)&gt;0,"Giacomo",IF(COUNTIF(Asta!$F$4:$F$47,'_Supporto Listone'!B319)&gt;0,"Niko",IF(COUNTIF(Asta!$H$4:$H$47,'_Supporto Listone'!B319)&gt;0,"Quici",IF(COUNTIF(Asta!$J$4:$J$47,'_Supporto Listone'!B319)&gt;0,"Fratello Quici",IF(COUNTIF(Asta!$L$4:$L$47,'_Supporto Listone'!B319)&gt;0,"Nicolò",IF(COUNTIF(Asta!$N$4:$N$47,'_Supporto Listone'!B319)&gt;0,"Vi",IF(COUNTIF(Asta!$P$4:$P$47,'_Supporto Listone'!B319)&gt;0,"Lore",IF(COUNTIF(Asta!$R$4:$R$47,'_Supporto Listone'!B319)&gt;0,"Robbo",IF(COUNTIF(Asta!$T$4:$T$47,'_Supporto Listone'!B319)&gt;0,"Ale",""))))))))))</x:f>
      </x:c>
      <x:c r="K319" s="495" t="str">
        <x:f>IF(COUNTIF(Asta!$B$4:$B$47,'_Supporto Listone'!B319)&gt;0,INDEX(Asta!$C$4:$C$47,MATCH('_Supporto Listone'!B319,Asta!$B$4:$B$47,0)),IF(COUNTIF(Asta!$D$4:$D$47,'_Supporto Listone'!B319)&gt;0,INDEX(Asta!$E$4:$E$47,MATCH('_Supporto Listone'!B319,Asta!$D$4:$D$47,0)),IF(COUNTIF(Asta!$F$4:$F$47,'_Supporto Listone'!B319)&gt;0,INDEX(Asta!$G$4:$G$47,MATCH('_Supporto Listone'!B319,Asta!$F$4:$F$47,0)),IF(COUNTIF(Asta!$H$4:$H$47,'_Supporto Listone'!B319)&gt;0,INDEX(Asta!$I$4:$I$47,MATCH('_Supporto Listone'!B319,Asta!$H$4:$H$47,0)),IF(COUNTIF(Asta!$J$4:$J$47,'_Supporto Listone'!B319)&gt;0,INDEX(Asta!$K$4:$K$47,MATCH('_Supporto Listone'!B319,Asta!$J$4:$J$47,0)),IF(COUNTIF(Asta!$L$4:$L$47,'_Supporto Listone'!B319)&gt;0,INDEX(Asta!$M$4:$M$47,MATCH('_Supporto Listone'!B319,Asta!$L$4:$L$47,0)),IF(COUNTIF(Asta!$N$4:$N$47,'_Supporto Listone'!B319)&gt;0,INDEX(Asta!$O$4:$O$47,MATCH('_Supporto Listone'!B319,Asta!$N$4:$N$47,0)),IF(COUNTIF(Asta!$P$4:$P$47,'_Supporto Listone'!B319)&gt;0,INDEX(Asta!$Q$4:$Q$47,MATCH('_Supporto Listone'!B319,Asta!$P$4:$P$47,0)),IF(COUNTIF(Asta!$R$4:$R$47,'_Supporto Listone'!B319)&gt;0,INDEX(Asta!$S$4:$S$47,MATCH('_Supporto Listone'!B319,Asta!$R$4:$R$47,0)),IF(COUNTIF(Asta!$T$4:$T$47,'_Supporto Listone'!B319)&gt;0,INDEX(Asta!$U$4:$U$47,MATCH('_Supporto Listone'!B319,Asta!$T$4:$T$47,0)),""))))))))))</x:f>
      </x:c>
    </x:row>
    <x:row r="320">
      <x:c r="A320" s="440" t="str">
        <x:f>IF($J320&lt;&gt;"",REGEXREPLACE(TO_TEXT('_Supporto Listone'!A320),"(.)","$1"&amp;UNICHAR(822)),'_Supporto Listone'!A320)</x:f>
        <x:v>C</x:v>
      </x:c>
      <x:c r="B320" s="441" t="str">
        <x:f>IF($J320&lt;&gt;"",REGEXREPLACE(TO_TEXT('_Supporto Listone'!B320),"(.)","$1"&amp;UNICHAR(822)),'_Supporto Listone'!B320)</x:f>
        <x:v>Ellertsson</x:v>
      </x:c>
      <x:c r="C320" s="441" t="str">
        <x:f>IF($J320&lt;&gt;"",REGEXREPLACE(TO_TEXT('_Supporto Listone'!C320),"(.)","$1"&amp;UNICHAR(822)),'_Supporto Listone'!C320)</x:f>
        <x:v>Genoa</x:v>
      </x:c>
      <x:c r="D320" s="441" t="str">
        <x:f>IF($J320&lt;&gt;"",REGEXREPLACE(TO_TEXT('_Supporto Listone'!D320),"(.)","$1"&amp;UNICHAR(822)),'_Supporto Listone'!D320)</x:f>
        <x:v>E;C</x:v>
      </x:c>
      <x:c r="E320" s="441" t="str">
        <x:f>IF($J320&lt;&gt;"",REGEXREPLACE(TO_TEXT('_Supporto Listone'!E320),"(.)","$1"&amp;UNICHAR(822)),'_Supporto Listone'!E320)</x:f>
        <x:v>Titolare</x:v>
      </x:c>
      <x:c r="F320" s="464" t="n">
        <x:f>IF($J320&lt;&gt;"",REGEXREPLACE(TO_TEXT('_Supporto Listone'!F320),"(.)","$1"&amp;UNICHAR(822)),'_Supporto Listone'!F320)</x:f>
        <x:v>6</x:v>
      </x:c>
      <x:c r="G320" s="464" t="n">
        <x:f>IF($J320&lt;&gt;"",REGEXREPLACE(TO_TEXT('_Supporto Listone'!G320),"(.)","$1"&amp;UNICHAR(822)),'_Supporto Listone'!G320)</x:f>
        <x:v>18</x:v>
      </x:c>
      <x:c r="H320" s="464" t="n">
        <x:f>IF($J320&lt;&gt;"",REGEXREPLACE(TO_TEXT('_Supporto Listone'!H320),"(.)","$1"&amp;UNICHAR(822)),'_Supporto Listone'!H320)</x:f>
        <x:v>9</x:v>
      </x:c>
      <x:c r="I320" s="442"/>
      <x:c r="J320" s="441" t="str">
        <x:f>IF(COUNTIF(Asta!$B$4:$B$47,'_Supporto Listone'!B320)&gt;0,"Simone",IF(COUNTIF(Asta!$D$4:$D$47,'_Supporto Listone'!B320)&gt;0,"Giacomo",IF(COUNTIF(Asta!$F$4:$F$47,'_Supporto Listone'!B320)&gt;0,"Niko",IF(COUNTIF(Asta!$H$4:$H$47,'_Supporto Listone'!B320)&gt;0,"Quici",IF(COUNTIF(Asta!$J$4:$J$47,'_Supporto Listone'!B320)&gt;0,"Fratello Quici",IF(COUNTIF(Asta!$L$4:$L$47,'_Supporto Listone'!B320)&gt;0,"Nicolò",IF(COUNTIF(Asta!$N$4:$N$47,'_Supporto Listone'!B320)&gt;0,"Vi",IF(COUNTIF(Asta!$P$4:$P$47,'_Supporto Listone'!B320)&gt;0,"Lore",IF(COUNTIF(Asta!$R$4:$R$47,'_Supporto Listone'!B320)&gt;0,"Robbo",IF(COUNTIF(Asta!$T$4:$T$47,'_Supporto Listone'!B320)&gt;0,"Ale",""))))))))))</x:f>
      </x:c>
      <x:c r="K320" s="495" t="str">
        <x:f>IF(COUNTIF(Asta!$B$4:$B$47,'_Supporto Listone'!B320)&gt;0,INDEX(Asta!$C$4:$C$47,MATCH('_Supporto Listone'!B320,Asta!$B$4:$B$47,0)),IF(COUNTIF(Asta!$D$4:$D$47,'_Supporto Listone'!B320)&gt;0,INDEX(Asta!$E$4:$E$47,MATCH('_Supporto Listone'!B320,Asta!$D$4:$D$47,0)),IF(COUNTIF(Asta!$F$4:$F$47,'_Supporto Listone'!B320)&gt;0,INDEX(Asta!$G$4:$G$47,MATCH('_Supporto Listone'!B320,Asta!$F$4:$F$47,0)),IF(COUNTIF(Asta!$H$4:$H$47,'_Supporto Listone'!B320)&gt;0,INDEX(Asta!$I$4:$I$47,MATCH('_Supporto Listone'!B320,Asta!$H$4:$H$47,0)),IF(COUNTIF(Asta!$J$4:$J$47,'_Supporto Listone'!B320)&gt;0,INDEX(Asta!$K$4:$K$47,MATCH('_Supporto Listone'!B320,Asta!$J$4:$J$47,0)),IF(COUNTIF(Asta!$L$4:$L$47,'_Supporto Listone'!B320)&gt;0,INDEX(Asta!$M$4:$M$47,MATCH('_Supporto Listone'!B320,Asta!$L$4:$L$47,0)),IF(COUNTIF(Asta!$N$4:$N$47,'_Supporto Listone'!B320)&gt;0,INDEX(Asta!$O$4:$O$47,MATCH('_Supporto Listone'!B320,Asta!$N$4:$N$47,0)),IF(COUNTIF(Asta!$P$4:$P$47,'_Supporto Listone'!B320)&gt;0,INDEX(Asta!$Q$4:$Q$47,MATCH('_Supporto Listone'!B320,Asta!$P$4:$P$47,0)),IF(COUNTIF(Asta!$R$4:$R$47,'_Supporto Listone'!B320)&gt;0,INDEX(Asta!$S$4:$S$47,MATCH('_Supporto Listone'!B320,Asta!$R$4:$R$47,0)),IF(COUNTIF(Asta!$T$4:$T$47,'_Supporto Listone'!B320)&gt;0,INDEX(Asta!$U$4:$U$47,MATCH('_Supporto Listone'!B320,Asta!$T$4:$T$47,0)),""))))))))))</x:f>
      </x:c>
    </x:row>
    <x:row r="321">
      <x:c r="A321" s="440" t="str">
        <x:f>IF($J321&lt;&gt;"",REGEXREPLACE(TO_TEXT('_Supporto Listone'!A321),"(.)","$1"&amp;UNICHAR(822)),'_Supporto Listone'!A321)</x:f>
        <x:v>C</x:v>
      </x:c>
      <x:c r="B321" s="441" t="str">
        <x:f>IF($J321&lt;&gt;"",REGEXREPLACE(TO_TEXT('_Supporto Listone'!B321),"(.)","$1"&amp;UNICHAR(822)),'_Supporto Listone'!B321)</x:f>
        <x:v>Zhegrova</x:v>
      </x:c>
      <x:c r="C321" s="441" t="str">
        <x:f>IF($J321&lt;&gt;"",REGEXREPLACE(TO_TEXT('_Supporto Listone'!C321),"(.)","$1"&amp;UNICHAR(822)),'_Supporto Listone'!C321)</x:f>
        <x:v>Juventus</x:v>
      </x:c>
      <x:c r="D321" s="441" t="str">
        <x:f>IF($J321&lt;&gt;"",REGEXREPLACE(TO_TEXT('_Supporto Listone'!D321),"(.)","$1"&amp;UNICHAR(822)),'_Supporto Listone'!D321)</x:f>
        <x:v>W</x:v>
      </x:c>
      <x:c r="E321" s="441" t="str">
        <x:f>IF($J321&lt;&gt;"",REGEXREPLACE(TO_TEXT('_Supporto Listone'!E321),"(.)","$1"&amp;UNICHAR(822)),'_Supporto Listone'!E321)</x:f>
        <x:v>Riserva / rotazione</x:v>
      </x:c>
      <x:c r="F321" s="464" t="n">
        <x:f>IF($J321&lt;&gt;"",REGEXREPLACE(TO_TEXT('_Supporto Listone'!F321),"(.)","$1"&amp;UNICHAR(822)),'_Supporto Listone'!F321)</x:f>
        <x:v>6</x:v>
      </x:c>
      <x:c r="G321" s="464" t="n">
        <x:f>IF($J321&lt;&gt;"",REGEXREPLACE(TO_TEXT('_Supporto Listone'!G321),"(.)","$1"&amp;UNICHAR(822)),'_Supporto Listone'!G321)</x:f>
        <x:v>18</x:v>
      </x:c>
      <x:c r="H321" s="464" t="n">
        <x:f>IF($J321&lt;&gt;"",REGEXREPLACE(TO_TEXT('_Supporto Listone'!H321),"(.)","$1"&amp;UNICHAR(822)),'_Supporto Listone'!H321)</x:f>
        <x:v>9</x:v>
      </x:c>
      <x:c r="I321" s="442"/>
      <x:c r="J321" s="441" t="str">
        <x:f>IF(COUNTIF(Asta!$B$4:$B$47,'_Supporto Listone'!B321)&gt;0,"Simone",IF(COUNTIF(Asta!$D$4:$D$47,'_Supporto Listone'!B321)&gt;0,"Giacomo",IF(COUNTIF(Asta!$F$4:$F$47,'_Supporto Listone'!B321)&gt;0,"Niko",IF(COUNTIF(Asta!$H$4:$H$47,'_Supporto Listone'!B321)&gt;0,"Quici",IF(COUNTIF(Asta!$J$4:$J$47,'_Supporto Listone'!B321)&gt;0,"Fratello Quici",IF(COUNTIF(Asta!$L$4:$L$47,'_Supporto Listone'!B321)&gt;0,"Nicolò",IF(COUNTIF(Asta!$N$4:$N$47,'_Supporto Listone'!B321)&gt;0,"Vi",IF(COUNTIF(Asta!$P$4:$P$47,'_Supporto Listone'!B321)&gt;0,"Lore",IF(COUNTIF(Asta!$R$4:$R$47,'_Supporto Listone'!B321)&gt;0,"Robbo",IF(COUNTIF(Asta!$T$4:$T$47,'_Supporto Listone'!B321)&gt;0,"Ale",""))))))))))</x:f>
      </x:c>
      <x:c r="K321" s="495" t="str">
        <x:f>IF(COUNTIF(Asta!$B$4:$B$47,'_Supporto Listone'!B321)&gt;0,INDEX(Asta!$C$4:$C$47,MATCH('_Supporto Listone'!B321,Asta!$B$4:$B$47,0)),IF(COUNTIF(Asta!$D$4:$D$47,'_Supporto Listone'!B321)&gt;0,INDEX(Asta!$E$4:$E$47,MATCH('_Supporto Listone'!B321,Asta!$D$4:$D$47,0)),IF(COUNTIF(Asta!$F$4:$F$47,'_Supporto Listone'!B321)&gt;0,INDEX(Asta!$G$4:$G$47,MATCH('_Supporto Listone'!B321,Asta!$F$4:$F$47,0)),IF(COUNTIF(Asta!$H$4:$H$47,'_Supporto Listone'!B321)&gt;0,INDEX(Asta!$I$4:$I$47,MATCH('_Supporto Listone'!B321,Asta!$H$4:$H$47,0)),IF(COUNTIF(Asta!$J$4:$J$47,'_Supporto Listone'!B321)&gt;0,INDEX(Asta!$K$4:$K$47,MATCH('_Supporto Listone'!B321,Asta!$J$4:$J$47,0)),IF(COUNTIF(Asta!$L$4:$L$47,'_Supporto Listone'!B321)&gt;0,INDEX(Asta!$M$4:$M$47,MATCH('_Supporto Listone'!B321,Asta!$L$4:$L$47,0)),IF(COUNTIF(Asta!$N$4:$N$47,'_Supporto Listone'!B321)&gt;0,INDEX(Asta!$O$4:$O$47,MATCH('_Supporto Listone'!B321,Asta!$N$4:$N$47,0)),IF(COUNTIF(Asta!$P$4:$P$47,'_Supporto Listone'!B321)&gt;0,INDEX(Asta!$Q$4:$Q$47,MATCH('_Supporto Listone'!B321,Asta!$P$4:$P$47,0)),IF(COUNTIF(Asta!$R$4:$R$47,'_Supporto Listone'!B321)&gt;0,INDEX(Asta!$S$4:$S$47,MATCH('_Supporto Listone'!B321,Asta!$R$4:$R$47,0)),IF(COUNTIF(Asta!$T$4:$T$47,'_Supporto Listone'!B321)&gt;0,INDEX(Asta!$U$4:$U$47,MATCH('_Supporto Listone'!B321,Asta!$T$4:$T$47,0)),""))))))))))</x:f>
      </x:c>
    </x:row>
    <x:row r="322">
      <x:c r="A322" s="440" t="str">
        <x:f>IF($J322&lt;&gt;"",REGEXREPLACE(TO_TEXT('_Supporto Listone'!A322),"(.)","$1"&amp;UNICHAR(822)),'_Supporto Listone'!A322)</x:f>
        <x:v>C</x:v>
      </x:c>
      <x:c r="B322" s="441" t="str">
        <x:f>IF($J322&lt;&gt;"",REGEXREPLACE(TO_TEXT('_Supporto Listone'!B322),"(.)","$1"&amp;UNICHAR(822)),'_Supporto Listone'!B322)</x:f>
        <x:v>Rovella</x:v>
      </x:c>
      <x:c r="C322" s="441" t="str">
        <x:f>IF($J322&lt;&gt;"",REGEXREPLACE(TO_TEXT('_Supporto Listone'!C322),"(.)","$1"&amp;UNICHAR(822)),'_Supporto Listone'!C322)</x:f>
        <x:v>Lazio</x:v>
      </x:c>
      <x:c r="D322" s="441" t="str">
        <x:f>IF($J322&lt;&gt;"",REGEXREPLACE(TO_TEXT('_Supporto Listone'!D322),"(.)","$1"&amp;UNICHAR(822)),'_Supporto Listone'!D322)</x:f>
        <x:v>M;C</x:v>
      </x:c>
      <x:c r="E322" s="441" t="str">
        <x:f>IF($J322&lt;&gt;"",REGEXREPLACE(TO_TEXT('_Supporto Listone'!E322),"(.)","$1"&amp;UNICHAR(822)),'_Supporto Listone'!E322)</x:f>
        <x:v>Titolare</x:v>
      </x:c>
      <x:c r="F322" s="464" t="n">
        <x:f>IF($J322&lt;&gt;"",REGEXREPLACE(TO_TEXT('_Supporto Listone'!F322),"(.)","$1"&amp;UNICHAR(822)),'_Supporto Listone'!F322)</x:f>
        <x:v>6</x:v>
      </x:c>
      <x:c r="G322" s="464" t="n">
        <x:f>IF($J322&lt;&gt;"",REGEXREPLACE(TO_TEXT('_Supporto Listone'!G322),"(.)","$1"&amp;UNICHAR(822)),'_Supporto Listone'!G322)</x:f>
        <x:v>16</x:v>
      </x:c>
      <x:c r="H322" s="464" t="n">
        <x:f>IF($J322&lt;&gt;"",REGEXREPLACE(TO_TEXT('_Supporto Listone'!H322),"(.)","$1"&amp;UNICHAR(822)),'_Supporto Listone'!H322)</x:f>
        <x:v>8</x:v>
      </x:c>
      <x:c r="I322" s="442" t="str">
        <x:f>IF($J322&lt;&gt;"",REGEXREPLACE(TO_TEXT('_Supporto Listone'!I322),"(.)","$1"&amp;UNICHAR(822)),'_Supporto Listone'!I322)</x:f>
        <x:v>Piazzati</x:v>
      </x:c>
      <x:c r="J322" s="441" t="str">
        <x:f>IF(COUNTIF(Asta!$B$4:$B$47,'_Supporto Listone'!B322)&gt;0,"Simone",IF(COUNTIF(Asta!$D$4:$D$47,'_Supporto Listone'!B322)&gt;0,"Giacomo",IF(COUNTIF(Asta!$F$4:$F$47,'_Supporto Listone'!B322)&gt;0,"Niko",IF(COUNTIF(Asta!$H$4:$H$47,'_Supporto Listone'!B322)&gt;0,"Quici",IF(COUNTIF(Asta!$J$4:$J$47,'_Supporto Listone'!B322)&gt;0,"Fratello Quici",IF(COUNTIF(Asta!$L$4:$L$47,'_Supporto Listone'!B322)&gt;0,"Nicolò",IF(COUNTIF(Asta!$N$4:$N$47,'_Supporto Listone'!B322)&gt;0,"Vi",IF(COUNTIF(Asta!$P$4:$P$47,'_Supporto Listone'!B322)&gt;0,"Lore",IF(COUNTIF(Asta!$R$4:$R$47,'_Supporto Listone'!B322)&gt;0,"Robbo",IF(COUNTIF(Asta!$T$4:$T$47,'_Supporto Listone'!B322)&gt;0,"Ale",""))))))))))</x:f>
      </x:c>
      <x:c r="K322" s="495" t="str">
        <x:f>IF(COUNTIF(Asta!$B$4:$B$47,'_Supporto Listone'!B322)&gt;0,INDEX(Asta!$C$4:$C$47,MATCH('_Supporto Listone'!B322,Asta!$B$4:$B$47,0)),IF(COUNTIF(Asta!$D$4:$D$47,'_Supporto Listone'!B322)&gt;0,INDEX(Asta!$E$4:$E$47,MATCH('_Supporto Listone'!B322,Asta!$D$4:$D$47,0)),IF(COUNTIF(Asta!$F$4:$F$47,'_Supporto Listone'!B322)&gt;0,INDEX(Asta!$G$4:$G$47,MATCH('_Supporto Listone'!B322,Asta!$F$4:$F$47,0)),IF(COUNTIF(Asta!$H$4:$H$47,'_Supporto Listone'!B322)&gt;0,INDEX(Asta!$I$4:$I$47,MATCH('_Supporto Listone'!B322,Asta!$H$4:$H$47,0)),IF(COUNTIF(Asta!$J$4:$J$47,'_Supporto Listone'!B322)&gt;0,INDEX(Asta!$K$4:$K$47,MATCH('_Supporto Listone'!B322,Asta!$J$4:$J$47,0)),IF(COUNTIF(Asta!$L$4:$L$47,'_Supporto Listone'!B322)&gt;0,INDEX(Asta!$M$4:$M$47,MATCH('_Supporto Listone'!B322,Asta!$L$4:$L$47,0)),IF(COUNTIF(Asta!$N$4:$N$47,'_Supporto Listone'!B322)&gt;0,INDEX(Asta!$O$4:$O$47,MATCH('_Supporto Listone'!B322,Asta!$N$4:$N$47,0)),IF(COUNTIF(Asta!$P$4:$P$47,'_Supporto Listone'!B322)&gt;0,INDEX(Asta!$Q$4:$Q$47,MATCH('_Supporto Listone'!B322,Asta!$P$4:$P$47,0)),IF(COUNTIF(Asta!$R$4:$R$47,'_Supporto Listone'!B322)&gt;0,INDEX(Asta!$S$4:$S$47,MATCH('_Supporto Listone'!B322,Asta!$R$4:$R$47,0)),IF(COUNTIF(Asta!$T$4:$T$47,'_Supporto Listone'!B322)&gt;0,INDEX(Asta!$U$4:$U$47,MATCH('_Supporto Listone'!B322,Asta!$T$4:$T$47,0)),""))))))))))</x:f>
      </x:c>
    </x:row>
    <x:row r="323">
      <x:c r="A323" s="440" t="str">
        <x:f>IF($J323&lt;&gt;"",REGEXREPLACE(TO_TEXT('_Supporto Listone'!A323),"(.)","$1"&amp;UNICHAR(822)),'_Supporto Listone'!A323)</x:f>
        <x:v>C</x:v>
      </x:c>
      <x:c r="B323" s="441" t="str">
        <x:f>IF($J323&lt;&gt;"",REGEXREPLACE(TO_TEXT('_Supporto Listone'!B323),"(.)","$1"&amp;UNICHAR(822)),'_Supporto Listone'!B323)</x:f>
        <x:v>Coulibaly L.</x:v>
      </x:c>
      <x:c r="C323" s="441" t="str">
        <x:f>IF($J323&lt;&gt;"",REGEXREPLACE(TO_TEXT('_Supporto Listone'!C323),"(.)","$1"&amp;UNICHAR(822)),'_Supporto Listone'!C323)</x:f>
        <x:v>Lecce</x:v>
      </x:c>
      <x:c r="D323" s="441" t="str">
        <x:f>IF($J323&lt;&gt;"",REGEXREPLACE(TO_TEXT('_Supporto Listone'!D323),"(.)","$1"&amp;UNICHAR(822)),'_Supporto Listone'!D323)</x:f>
        <x:v>M;C</x:v>
      </x:c>
      <x:c r="E323" s="441" t="str">
        <x:f>IF($J323&lt;&gt;"",REGEXREPLACE(TO_TEXT('_Supporto Listone'!E323),"(.)","$1"&amp;UNICHAR(822)),'_Supporto Listone'!E323)</x:f>
        <x:v>Titolare</x:v>
      </x:c>
      <x:c r="F323" s="464" t="n">
        <x:f>IF($J323&lt;&gt;"",REGEXREPLACE(TO_TEXT('_Supporto Listone'!F323),"(.)","$1"&amp;UNICHAR(822)),'_Supporto Listone'!F323)</x:f>
        <x:v>6</x:v>
      </x:c>
      <x:c r="G323" s="464" t="n">
        <x:f>IF($J323&lt;&gt;"",REGEXREPLACE(TO_TEXT('_Supporto Listone'!G323),"(.)","$1"&amp;UNICHAR(822)),'_Supporto Listone'!G323)</x:f>
        <x:v>14</x:v>
      </x:c>
      <x:c r="H323" s="464" t="n">
        <x:f>IF($J323&lt;&gt;"",REGEXREPLACE(TO_TEXT('_Supporto Listone'!H323),"(.)","$1"&amp;UNICHAR(822)),'_Supporto Listone'!H323)</x:f>
        <x:v>7</x:v>
      </x:c>
      <x:c r="I323" s="442"/>
      <x:c r="J323" s="441" t="str">
        <x:f>IF(COUNTIF(Asta!$B$4:$B$47,'_Supporto Listone'!B323)&gt;0,"Simone",IF(COUNTIF(Asta!$D$4:$D$47,'_Supporto Listone'!B323)&gt;0,"Giacomo",IF(COUNTIF(Asta!$F$4:$F$47,'_Supporto Listone'!B323)&gt;0,"Niko",IF(COUNTIF(Asta!$H$4:$H$47,'_Supporto Listone'!B323)&gt;0,"Quici",IF(COUNTIF(Asta!$J$4:$J$47,'_Supporto Listone'!B323)&gt;0,"Fratello Quici",IF(COUNTIF(Asta!$L$4:$L$47,'_Supporto Listone'!B323)&gt;0,"Nicolò",IF(COUNTIF(Asta!$N$4:$N$47,'_Supporto Listone'!B323)&gt;0,"Vi",IF(COUNTIF(Asta!$P$4:$P$47,'_Supporto Listone'!B323)&gt;0,"Lore",IF(COUNTIF(Asta!$R$4:$R$47,'_Supporto Listone'!B323)&gt;0,"Robbo",IF(COUNTIF(Asta!$T$4:$T$47,'_Supporto Listone'!B323)&gt;0,"Ale",""))))))))))</x:f>
      </x:c>
      <x:c r="K323" s="495" t="str">
        <x:f>IF(COUNTIF(Asta!$B$4:$B$47,'_Supporto Listone'!B323)&gt;0,INDEX(Asta!$C$4:$C$47,MATCH('_Supporto Listone'!B323,Asta!$B$4:$B$47,0)),IF(COUNTIF(Asta!$D$4:$D$47,'_Supporto Listone'!B323)&gt;0,INDEX(Asta!$E$4:$E$47,MATCH('_Supporto Listone'!B323,Asta!$D$4:$D$47,0)),IF(COUNTIF(Asta!$F$4:$F$47,'_Supporto Listone'!B323)&gt;0,INDEX(Asta!$G$4:$G$47,MATCH('_Supporto Listone'!B323,Asta!$F$4:$F$47,0)),IF(COUNTIF(Asta!$H$4:$H$47,'_Supporto Listone'!B323)&gt;0,INDEX(Asta!$I$4:$I$47,MATCH('_Supporto Listone'!B323,Asta!$H$4:$H$47,0)),IF(COUNTIF(Asta!$J$4:$J$47,'_Supporto Listone'!B323)&gt;0,INDEX(Asta!$K$4:$K$47,MATCH('_Supporto Listone'!B323,Asta!$J$4:$J$47,0)),IF(COUNTIF(Asta!$L$4:$L$47,'_Supporto Listone'!B323)&gt;0,INDEX(Asta!$M$4:$M$47,MATCH('_Supporto Listone'!B323,Asta!$L$4:$L$47,0)),IF(COUNTIF(Asta!$N$4:$N$47,'_Supporto Listone'!B323)&gt;0,INDEX(Asta!$O$4:$O$47,MATCH('_Supporto Listone'!B323,Asta!$N$4:$N$47,0)),IF(COUNTIF(Asta!$P$4:$P$47,'_Supporto Listone'!B323)&gt;0,INDEX(Asta!$Q$4:$Q$47,MATCH('_Supporto Listone'!B323,Asta!$P$4:$P$47,0)),IF(COUNTIF(Asta!$R$4:$R$47,'_Supporto Listone'!B323)&gt;0,INDEX(Asta!$S$4:$S$47,MATCH('_Supporto Listone'!B323,Asta!$R$4:$R$47,0)),IF(COUNTIF(Asta!$T$4:$T$47,'_Supporto Listone'!B323)&gt;0,INDEX(Asta!$U$4:$U$47,MATCH('_Supporto Listone'!B323,Asta!$T$4:$T$47,0)),""))))))))))</x:f>
      </x:c>
    </x:row>
    <x:row r="324">
      <x:c r="A324" s="440" t="str">
        <x:f>IF($J324&lt;&gt;"",REGEXREPLACE(TO_TEXT('_Supporto Listone'!A324),"(.)","$1"&amp;UNICHAR(822)),'_Supporto Listone'!A324)</x:f>
        <x:v>C</x:v>
      </x:c>
      <x:c r="B324" s="441" t="str">
        <x:f>IF($J324&lt;&gt;"",REGEXREPLACE(TO_TEXT('_Supporto Listone'!B324),"(.)","$1"&amp;UNICHAR(822)),'_Supporto Listone'!B324)</x:f>
        <x:v>Pierotti</x:v>
      </x:c>
      <x:c r="C324" s="441" t="str">
        <x:f>IF($J324&lt;&gt;"",REGEXREPLACE(TO_TEXT('_Supporto Listone'!C324),"(.)","$1"&amp;UNICHAR(822)),'_Supporto Listone'!C324)</x:f>
        <x:v>Lecce</x:v>
      </x:c>
      <x:c r="D324" s="441" t="str">
        <x:f>IF($J324&lt;&gt;"",REGEXREPLACE(TO_TEXT('_Supporto Listone'!D324),"(.)","$1"&amp;UNICHAR(822)),'_Supporto Listone'!D324)</x:f>
        <x:v>W</x:v>
      </x:c>
      <x:c r="E324" s="441" t="str">
        <x:f>IF($J324&lt;&gt;"",REGEXREPLACE(TO_TEXT('_Supporto Listone'!E324),"(.)","$1"&amp;UNICHAR(822)),'_Supporto Listone'!E324)</x:f>
        <x:v>Titolare</x:v>
      </x:c>
      <x:c r="F324" s="464" t="n">
        <x:f>IF($J324&lt;&gt;"",REGEXREPLACE(TO_TEXT('_Supporto Listone'!F324),"(.)","$1"&amp;UNICHAR(822)),'_Supporto Listone'!F324)</x:f>
        <x:v>6</x:v>
      </x:c>
      <x:c r="G324" s="464" t="n">
        <x:f>IF($J324&lt;&gt;"",REGEXREPLACE(TO_TEXT('_Supporto Listone'!G324),"(.)","$1"&amp;UNICHAR(822)),'_Supporto Listone'!G324)</x:f>
        <x:v>19</x:v>
      </x:c>
      <x:c r="H324" s="464" t="n">
        <x:f>IF($J324&lt;&gt;"",REGEXREPLACE(TO_TEXT('_Supporto Listone'!H324),"(.)","$1"&amp;UNICHAR(822)),'_Supporto Listone'!H324)</x:f>
        <x:v>10</x:v>
      </x:c>
      <x:c r="I324" s="442" t="str">
        <x:f>IF($J324&lt;&gt;"",REGEXREPLACE(TO_TEXT('_Supporto Listone'!I324),"(.)","$1"&amp;UNICHAR(822)),'_Supporto Listone'!I324)</x:f>
        <x:v>Piazzati</x:v>
      </x:c>
      <x:c r="J324" s="441" t="str">
        <x:f>IF(COUNTIF(Asta!$B$4:$B$47,'_Supporto Listone'!B324)&gt;0,"Simone",IF(COUNTIF(Asta!$D$4:$D$47,'_Supporto Listone'!B324)&gt;0,"Giacomo",IF(COUNTIF(Asta!$F$4:$F$47,'_Supporto Listone'!B324)&gt;0,"Niko",IF(COUNTIF(Asta!$H$4:$H$47,'_Supporto Listone'!B324)&gt;0,"Quici",IF(COUNTIF(Asta!$J$4:$J$47,'_Supporto Listone'!B324)&gt;0,"Fratello Quici",IF(COUNTIF(Asta!$L$4:$L$47,'_Supporto Listone'!B324)&gt;0,"Nicolò",IF(COUNTIF(Asta!$N$4:$N$47,'_Supporto Listone'!B324)&gt;0,"Vi",IF(COUNTIF(Asta!$P$4:$P$47,'_Supporto Listone'!B324)&gt;0,"Lore",IF(COUNTIF(Asta!$R$4:$R$47,'_Supporto Listone'!B324)&gt;0,"Robbo",IF(COUNTIF(Asta!$T$4:$T$47,'_Supporto Listone'!B324)&gt;0,"Ale",""))))))))))</x:f>
      </x:c>
      <x:c r="K324" s="495" t="str">
        <x:f>IF(COUNTIF(Asta!$B$4:$B$47,'_Supporto Listone'!B324)&gt;0,INDEX(Asta!$C$4:$C$47,MATCH('_Supporto Listone'!B324,Asta!$B$4:$B$47,0)),IF(COUNTIF(Asta!$D$4:$D$47,'_Supporto Listone'!B324)&gt;0,INDEX(Asta!$E$4:$E$47,MATCH('_Supporto Listone'!B324,Asta!$D$4:$D$47,0)),IF(COUNTIF(Asta!$F$4:$F$47,'_Supporto Listone'!B324)&gt;0,INDEX(Asta!$G$4:$G$47,MATCH('_Supporto Listone'!B324,Asta!$F$4:$F$47,0)),IF(COUNTIF(Asta!$H$4:$H$47,'_Supporto Listone'!B324)&gt;0,INDEX(Asta!$I$4:$I$47,MATCH('_Supporto Listone'!B324,Asta!$H$4:$H$47,0)),IF(COUNTIF(Asta!$J$4:$J$47,'_Supporto Listone'!B324)&gt;0,INDEX(Asta!$K$4:$K$47,MATCH('_Supporto Listone'!B324,Asta!$J$4:$J$47,0)),IF(COUNTIF(Asta!$L$4:$L$47,'_Supporto Listone'!B324)&gt;0,INDEX(Asta!$M$4:$M$47,MATCH('_Supporto Listone'!B324,Asta!$L$4:$L$47,0)),IF(COUNTIF(Asta!$N$4:$N$47,'_Supporto Listone'!B324)&gt;0,INDEX(Asta!$O$4:$O$47,MATCH('_Supporto Listone'!B324,Asta!$N$4:$N$47,0)),IF(COUNTIF(Asta!$P$4:$P$47,'_Supporto Listone'!B324)&gt;0,INDEX(Asta!$Q$4:$Q$47,MATCH('_Supporto Listone'!B324,Asta!$P$4:$P$47,0)),IF(COUNTIF(Asta!$R$4:$R$47,'_Supporto Listone'!B324)&gt;0,INDEX(Asta!$S$4:$S$47,MATCH('_Supporto Listone'!B324,Asta!$R$4:$R$47,0)),IF(COUNTIF(Asta!$T$4:$T$47,'_Supporto Listone'!B324)&gt;0,INDEX(Asta!$U$4:$U$47,MATCH('_Supporto Listone'!B324,Asta!$T$4:$T$47,0)),""))))))))))</x:f>
      </x:c>
    </x:row>
    <x:row r="325">
      <x:c r="A325" s="440" t="str">
        <x:f>IF($J325&lt;&gt;"",REGEXREPLACE(TO_TEXT('_Supporto Listone'!A325),"(.)","$1"&amp;UNICHAR(822)),'_Supporto Listone'!A325)</x:f>
        <x:v>C</x:v>
      </x:c>
      <x:c r="B325" s="441" t="str">
        <x:f>IF($J325&lt;&gt;"",REGEXREPLACE(TO_TEXT('_Supporto Listone'!B325),"(.)","$1"&amp;UNICHAR(822)),'_Supporto Listone'!B325)</x:f>
        <x:v>Chukwueze</x:v>
      </x:c>
      <x:c r="C325" s="441" t="str">
        <x:f>IF($J325&lt;&gt;"",REGEXREPLACE(TO_TEXT('_Supporto Listone'!C325),"(.)","$1"&amp;UNICHAR(822)),'_Supporto Listone'!C325)</x:f>
        <x:v>Milan</x:v>
      </x:c>
      <x:c r="D325" s="441" t="str">
        <x:f>IF($J325&lt;&gt;"",REGEXREPLACE(TO_TEXT('_Supporto Listone'!D325),"(.)","$1"&amp;UNICHAR(822)),'_Supporto Listone'!D325)</x:f>
        <x:v>W</x:v>
      </x:c>
      <x:c r="E325" s="441" t="str">
        <x:f>IF($J325&lt;&gt;"",REGEXREPLACE(TO_TEXT('_Supporto Listone'!E325),"(.)","$1"&amp;UNICHAR(822)),'_Supporto Listone'!E325)</x:f>
        <x:v>Ballottaggio</x:v>
      </x:c>
      <x:c r="F325" s="464" t="n">
        <x:f>IF($J325&lt;&gt;"",REGEXREPLACE(TO_TEXT('_Supporto Listone'!F325),"(.)","$1"&amp;UNICHAR(822)),'_Supporto Listone'!F325)</x:f>
        <x:v>6</x:v>
      </x:c>
      <x:c r="G325" s="464" t="n">
        <x:f>IF($J325&lt;&gt;"",REGEXREPLACE(TO_TEXT('_Supporto Listone'!G325),"(.)","$1"&amp;UNICHAR(822)),'_Supporto Listone'!G325)</x:f>
        <x:v>11</x:v>
      </x:c>
      <x:c r="H325" s="464" t="n">
        <x:f>IF($J325&lt;&gt;"",REGEXREPLACE(TO_TEXT('_Supporto Listone'!H325),"(.)","$1"&amp;UNICHAR(822)),'_Supporto Listone'!H325)</x:f>
        <x:v>6</x:v>
      </x:c>
      <x:c r="I325" s="442"/>
      <x:c r="J325" s="441" t="str">
        <x:f>IF(COUNTIF(Asta!$B$4:$B$47,'_Supporto Listone'!B325)&gt;0,"Simone",IF(COUNTIF(Asta!$D$4:$D$47,'_Supporto Listone'!B325)&gt;0,"Giacomo",IF(COUNTIF(Asta!$F$4:$F$47,'_Supporto Listone'!B325)&gt;0,"Niko",IF(COUNTIF(Asta!$H$4:$H$47,'_Supporto Listone'!B325)&gt;0,"Quici",IF(COUNTIF(Asta!$J$4:$J$47,'_Supporto Listone'!B325)&gt;0,"Fratello Quici",IF(COUNTIF(Asta!$L$4:$L$47,'_Supporto Listone'!B325)&gt;0,"Nicolò",IF(COUNTIF(Asta!$N$4:$N$47,'_Supporto Listone'!B325)&gt;0,"Vi",IF(COUNTIF(Asta!$P$4:$P$47,'_Supporto Listone'!B325)&gt;0,"Lore",IF(COUNTIF(Asta!$R$4:$R$47,'_Supporto Listone'!B325)&gt;0,"Robbo",IF(COUNTIF(Asta!$T$4:$T$47,'_Supporto Listone'!B325)&gt;0,"Ale",""))))))))))</x:f>
      </x:c>
      <x:c r="K325" s="495" t="str">
        <x:f>IF(COUNTIF(Asta!$B$4:$B$47,'_Supporto Listone'!B325)&gt;0,INDEX(Asta!$C$4:$C$47,MATCH('_Supporto Listone'!B325,Asta!$B$4:$B$47,0)),IF(COUNTIF(Asta!$D$4:$D$47,'_Supporto Listone'!B325)&gt;0,INDEX(Asta!$E$4:$E$47,MATCH('_Supporto Listone'!B325,Asta!$D$4:$D$47,0)),IF(COUNTIF(Asta!$F$4:$F$47,'_Supporto Listone'!B325)&gt;0,INDEX(Asta!$G$4:$G$47,MATCH('_Supporto Listone'!B325,Asta!$F$4:$F$47,0)),IF(COUNTIF(Asta!$H$4:$H$47,'_Supporto Listone'!B325)&gt;0,INDEX(Asta!$I$4:$I$47,MATCH('_Supporto Listone'!B325,Asta!$H$4:$H$47,0)),IF(COUNTIF(Asta!$J$4:$J$47,'_Supporto Listone'!B325)&gt;0,INDEX(Asta!$K$4:$K$47,MATCH('_Supporto Listone'!B325,Asta!$J$4:$J$47,0)),IF(COUNTIF(Asta!$L$4:$L$47,'_Supporto Listone'!B325)&gt;0,INDEX(Asta!$M$4:$M$47,MATCH('_Supporto Listone'!B325,Asta!$L$4:$L$47,0)),IF(COUNTIF(Asta!$N$4:$N$47,'_Supporto Listone'!B325)&gt;0,INDEX(Asta!$O$4:$O$47,MATCH('_Supporto Listone'!B325,Asta!$N$4:$N$47,0)),IF(COUNTIF(Asta!$P$4:$P$47,'_Supporto Listone'!B325)&gt;0,INDEX(Asta!$Q$4:$Q$47,MATCH('_Supporto Listone'!B325,Asta!$P$4:$P$47,0)),IF(COUNTIF(Asta!$R$4:$R$47,'_Supporto Listone'!B325)&gt;0,INDEX(Asta!$S$4:$S$47,MATCH('_Supporto Listone'!B325,Asta!$R$4:$R$47,0)),IF(COUNTIF(Asta!$T$4:$T$47,'_Supporto Listone'!B325)&gt;0,INDEX(Asta!$U$4:$U$47,MATCH('_Supporto Listone'!B325,Asta!$T$4:$T$47,0)),""))))))))))</x:f>
      </x:c>
    </x:row>
    <x:row r="326">
      <x:c r="A326" s="440" t="str">
        <x:f>IF($J326&lt;&gt;"",REGEXREPLACE(TO_TEXT('_Supporto Listone'!A326),"(.)","$1"&amp;UNICHAR(822)),'_Supporto Listone'!A326)</x:f>
        <x:v>C</x:v>
      </x:c>
      <x:c r="B326" s="441" t="str">
        <x:f>IF($J326&lt;&gt;"",REGEXREPLACE(TO_TEXT('_Supporto Listone'!B326),"(.)","$1"&amp;UNICHAR(822)),'_Supporto Listone'!B326)</x:f>
        <x:v>Akinsanmiro</x:v>
      </x:c>
      <x:c r="C326" s="441" t="str">
        <x:f>IF($J326&lt;&gt;"",REGEXREPLACE(TO_TEXT('_Supporto Listone'!C326),"(.)","$1"&amp;UNICHAR(822)),'_Supporto Listone'!C326)</x:f>
        <x:v>Monza</x:v>
      </x:c>
      <x:c r="D326" s="441" t="str">
        <x:f>IF($J326&lt;&gt;"",REGEXREPLACE(TO_TEXT('_Supporto Listone'!D326),"(.)","$1"&amp;UNICHAR(822)),'_Supporto Listone'!D326)</x:f>
        <x:v>C</x:v>
      </x:c>
      <x:c r="E326" s="441" t="str">
        <x:f>IF($J326&lt;&gt;"",REGEXREPLACE(TO_TEXT('_Supporto Listone'!E326),"(.)","$1"&amp;UNICHAR(822)),'_Supporto Listone'!E326)</x:f>
        <x:v>Titolare</x:v>
      </x:c>
      <x:c r="F326" s="464" t="n">
        <x:f>IF($J326&lt;&gt;"",REGEXREPLACE(TO_TEXT('_Supporto Listone'!F326),"(.)","$1"&amp;UNICHAR(822)),'_Supporto Listone'!F326)</x:f>
        <x:v>6</x:v>
      </x:c>
      <x:c r="G326" s="464" t="n">
        <x:f>IF($J326&lt;&gt;"",REGEXREPLACE(TO_TEXT('_Supporto Listone'!G326),"(.)","$1"&amp;UNICHAR(822)),'_Supporto Listone'!G326)</x:f>
        <x:v>16</x:v>
      </x:c>
      <x:c r="H326" s="464" t="n">
        <x:f>IF($J326&lt;&gt;"",REGEXREPLACE(TO_TEXT('_Supporto Listone'!H326),"(.)","$1"&amp;UNICHAR(822)),'_Supporto Listone'!H326)</x:f>
        <x:v>8</x:v>
      </x:c>
      <x:c r="I326" s="442"/>
      <x:c r="J326" s="441" t="str">
        <x:f>IF(COUNTIF(Asta!$B$4:$B$47,'_Supporto Listone'!B326)&gt;0,"Simone",IF(COUNTIF(Asta!$D$4:$D$47,'_Supporto Listone'!B326)&gt;0,"Giacomo",IF(COUNTIF(Asta!$F$4:$F$47,'_Supporto Listone'!B326)&gt;0,"Niko",IF(COUNTIF(Asta!$H$4:$H$47,'_Supporto Listone'!B326)&gt;0,"Quici",IF(COUNTIF(Asta!$J$4:$J$47,'_Supporto Listone'!B326)&gt;0,"Fratello Quici",IF(COUNTIF(Asta!$L$4:$L$47,'_Supporto Listone'!B326)&gt;0,"Nicolò",IF(COUNTIF(Asta!$N$4:$N$47,'_Supporto Listone'!B326)&gt;0,"Vi",IF(COUNTIF(Asta!$P$4:$P$47,'_Supporto Listone'!B326)&gt;0,"Lore",IF(COUNTIF(Asta!$R$4:$R$47,'_Supporto Listone'!B326)&gt;0,"Robbo",IF(COUNTIF(Asta!$T$4:$T$47,'_Supporto Listone'!B326)&gt;0,"Ale",""))))))))))</x:f>
      </x:c>
      <x:c r="K326" s="495" t="str">
        <x:f>IF(COUNTIF(Asta!$B$4:$B$47,'_Supporto Listone'!B326)&gt;0,INDEX(Asta!$C$4:$C$47,MATCH('_Supporto Listone'!B326,Asta!$B$4:$B$47,0)),IF(COUNTIF(Asta!$D$4:$D$47,'_Supporto Listone'!B326)&gt;0,INDEX(Asta!$E$4:$E$47,MATCH('_Supporto Listone'!B326,Asta!$D$4:$D$47,0)),IF(COUNTIF(Asta!$F$4:$F$47,'_Supporto Listone'!B326)&gt;0,INDEX(Asta!$G$4:$G$47,MATCH('_Supporto Listone'!B326,Asta!$F$4:$F$47,0)),IF(COUNTIF(Asta!$H$4:$H$47,'_Supporto Listone'!B326)&gt;0,INDEX(Asta!$I$4:$I$47,MATCH('_Supporto Listone'!B326,Asta!$H$4:$H$47,0)),IF(COUNTIF(Asta!$J$4:$J$47,'_Supporto Listone'!B326)&gt;0,INDEX(Asta!$K$4:$K$47,MATCH('_Supporto Listone'!B326,Asta!$J$4:$J$47,0)),IF(COUNTIF(Asta!$L$4:$L$47,'_Supporto Listone'!B326)&gt;0,INDEX(Asta!$M$4:$M$47,MATCH('_Supporto Listone'!B326,Asta!$L$4:$L$47,0)),IF(COUNTIF(Asta!$N$4:$N$47,'_Supporto Listone'!B326)&gt;0,INDEX(Asta!$O$4:$O$47,MATCH('_Supporto Listone'!B326,Asta!$N$4:$N$47,0)),IF(COUNTIF(Asta!$P$4:$P$47,'_Supporto Listone'!B326)&gt;0,INDEX(Asta!$Q$4:$Q$47,MATCH('_Supporto Listone'!B326,Asta!$P$4:$P$47,0)),IF(COUNTIF(Asta!$R$4:$R$47,'_Supporto Listone'!B326)&gt;0,INDEX(Asta!$S$4:$S$47,MATCH('_Supporto Listone'!B326,Asta!$R$4:$R$47,0)),IF(COUNTIF(Asta!$T$4:$T$47,'_Supporto Listone'!B326)&gt;0,INDEX(Asta!$U$4:$U$47,MATCH('_Supporto Listone'!B326,Asta!$T$4:$T$47,0)),""))))))))))</x:f>
      </x:c>
    </x:row>
    <x:row r="327">
      <x:c r="A327" s="440" t="str">
        <x:f>IF($J327&lt;&gt;"",REGEXREPLACE(TO_TEXT('_Supporto Listone'!A327),"(.)","$1"&amp;UNICHAR(822)),'_Supporto Listone'!A327)</x:f>
        <x:v>C</x:v>
      </x:c>
      <x:c r="B327" s="441" t="str">
        <x:f>IF($J327&lt;&gt;"",REGEXREPLACE(TO_TEXT('_Supporto Listone'!B327),"(.)","$1"&amp;UNICHAR(822)),'_Supporto Listone'!B327)</x:f>
        <x:v>Nicolussi Caviglia</x:v>
      </x:c>
      <x:c r="C327" s="441" t="str">
        <x:f>IF($J327&lt;&gt;"",REGEXREPLACE(TO_TEXT('_Supporto Listone'!C327),"(.)","$1"&amp;UNICHAR(822)),'_Supporto Listone'!C327)</x:f>
        <x:v>Parma</x:v>
      </x:c>
      <x:c r="D327" s="441" t="str">
        <x:f>IF($J327&lt;&gt;"",REGEXREPLACE(TO_TEXT('_Supporto Listone'!D327),"(.)","$1"&amp;UNICHAR(822)),'_Supporto Listone'!D327)</x:f>
        <x:v>M;C</x:v>
      </x:c>
      <x:c r="E327" s="441" t="str">
        <x:f>IF($J327&lt;&gt;"",REGEXREPLACE(TO_TEXT('_Supporto Listone'!E327),"(.)","$1"&amp;UNICHAR(822)),'_Supporto Listone'!E327)</x:f>
        <x:v>Riserva / rotazione</x:v>
      </x:c>
      <x:c r="F327" s="464" t="n">
        <x:f>IF($J327&lt;&gt;"",REGEXREPLACE(TO_TEXT('_Supporto Listone'!F327),"(.)","$1"&amp;UNICHAR(822)),'_Supporto Listone'!F327)</x:f>
        <x:v>6</x:v>
      </x:c>
      <x:c r="G327" s="464" t="n">
        <x:f>IF($J327&lt;&gt;"",REGEXREPLACE(TO_TEXT('_Supporto Listone'!G327),"(.)","$1"&amp;UNICHAR(822)),'_Supporto Listone'!G327)</x:f>
        <x:v>18</x:v>
      </x:c>
      <x:c r="H327" s="464" t="n">
        <x:f>IF($J327&lt;&gt;"",REGEXREPLACE(TO_TEXT('_Supporto Listone'!H327),"(.)","$1"&amp;UNICHAR(822)),'_Supporto Listone'!H327)</x:f>
        <x:v>9</x:v>
      </x:c>
      <x:c r="I327" s="442" t="str">
        <x:f>IF($J327&lt;&gt;"",REGEXREPLACE(TO_TEXT('_Supporto Listone'!I327),"(.)","$1"&amp;UNICHAR(822)),'_Supporto Listone'!I327)</x:f>
        <x:v>Piazzati</x:v>
      </x:c>
      <x:c r="J327" s="441" t="str">
        <x:f>IF(COUNTIF(Asta!$B$4:$B$47,'_Supporto Listone'!B327)&gt;0,"Simone",IF(COUNTIF(Asta!$D$4:$D$47,'_Supporto Listone'!B327)&gt;0,"Giacomo",IF(COUNTIF(Asta!$F$4:$F$47,'_Supporto Listone'!B327)&gt;0,"Niko",IF(COUNTIF(Asta!$H$4:$H$47,'_Supporto Listone'!B327)&gt;0,"Quici",IF(COUNTIF(Asta!$J$4:$J$47,'_Supporto Listone'!B327)&gt;0,"Fratello Quici",IF(COUNTIF(Asta!$L$4:$L$47,'_Supporto Listone'!B327)&gt;0,"Nicolò",IF(COUNTIF(Asta!$N$4:$N$47,'_Supporto Listone'!B327)&gt;0,"Vi",IF(COUNTIF(Asta!$P$4:$P$47,'_Supporto Listone'!B327)&gt;0,"Lore",IF(COUNTIF(Asta!$R$4:$R$47,'_Supporto Listone'!B327)&gt;0,"Robbo",IF(COUNTIF(Asta!$T$4:$T$47,'_Supporto Listone'!B327)&gt;0,"Ale",""))))))))))</x:f>
      </x:c>
      <x:c r="K327" s="495" t="str">
        <x:f>IF(COUNTIF(Asta!$B$4:$B$47,'_Supporto Listone'!B327)&gt;0,INDEX(Asta!$C$4:$C$47,MATCH('_Supporto Listone'!B327,Asta!$B$4:$B$47,0)),IF(COUNTIF(Asta!$D$4:$D$47,'_Supporto Listone'!B327)&gt;0,INDEX(Asta!$E$4:$E$47,MATCH('_Supporto Listone'!B327,Asta!$D$4:$D$47,0)),IF(COUNTIF(Asta!$F$4:$F$47,'_Supporto Listone'!B327)&gt;0,INDEX(Asta!$G$4:$G$47,MATCH('_Supporto Listone'!B327,Asta!$F$4:$F$47,0)),IF(COUNTIF(Asta!$H$4:$H$47,'_Supporto Listone'!B327)&gt;0,INDEX(Asta!$I$4:$I$47,MATCH('_Supporto Listone'!B327,Asta!$H$4:$H$47,0)),IF(COUNTIF(Asta!$J$4:$J$47,'_Supporto Listone'!B327)&gt;0,INDEX(Asta!$K$4:$K$47,MATCH('_Supporto Listone'!B327,Asta!$J$4:$J$47,0)),IF(COUNTIF(Asta!$L$4:$L$47,'_Supporto Listone'!B327)&gt;0,INDEX(Asta!$M$4:$M$47,MATCH('_Supporto Listone'!B327,Asta!$L$4:$L$47,0)),IF(COUNTIF(Asta!$N$4:$N$47,'_Supporto Listone'!B327)&gt;0,INDEX(Asta!$O$4:$O$47,MATCH('_Supporto Listone'!B327,Asta!$N$4:$N$47,0)),IF(COUNTIF(Asta!$P$4:$P$47,'_Supporto Listone'!B327)&gt;0,INDEX(Asta!$Q$4:$Q$47,MATCH('_Supporto Listone'!B327,Asta!$P$4:$P$47,0)),IF(COUNTIF(Asta!$R$4:$R$47,'_Supporto Listone'!B327)&gt;0,INDEX(Asta!$S$4:$S$47,MATCH('_Supporto Listone'!B327,Asta!$R$4:$R$47,0)),IF(COUNTIF(Asta!$T$4:$T$47,'_Supporto Listone'!B327)&gt;0,INDEX(Asta!$U$4:$U$47,MATCH('_Supporto Listone'!B327,Asta!$T$4:$T$47,0)),""))))))))))</x:f>
      </x:c>
    </x:row>
    <x:row r="328">
      <x:c r="A328" s="440" t="str">
        <x:f>IF($J328&lt;&gt;"",REGEXREPLACE(TO_TEXT('_Supporto Listone'!A328),"(.)","$1"&amp;UNICHAR(822)),'_Supporto Listone'!A328)</x:f>
        <x:v>C</x:v>
      </x:c>
      <x:c r="B328" s="441" t="str">
        <x:f>IF($J328&lt;&gt;"",REGEXREPLACE(TO_TEXT('_Supporto Listone'!B328),"(.)","$1"&amp;UNICHAR(822)),'_Supporto Listone'!B328)</x:f>
        <x:v>Karlstrom</x:v>
      </x:c>
      <x:c r="C328" s="441" t="str">
        <x:f>IF($J328&lt;&gt;"",REGEXREPLACE(TO_TEXT('_Supporto Listone'!C328),"(.)","$1"&amp;UNICHAR(822)),'_Supporto Listone'!C328)</x:f>
        <x:v>Udinese</x:v>
      </x:c>
      <x:c r="D328" s="441" t="str">
        <x:f>IF($J328&lt;&gt;"",REGEXREPLACE(TO_TEXT('_Supporto Listone'!D328),"(.)","$1"&amp;UNICHAR(822)),'_Supporto Listone'!D328)</x:f>
        <x:v>M;C</x:v>
      </x:c>
      <x:c r="E328" s="441" t="str">
        <x:f>IF($J328&lt;&gt;"",REGEXREPLACE(TO_TEXT('_Supporto Listone'!E328),"(.)","$1"&amp;UNICHAR(822)),'_Supporto Listone'!E328)</x:f>
        <x:v>Titolare</x:v>
      </x:c>
      <x:c r="F328" s="464" t="n">
        <x:f>IF($J328&lt;&gt;"",REGEXREPLACE(TO_TEXT('_Supporto Listone'!F328),"(.)","$1"&amp;UNICHAR(822)),'_Supporto Listone'!F328)</x:f>
        <x:v>6</x:v>
      </x:c>
      <x:c r="G328" s="464" t="n">
        <x:f>IF($J328&lt;&gt;"",REGEXREPLACE(TO_TEXT('_Supporto Listone'!G328),"(.)","$1"&amp;UNICHAR(822)),'_Supporto Listone'!G328)</x:f>
        <x:v>20</x:v>
      </x:c>
      <x:c r="H328" s="464" t="n">
        <x:f>IF($J328&lt;&gt;"",REGEXREPLACE(TO_TEXT('_Supporto Listone'!H328),"(.)","$1"&amp;UNICHAR(822)),'_Supporto Listone'!H328)</x:f>
        <x:v>10</x:v>
      </x:c>
      <x:c r="I328" s="442"/>
      <x:c r="J328" s="441" t="str">
        <x:f>IF(COUNTIF(Asta!$B$4:$B$47,'_Supporto Listone'!B328)&gt;0,"Simone",IF(COUNTIF(Asta!$D$4:$D$47,'_Supporto Listone'!B328)&gt;0,"Giacomo",IF(COUNTIF(Asta!$F$4:$F$47,'_Supporto Listone'!B328)&gt;0,"Niko",IF(COUNTIF(Asta!$H$4:$H$47,'_Supporto Listone'!B328)&gt;0,"Quici",IF(COUNTIF(Asta!$J$4:$J$47,'_Supporto Listone'!B328)&gt;0,"Fratello Quici",IF(COUNTIF(Asta!$L$4:$L$47,'_Supporto Listone'!B328)&gt;0,"Nicolò",IF(COUNTIF(Asta!$N$4:$N$47,'_Supporto Listone'!B328)&gt;0,"Vi",IF(COUNTIF(Asta!$P$4:$P$47,'_Supporto Listone'!B328)&gt;0,"Lore",IF(COUNTIF(Asta!$R$4:$R$47,'_Supporto Listone'!B328)&gt;0,"Robbo",IF(COUNTIF(Asta!$T$4:$T$47,'_Supporto Listone'!B328)&gt;0,"Ale",""))))))))))</x:f>
      </x:c>
      <x:c r="K328" s="495" t="str">
        <x:f>IF(COUNTIF(Asta!$B$4:$B$47,'_Supporto Listone'!B328)&gt;0,INDEX(Asta!$C$4:$C$47,MATCH('_Supporto Listone'!B328,Asta!$B$4:$B$47,0)),IF(COUNTIF(Asta!$D$4:$D$47,'_Supporto Listone'!B328)&gt;0,INDEX(Asta!$E$4:$E$47,MATCH('_Supporto Listone'!B328,Asta!$D$4:$D$47,0)),IF(COUNTIF(Asta!$F$4:$F$47,'_Supporto Listone'!B328)&gt;0,INDEX(Asta!$G$4:$G$47,MATCH('_Supporto Listone'!B328,Asta!$F$4:$F$47,0)),IF(COUNTIF(Asta!$H$4:$H$47,'_Supporto Listone'!B328)&gt;0,INDEX(Asta!$I$4:$I$47,MATCH('_Supporto Listone'!B328,Asta!$H$4:$H$47,0)),IF(COUNTIF(Asta!$J$4:$J$47,'_Supporto Listone'!B328)&gt;0,INDEX(Asta!$K$4:$K$47,MATCH('_Supporto Listone'!B328,Asta!$J$4:$J$47,0)),IF(COUNTIF(Asta!$L$4:$L$47,'_Supporto Listone'!B328)&gt;0,INDEX(Asta!$M$4:$M$47,MATCH('_Supporto Listone'!B328,Asta!$L$4:$L$47,0)),IF(COUNTIF(Asta!$N$4:$N$47,'_Supporto Listone'!B328)&gt;0,INDEX(Asta!$O$4:$O$47,MATCH('_Supporto Listone'!B328,Asta!$N$4:$N$47,0)),IF(COUNTIF(Asta!$P$4:$P$47,'_Supporto Listone'!B328)&gt;0,INDEX(Asta!$Q$4:$Q$47,MATCH('_Supporto Listone'!B328,Asta!$P$4:$P$47,0)),IF(COUNTIF(Asta!$R$4:$R$47,'_Supporto Listone'!B328)&gt;0,INDEX(Asta!$S$4:$S$47,MATCH('_Supporto Listone'!B328,Asta!$R$4:$R$47,0)),IF(COUNTIF(Asta!$T$4:$T$47,'_Supporto Listone'!B328)&gt;0,INDEX(Asta!$U$4:$U$47,MATCH('_Supporto Listone'!B328,Asta!$T$4:$T$47,0)),""))))))))))</x:f>
      </x:c>
    </x:row>
    <x:row r="329">
      <x:c r="A329" s="440" t="str">
        <x:f>IF($J329&lt;&gt;"",REGEXREPLACE(TO_TEXT('_Supporto Listone'!A329),"(.)","$1"&amp;UNICHAR(822)),'_Supporto Listone'!A329)</x:f>
        <x:v>C</x:v>
      </x:c>
      <x:c r="B329" s="441" t="str">
        <x:f>IF($J329&lt;&gt;"",REGEXREPLACE(TO_TEXT('_Supporto Listone'!B329),"(.)","$1"&amp;UNICHAR(822)),'_Supporto Listone'!B329)</x:f>
        <x:v>Basic</x:v>
      </x:c>
      <x:c r="C329" s="441" t="str">
        <x:f>IF($J329&lt;&gt;"",REGEXREPLACE(TO_TEXT('_Supporto Listone'!C329),"(.)","$1"&amp;UNICHAR(822)),'_Supporto Listone'!C329)</x:f>
        <x:v>Venezia</x:v>
      </x:c>
      <x:c r="D329" s="441" t="str">
        <x:f>IF($J329&lt;&gt;"",REGEXREPLACE(TO_TEXT('_Supporto Listone'!D329),"(.)","$1"&amp;UNICHAR(822)),'_Supporto Listone'!D329)</x:f>
        <x:v>M;C</x:v>
      </x:c>
      <x:c r="E329" s="441" t="str">
        <x:f>IF($J329&lt;&gt;"",REGEXREPLACE(TO_TEXT('_Supporto Listone'!E329),"(.)","$1"&amp;UNICHAR(822)),'_Supporto Listone'!E329)</x:f>
        <x:v>Titolare</x:v>
      </x:c>
      <x:c r="F329" s="464" t="n">
        <x:f>IF($J329&lt;&gt;"",REGEXREPLACE(TO_TEXT('_Supporto Listone'!F329),"(.)","$1"&amp;UNICHAR(822)),'_Supporto Listone'!F329)</x:f>
        <x:v>6</x:v>
      </x:c>
      <x:c r="G329" s="464" t="n">
        <x:f>IF($J329&lt;&gt;"",REGEXREPLACE(TO_TEXT('_Supporto Listone'!G329),"(.)","$1"&amp;UNICHAR(822)),'_Supporto Listone'!G329)</x:f>
        <x:v>19</x:v>
      </x:c>
      <x:c r="H329" s="464" t="n">
        <x:f>IF($J329&lt;&gt;"",REGEXREPLACE(TO_TEXT('_Supporto Listone'!H329),"(.)","$1"&amp;UNICHAR(822)),'_Supporto Listone'!H329)</x:f>
        <x:v>10</x:v>
      </x:c>
      <x:c r="I329" s="442"/>
      <x:c r="J329" s="441" t="str">
        <x:f>IF(COUNTIF(Asta!$B$4:$B$47,'_Supporto Listone'!B329)&gt;0,"Simone",IF(COUNTIF(Asta!$D$4:$D$47,'_Supporto Listone'!B329)&gt;0,"Giacomo",IF(COUNTIF(Asta!$F$4:$F$47,'_Supporto Listone'!B329)&gt;0,"Niko",IF(COUNTIF(Asta!$H$4:$H$47,'_Supporto Listone'!B329)&gt;0,"Quici",IF(COUNTIF(Asta!$J$4:$J$47,'_Supporto Listone'!B329)&gt;0,"Fratello Quici",IF(COUNTIF(Asta!$L$4:$L$47,'_Supporto Listone'!B329)&gt;0,"Nicolò",IF(COUNTIF(Asta!$N$4:$N$47,'_Supporto Listone'!B329)&gt;0,"Vi",IF(COUNTIF(Asta!$P$4:$P$47,'_Supporto Listone'!B329)&gt;0,"Lore",IF(COUNTIF(Asta!$R$4:$R$47,'_Supporto Listone'!B329)&gt;0,"Robbo",IF(COUNTIF(Asta!$T$4:$T$47,'_Supporto Listone'!B329)&gt;0,"Ale",""))))))))))</x:f>
      </x:c>
      <x:c r="K329" s="495" t="str">
        <x:f>IF(COUNTIF(Asta!$B$4:$B$47,'_Supporto Listone'!B329)&gt;0,INDEX(Asta!$C$4:$C$47,MATCH('_Supporto Listone'!B329,Asta!$B$4:$B$47,0)),IF(COUNTIF(Asta!$D$4:$D$47,'_Supporto Listone'!B329)&gt;0,INDEX(Asta!$E$4:$E$47,MATCH('_Supporto Listone'!B329,Asta!$D$4:$D$47,0)),IF(COUNTIF(Asta!$F$4:$F$47,'_Supporto Listone'!B329)&gt;0,INDEX(Asta!$G$4:$G$47,MATCH('_Supporto Listone'!B329,Asta!$F$4:$F$47,0)),IF(COUNTIF(Asta!$H$4:$H$47,'_Supporto Listone'!B329)&gt;0,INDEX(Asta!$I$4:$I$47,MATCH('_Supporto Listone'!B329,Asta!$H$4:$H$47,0)),IF(COUNTIF(Asta!$J$4:$J$47,'_Supporto Listone'!B329)&gt;0,INDEX(Asta!$K$4:$K$47,MATCH('_Supporto Listone'!B329,Asta!$J$4:$J$47,0)),IF(COUNTIF(Asta!$L$4:$L$47,'_Supporto Listone'!B329)&gt;0,INDEX(Asta!$M$4:$M$47,MATCH('_Supporto Listone'!B329,Asta!$L$4:$L$47,0)),IF(COUNTIF(Asta!$N$4:$N$47,'_Supporto Listone'!B329)&gt;0,INDEX(Asta!$O$4:$O$47,MATCH('_Supporto Listone'!B329,Asta!$N$4:$N$47,0)),IF(COUNTIF(Asta!$P$4:$P$47,'_Supporto Listone'!B329)&gt;0,INDEX(Asta!$Q$4:$Q$47,MATCH('_Supporto Listone'!B329,Asta!$P$4:$P$47,0)),IF(COUNTIF(Asta!$R$4:$R$47,'_Supporto Listone'!B329)&gt;0,INDEX(Asta!$S$4:$S$47,MATCH('_Supporto Listone'!B329,Asta!$R$4:$R$47,0)),IF(COUNTIF(Asta!$T$4:$T$47,'_Supporto Listone'!B329)&gt;0,INDEX(Asta!$U$4:$U$47,MATCH('_Supporto Listone'!B329,Asta!$T$4:$T$47,0)),""))))))))))</x:f>
      </x:c>
    </x:row>
    <x:row r="330">
      <x:c r="A330" s="440" t="str">
        <x:f>IF($J330&lt;&gt;"",REGEXREPLACE(TO_TEXT('_Supporto Listone'!A330),"(.)","$1"&amp;UNICHAR(822)),'_Supporto Listone'!A330)</x:f>
        <x:v>C</x:v>
      </x:c>
      <x:c r="B330" s="441" t="str">
        <x:f>IF($J330&lt;&gt;"",REGEXREPLACE(TO_TEXT('_Supporto Listone'!B330),"(.)","$1"&amp;UNICHAR(822)),'_Supporto Listone'!B330)</x:f>
        <x:v>Amondarain</x:v>
      </x:c>
      <x:c r="C330" s="441" t="str">
        <x:f>IF($J330&lt;&gt;"",REGEXREPLACE(TO_TEXT('_Supporto Listone'!C330),"(.)","$1"&amp;UNICHAR(822)),'_Supporto Listone'!C330)</x:f>
        <x:v>Bologna</x:v>
      </x:c>
      <x:c r="D330" s="441" t="str">
        <x:f>IF($J330&lt;&gt;"",REGEXREPLACE(TO_TEXT('_Supporto Listone'!D330),"(.)","$1"&amp;UNICHAR(822)),'_Supporto Listone'!D330)</x:f>
        <x:v>M;C</x:v>
      </x:c>
      <x:c r="E330" s="441" t="str">
        <x:f>IF($J330&lt;&gt;"",REGEXREPLACE(TO_TEXT('_Supporto Listone'!E330),"(.)","$1"&amp;UNICHAR(822)),'_Supporto Listone'!E330)</x:f>
        <x:v>Ballottaggio</x:v>
      </x:c>
      <x:c r="F330" s="464" t="n">
        <x:f>IF($J330&lt;&gt;"",REGEXREPLACE(TO_TEXT('_Supporto Listone'!F330),"(.)","$1"&amp;UNICHAR(822)),'_Supporto Listone'!F330)</x:f>
        <x:v>5</x:v>
      </x:c>
      <x:c r="G330" s="464" t="n">
        <x:f>IF($J330&lt;&gt;"",REGEXREPLACE(TO_TEXT('_Supporto Listone'!G330),"(.)","$1"&amp;UNICHAR(822)),'_Supporto Listone'!G330)</x:f>
        <x:v>12</x:v>
      </x:c>
      <x:c r="H330" s="464" t="n">
        <x:f>IF($J330&lt;&gt;"",REGEXREPLACE(TO_TEXT('_Supporto Listone'!H330),"(.)","$1"&amp;UNICHAR(822)),'_Supporto Listone'!H330)</x:f>
        <x:v>6</x:v>
      </x:c>
      <x:c r="I330" s="442"/>
      <x:c r="J330" s="441" t="str">
        <x:f>IF(COUNTIF(Asta!$B$4:$B$47,'_Supporto Listone'!B330)&gt;0,"Simone",IF(COUNTIF(Asta!$D$4:$D$47,'_Supporto Listone'!B330)&gt;0,"Giacomo",IF(COUNTIF(Asta!$F$4:$F$47,'_Supporto Listone'!B330)&gt;0,"Niko",IF(COUNTIF(Asta!$H$4:$H$47,'_Supporto Listone'!B330)&gt;0,"Quici",IF(COUNTIF(Asta!$J$4:$J$47,'_Supporto Listone'!B330)&gt;0,"Fratello Quici",IF(COUNTIF(Asta!$L$4:$L$47,'_Supporto Listone'!B330)&gt;0,"Nicolò",IF(COUNTIF(Asta!$N$4:$N$47,'_Supporto Listone'!B330)&gt;0,"Vi",IF(COUNTIF(Asta!$P$4:$P$47,'_Supporto Listone'!B330)&gt;0,"Lore",IF(COUNTIF(Asta!$R$4:$R$47,'_Supporto Listone'!B330)&gt;0,"Robbo",IF(COUNTIF(Asta!$T$4:$T$47,'_Supporto Listone'!B330)&gt;0,"Ale",""))))))))))</x:f>
      </x:c>
      <x:c r="K330" s="495" t="str">
        <x:f>IF(COUNTIF(Asta!$B$4:$B$47,'_Supporto Listone'!B330)&gt;0,INDEX(Asta!$C$4:$C$47,MATCH('_Supporto Listone'!B330,Asta!$B$4:$B$47,0)),IF(COUNTIF(Asta!$D$4:$D$47,'_Supporto Listone'!B330)&gt;0,INDEX(Asta!$E$4:$E$47,MATCH('_Supporto Listone'!B330,Asta!$D$4:$D$47,0)),IF(COUNTIF(Asta!$F$4:$F$47,'_Supporto Listone'!B330)&gt;0,INDEX(Asta!$G$4:$G$47,MATCH('_Supporto Listone'!B330,Asta!$F$4:$F$47,0)),IF(COUNTIF(Asta!$H$4:$H$47,'_Supporto Listone'!B330)&gt;0,INDEX(Asta!$I$4:$I$47,MATCH('_Supporto Listone'!B330,Asta!$H$4:$H$47,0)),IF(COUNTIF(Asta!$J$4:$J$47,'_Supporto Listone'!B330)&gt;0,INDEX(Asta!$K$4:$K$47,MATCH('_Supporto Listone'!B330,Asta!$J$4:$J$47,0)),IF(COUNTIF(Asta!$L$4:$L$47,'_Supporto Listone'!B330)&gt;0,INDEX(Asta!$M$4:$M$47,MATCH('_Supporto Listone'!B330,Asta!$L$4:$L$47,0)),IF(COUNTIF(Asta!$N$4:$N$47,'_Supporto Listone'!B330)&gt;0,INDEX(Asta!$O$4:$O$47,MATCH('_Supporto Listone'!B330,Asta!$N$4:$N$47,0)),IF(COUNTIF(Asta!$P$4:$P$47,'_Supporto Listone'!B330)&gt;0,INDEX(Asta!$Q$4:$Q$47,MATCH('_Supporto Listone'!B330,Asta!$P$4:$P$47,0)),IF(COUNTIF(Asta!$R$4:$R$47,'_Supporto Listone'!B330)&gt;0,INDEX(Asta!$S$4:$S$47,MATCH('_Supporto Listone'!B330,Asta!$R$4:$R$47,0)),IF(COUNTIF(Asta!$T$4:$T$47,'_Supporto Listone'!B330)&gt;0,INDEX(Asta!$U$4:$U$47,MATCH('_Supporto Listone'!B330,Asta!$T$4:$T$47,0)),""))))))))))</x:f>
      </x:c>
    </x:row>
    <x:row r="331">
      <x:c r="A331" s="440" t="str">
        <x:f>IF($J331&lt;&gt;"",REGEXREPLACE(TO_TEXT('_Supporto Listone'!A331),"(.)","$1"&amp;UNICHAR(822)),'_Supporto Listone'!A331)</x:f>
        <x:v>C</x:v>
      </x:c>
      <x:c r="B331" s="441" t="str">
        <x:f>IF($J331&lt;&gt;"",REGEXREPLACE(TO_TEXT('_Supporto Listone'!B331),"(.)","$1"&amp;UNICHAR(822)),'_Supporto Listone'!B331)</x:f>
        <x:v>Felici</x:v>
      </x:c>
      <x:c r="C331" s="441" t="str">
        <x:f>IF($J331&lt;&gt;"",REGEXREPLACE(TO_TEXT('_Supporto Listone'!C331),"(.)","$1"&amp;UNICHAR(822)),'_Supporto Listone'!C331)</x:f>
        <x:v>Cagliari</x:v>
      </x:c>
      <x:c r="D331" s="441" t="str">
        <x:f>IF($J331&lt;&gt;"",REGEXREPLACE(TO_TEXT('_Supporto Listone'!D331),"(.)","$1"&amp;UNICHAR(822)),'_Supporto Listone'!D331)</x:f>
        <x:v>W</x:v>
      </x:c>
      <x:c r="E331" s="441" t="str">
        <x:f>IF($J331&lt;&gt;"",REGEXREPLACE(TO_TEXT('_Supporto Listone'!E331),"(.)","$1"&amp;UNICHAR(822)),'_Supporto Listone'!E331)</x:f>
        <x:v>Riserva / rotazione</x:v>
      </x:c>
      <x:c r="F331" s="464" t="n">
        <x:f>IF($J331&lt;&gt;"",REGEXREPLACE(TO_TEXT('_Supporto Listone'!F331),"(.)","$1"&amp;UNICHAR(822)),'_Supporto Listone'!F331)</x:f>
        <x:v>5</x:v>
      </x:c>
      <x:c r="G331" s="464" t="n">
        <x:f>IF($J331&lt;&gt;"",REGEXREPLACE(TO_TEXT('_Supporto Listone'!G331),"(.)","$1"&amp;UNICHAR(822)),'_Supporto Listone'!G331)</x:f>
        <x:v>10</x:v>
      </x:c>
      <x:c r="H331" s="464" t="n">
        <x:f>IF($J331&lt;&gt;"",REGEXREPLACE(TO_TEXT('_Supporto Listone'!H331),"(.)","$1"&amp;UNICHAR(822)),'_Supporto Listone'!H331)</x:f>
        <x:v>5</x:v>
      </x:c>
      <x:c r="I331" s="442"/>
      <x:c r="J331" s="441" t="str">
        <x:f>IF(COUNTIF(Asta!$B$4:$B$47,'_Supporto Listone'!B331)&gt;0,"Simone",IF(COUNTIF(Asta!$D$4:$D$47,'_Supporto Listone'!B331)&gt;0,"Giacomo",IF(COUNTIF(Asta!$F$4:$F$47,'_Supporto Listone'!B331)&gt;0,"Niko",IF(COUNTIF(Asta!$H$4:$H$47,'_Supporto Listone'!B331)&gt;0,"Quici",IF(COUNTIF(Asta!$J$4:$J$47,'_Supporto Listone'!B331)&gt;0,"Fratello Quici",IF(COUNTIF(Asta!$L$4:$L$47,'_Supporto Listone'!B331)&gt;0,"Nicolò",IF(COUNTIF(Asta!$N$4:$N$47,'_Supporto Listone'!B331)&gt;0,"Vi",IF(COUNTIF(Asta!$P$4:$P$47,'_Supporto Listone'!B331)&gt;0,"Lore",IF(COUNTIF(Asta!$R$4:$R$47,'_Supporto Listone'!B331)&gt;0,"Robbo",IF(COUNTIF(Asta!$T$4:$T$47,'_Supporto Listone'!B331)&gt;0,"Ale",""))))))))))</x:f>
      </x:c>
      <x:c r="K331" s="495" t="str">
        <x:f>IF(COUNTIF(Asta!$B$4:$B$47,'_Supporto Listone'!B331)&gt;0,INDEX(Asta!$C$4:$C$47,MATCH('_Supporto Listone'!B331,Asta!$B$4:$B$47,0)),IF(COUNTIF(Asta!$D$4:$D$47,'_Supporto Listone'!B331)&gt;0,INDEX(Asta!$E$4:$E$47,MATCH('_Supporto Listone'!B331,Asta!$D$4:$D$47,0)),IF(COUNTIF(Asta!$F$4:$F$47,'_Supporto Listone'!B331)&gt;0,INDEX(Asta!$G$4:$G$47,MATCH('_Supporto Listone'!B331,Asta!$F$4:$F$47,0)),IF(COUNTIF(Asta!$H$4:$H$47,'_Supporto Listone'!B331)&gt;0,INDEX(Asta!$I$4:$I$47,MATCH('_Supporto Listone'!B331,Asta!$H$4:$H$47,0)),IF(COUNTIF(Asta!$J$4:$J$47,'_Supporto Listone'!B331)&gt;0,INDEX(Asta!$K$4:$K$47,MATCH('_Supporto Listone'!B331,Asta!$J$4:$J$47,0)),IF(COUNTIF(Asta!$L$4:$L$47,'_Supporto Listone'!B331)&gt;0,INDEX(Asta!$M$4:$M$47,MATCH('_Supporto Listone'!B331,Asta!$L$4:$L$47,0)),IF(COUNTIF(Asta!$N$4:$N$47,'_Supporto Listone'!B331)&gt;0,INDEX(Asta!$O$4:$O$47,MATCH('_Supporto Listone'!B331,Asta!$N$4:$N$47,0)),IF(COUNTIF(Asta!$P$4:$P$47,'_Supporto Listone'!B331)&gt;0,INDEX(Asta!$Q$4:$Q$47,MATCH('_Supporto Listone'!B331,Asta!$P$4:$P$47,0)),IF(COUNTIF(Asta!$R$4:$R$47,'_Supporto Listone'!B331)&gt;0,INDEX(Asta!$S$4:$S$47,MATCH('_Supporto Listone'!B331,Asta!$R$4:$R$47,0)),IF(COUNTIF(Asta!$T$4:$T$47,'_Supporto Listone'!B331)&gt;0,INDEX(Asta!$U$4:$U$47,MATCH('_Supporto Listone'!B331,Asta!$T$4:$T$47,0)),""))))))))))</x:f>
      </x:c>
    </x:row>
    <x:row r="332">
      <x:c r="A332" s="440" t="str">
        <x:f>IF($J332&lt;&gt;"",REGEXREPLACE(TO_TEXT('_Supporto Listone'!A332),"(.)","$1"&amp;UNICHAR(822)),'_Supporto Listone'!A332)</x:f>
        <x:v>C</x:v>
      </x:c>
      <x:c r="B332" s="441" t="str">
        <x:f>IF($J332&lt;&gt;"",REGEXREPLACE(TO_TEXT('_Supporto Listone'!B332),"(.)","$1"&amp;UNICHAR(822)),'_Supporto Listone'!B332)</x:f>
        <x:v>Romano</x:v>
      </x:c>
      <x:c r="C332" s="441" t="str">
        <x:f>IF($J332&lt;&gt;"",REGEXREPLACE(TO_TEXT('_Supporto Listone'!C332),"(.)","$1"&amp;UNICHAR(822)),'_Supporto Listone'!C332)</x:f>
        <x:v>Cagliari</x:v>
      </x:c>
      <x:c r="D332" s="441" t="str">
        <x:f>IF($J332&lt;&gt;"",REGEXREPLACE(TO_TEXT('_Supporto Listone'!D332),"(.)","$1"&amp;UNICHAR(822)),'_Supporto Listone'!D332)</x:f>
        <x:v>M;C</x:v>
      </x:c>
      <x:c r="E332" s="441" t="str">
        <x:f>IF($J332&lt;&gt;"",REGEXREPLACE(TO_TEXT('_Supporto Listone'!E332),"(.)","$1"&amp;UNICHAR(822)),'_Supporto Listone'!E332)</x:f>
        <x:v>Titolare</x:v>
      </x:c>
      <x:c r="F332" s="464" t="n">
        <x:f>IF($J332&lt;&gt;"",REGEXREPLACE(TO_TEXT('_Supporto Listone'!F332),"(.)","$1"&amp;UNICHAR(822)),'_Supporto Listone'!F332)</x:f>
        <x:v>5</x:v>
      </x:c>
      <x:c r="G332" s="464" t="n">
        <x:f>IF($J332&lt;&gt;"",REGEXREPLACE(TO_TEXT('_Supporto Listone'!G332),"(.)","$1"&amp;UNICHAR(822)),'_Supporto Listone'!G332)</x:f>
        <x:v>12</x:v>
      </x:c>
      <x:c r="H332" s="464" t="n">
        <x:f>IF($J332&lt;&gt;"",REGEXREPLACE(TO_TEXT('_Supporto Listone'!H332),"(.)","$1"&amp;UNICHAR(822)),'_Supporto Listone'!H332)</x:f>
        <x:v>6</x:v>
      </x:c>
      <x:c r="I332" s="442" t="str">
        <x:f>IF($J332&lt;&gt;"",REGEXREPLACE(TO_TEXT('_Supporto Listone'!I332),"(.)","$1"&amp;UNICHAR(822)),'_Supporto Listone'!I332)</x:f>
        <x:v>Piazzati</x:v>
      </x:c>
      <x:c r="J332" s="441" t="str">
        <x:f>IF(COUNTIF(Asta!$B$4:$B$47,'_Supporto Listone'!B332)&gt;0,"Simone",IF(COUNTIF(Asta!$D$4:$D$47,'_Supporto Listone'!B332)&gt;0,"Giacomo",IF(COUNTIF(Asta!$F$4:$F$47,'_Supporto Listone'!B332)&gt;0,"Niko",IF(COUNTIF(Asta!$H$4:$H$47,'_Supporto Listone'!B332)&gt;0,"Quici",IF(COUNTIF(Asta!$J$4:$J$47,'_Supporto Listone'!B332)&gt;0,"Fratello Quici",IF(COUNTIF(Asta!$L$4:$L$47,'_Supporto Listone'!B332)&gt;0,"Nicolò",IF(COUNTIF(Asta!$N$4:$N$47,'_Supporto Listone'!B332)&gt;0,"Vi",IF(COUNTIF(Asta!$P$4:$P$47,'_Supporto Listone'!B332)&gt;0,"Lore",IF(COUNTIF(Asta!$R$4:$R$47,'_Supporto Listone'!B332)&gt;0,"Robbo",IF(COUNTIF(Asta!$T$4:$T$47,'_Supporto Listone'!B332)&gt;0,"Ale",""))))))))))</x:f>
      </x:c>
      <x:c r="K332" s="495" t="str">
        <x:f>IF(COUNTIF(Asta!$B$4:$B$47,'_Supporto Listone'!B332)&gt;0,INDEX(Asta!$C$4:$C$47,MATCH('_Supporto Listone'!B332,Asta!$B$4:$B$47,0)),IF(COUNTIF(Asta!$D$4:$D$47,'_Supporto Listone'!B332)&gt;0,INDEX(Asta!$E$4:$E$47,MATCH('_Supporto Listone'!B332,Asta!$D$4:$D$47,0)),IF(COUNTIF(Asta!$F$4:$F$47,'_Supporto Listone'!B332)&gt;0,INDEX(Asta!$G$4:$G$47,MATCH('_Supporto Listone'!B332,Asta!$F$4:$F$47,0)),IF(COUNTIF(Asta!$H$4:$H$47,'_Supporto Listone'!B332)&gt;0,INDEX(Asta!$I$4:$I$47,MATCH('_Supporto Listone'!B332,Asta!$H$4:$H$47,0)),IF(COUNTIF(Asta!$J$4:$J$47,'_Supporto Listone'!B332)&gt;0,INDEX(Asta!$K$4:$K$47,MATCH('_Supporto Listone'!B332,Asta!$J$4:$J$47,0)),IF(COUNTIF(Asta!$L$4:$L$47,'_Supporto Listone'!B332)&gt;0,INDEX(Asta!$M$4:$M$47,MATCH('_Supporto Listone'!B332,Asta!$L$4:$L$47,0)),IF(COUNTIF(Asta!$N$4:$N$47,'_Supporto Listone'!B332)&gt;0,INDEX(Asta!$O$4:$O$47,MATCH('_Supporto Listone'!B332,Asta!$N$4:$N$47,0)),IF(COUNTIF(Asta!$P$4:$P$47,'_Supporto Listone'!B332)&gt;0,INDEX(Asta!$Q$4:$Q$47,MATCH('_Supporto Listone'!B332,Asta!$P$4:$P$47,0)),IF(COUNTIF(Asta!$R$4:$R$47,'_Supporto Listone'!B332)&gt;0,INDEX(Asta!$S$4:$S$47,MATCH('_Supporto Listone'!B332,Asta!$R$4:$R$47,0)),IF(COUNTIF(Asta!$T$4:$T$47,'_Supporto Listone'!B332)&gt;0,INDEX(Asta!$U$4:$U$47,MATCH('_Supporto Listone'!B332,Asta!$T$4:$T$47,0)),""))))))))))</x:f>
      </x:c>
    </x:row>
    <x:row r="333">
      <x:c r="A333" s="440" t="str">
        <x:f>IF($J333&lt;&gt;"",REGEXREPLACE(TO_TEXT('_Supporto Listone'!A333),"(.)","$1"&amp;UNICHAR(822)),'_Supporto Listone'!A333)</x:f>
        <x:v>C</x:v>
      </x:c>
      <x:c r="B333" s="441" t="str">
        <x:f>IF($J333&lt;&gt;"",REGEXREPLACE(TO_TEXT('_Supporto Listone'!B333),"(.)","$1"&amp;UNICHAR(822)),'_Supporto Listone'!B333)</x:f>
        <x:v>Addai</x:v>
      </x:c>
      <x:c r="C333" s="441" t="str">
        <x:f>IF($J333&lt;&gt;"",REGEXREPLACE(TO_TEXT('_Supporto Listone'!C333),"(.)","$1"&amp;UNICHAR(822)),'_Supporto Listone'!C333)</x:f>
        <x:v>Como</x:v>
      </x:c>
      <x:c r="D333" s="441" t="str">
        <x:f>IF($J333&lt;&gt;"",REGEXREPLACE(TO_TEXT('_Supporto Listone'!D333),"(.)","$1"&amp;UNICHAR(822)),'_Supporto Listone'!D333)</x:f>
        <x:v>W;A</x:v>
      </x:c>
      <x:c r="E333" s="441" t="str">
        <x:f>IF($J333&lt;&gt;"",REGEXREPLACE(TO_TEXT('_Supporto Listone'!E333),"(.)","$1"&amp;UNICHAR(822)),'_Supporto Listone'!E333)</x:f>
        <x:v>Riserva / rotazione</x:v>
      </x:c>
      <x:c r="F333" s="464" t="n">
        <x:f>IF($J333&lt;&gt;"",REGEXREPLACE(TO_TEXT('_Supporto Listone'!F333),"(.)","$1"&amp;UNICHAR(822)),'_Supporto Listone'!F333)</x:f>
        <x:v>5</x:v>
      </x:c>
      <x:c r="G333" s="464" t="n">
        <x:f>IF($J333&lt;&gt;"",REGEXREPLACE(TO_TEXT('_Supporto Listone'!G333),"(.)","$1"&amp;UNICHAR(822)),'_Supporto Listone'!G333)</x:f>
        <x:v>10</x:v>
      </x:c>
      <x:c r="H333" s="464" t="n">
        <x:f>IF($J333&lt;&gt;"",REGEXREPLACE(TO_TEXT('_Supporto Listone'!H333),"(.)","$1"&amp;UNICHAR(822)),'_Supporto Listone'!H333)</x:f>
        <x:v>5</x:v>
      </x:c>
      <x:c r="I333" s="442"/>
      <x:c r="J333" s="441" t="str">
        <x:f>IF(COUNTIF(Asta!$B$4:$B$47,'_Supporto Listone'!B333)&gt;0,"Simone",IF(COUNTIF(Asta!$D$4:$D$47,'_Supporto Listone'!B333)&gt;0,"Giacomo",IF(COUNTIF(Asta!$F$4:$F$47,'_Supporto Listone'!B333)&gt;0,"Niko",IF(COUNTIF(Asta!$H$4:$H$47,'_Supporto Listone'!B333)&gt;0,"Quici",IF(COUNTIF(Asta!$J$4:$J$47,'_Supporto Listone'!B333)&gt;0,"Fratello Quici",IF(COUNTIF(Asta!$L$4:$L$47,'_Supporto Listone'!B333)&gt;0,"Nicolò",IF(COUNTIF(Asta!$N$4:$N$47,'_Supporto Listone'!B333)&gt;0,"Vi",IF(COUNTIF(Asta!$P$4:$P$47,'_Supporto Listone'!B333)&gt;0,"Lore",IF(COUNTIF(Asta!$R$4:$R$47,'_Supporto Listone'!B333)&gt;0,"Robbo",IF(COUNTIF(Asta!$T$4:$T$47,'_Supporto Listone'!B333)&gt;0,"Ale",""))))))))))</x:f>
      </x:c>
      <x:c r="K333" s="495" t="str">
        <x:f>IF(COUNTIF(Asta!$B$4:$B$47,'_Supporto Listone'!B333)&gt;0,INDEX(Asta!$C$4:$C$47,MATCH('_Supporto Listone'!B333,Asta!$B$4:$B$47,0)),IF(COUNTIF(Asta!$D$4:$D$47,'_Supporto Listone'!B333)&gt;0,INDEX(Asta!$E$4:$E$47,MATCH('_Supporto Listone'!B333,Asta!$D$4:$D$47,0)),IF(COUNTIF(Asta!$F$4:$F$47,'_Supporto Listone'!B333)&gt;0,INDEX(Asta!$G$4:$G$47,MATCH('_Supporto Listone'!B333,Asta!$F$4:$F$47,0)),IF(COUNTIF(Asta!$H$4:$H$47,'_Supporto Listone'!B333)&gt;0,INDEX(Asta!$I$4:$I$47,MATCH('_Supporto Listone'!B333,Asta!$H$4:$H$47,0)),IF(COUNTIF(Asta!$J$4:$J$47,'_Supporto Listone'!B333)&gt;0,INDEX(Asta!$K$4:$K$47,MATCH('_Supporto Listone'!B333,Asta!$J$4:$J$47,0)),IF(COUNTIF(Asta!$L$4:$L$47,'_Supporto Listone'!B333)&gt;0,INDEX(Asta!$M$4:$M$47,MATCH('_Supporto Listone'!B333,Asta!$L$4:$L$47,0)),IF(COUNTIF(Asta!$N$4:$N$47,'_Supporto Listone'!B333)&gt;0,INDEX(Asta!$O$4:$O$47,MATCH('_Supporto Listone'!B333,Asta!$N$4:$N$47,0)),IF(COUNTIF(Asta!$P$4:$P$47,'_Supporto Listone'!B333)&gt;0,INDEX(Asta!$Q$4:$Q$47,MATCH('_Supporto Listone'!B333,Asta!$P$4:$P$47,0)),IF(COUNTIF(Asta!$R$4:$R$47,'_Supporto Listone'!B333)&gt;0,INDEX(Asta!$S$4:$S$47,MATCH('_Supporto Listone'!B333,Asta!$R$4:$R$47,0)),IF(COUNTIF(Asta!$T$4:$T$47,'_Supporto Listone'!B333)&gt;0,INDEX(Asta!$U$4:$U$47,MATCH('_Supporto Listone'!B333,Asta!$T$4:$T$47,0)),""))))))))))</x:f>
      </x:c>
    </x:row>
    <x:row r="334">
      <x:c r="A334" s="440" t="str">
        <x:f>IF($J334&lt;&gt;"",REGEXREPLACE(TO_TEXT('_Supporto Listone'!A334),"(.)","$1"&amp;UNICHAR(822)),'_Supporto Listone'!A334)</x:f>
        <x:v>C</x:v>
      </x:c>
      <x:c r="B334" s="441" t="str">
        <x:f>IF($J334&lt;&gt;"",REGEXREPLACE(TO_TEXT('_Supporto Listone'!B334),"(.)","$1"&amp;UNICHAR(822)),'_Supporto Listone'!B334)</x:f>
        <x:v>Milla</x:v>
      </x:c>
      <x:c r="C334" s="441" t="str">
        <x:f>IF($J334&lt;&gt;"",REGEXREPLACE(TO_TEXT('_Supporto Listone'!C334),"(.)","$1"&amp;UNICHAR(822)),'_Supporto Listone'!C334)</x:f>
        <x:v>Como</x:v>
      </x:c>
      <x:c r="D334" s="441" t="str">
        <x:f>IF($J334&lt;&gt;"",REGEXREPLACE(TO_TEXT('_Supporto Listone'!D334),"(.)","$1"&amp;UNICHAR(822)),'_Supporto Listone'!D334)</x:f>
        <x:v>M;C</x:v>
      </x:c>
      <x:c r="E334" s="441" t="str">
        <x:f>IF($J334&lt;&gt;"",REGEXREPLACE(TO_TEXT('_Supporto Listone'!E334),"(.)","$1"&amp;UNICHAR(822)),'_Supporto Listone'!E334)</x:f>
        <x:v>Ballottaggio</x:v>
      </x:c>
      <x:c r="F334" s="464" t="n">
        <x:f>IF($J334&lt;&gt;"",REGEXREPLACE(TO_TEXT('_Supporto Listone'!F334),"(.)","$1"&amp;UNICHAR(822)),'_Supporto Listone'!F334)</x:f>
        <x:v>5</x:v>
      </x:c>
      <x:c r="G334" s="464" t="n">
        <x:f>IF($J334&lt;&gt;"",REGEXREPLACE(TO_TEXT('_Supporto Listone'!G334),"(.)","$1"&amp;UNICHAR(822)),'_Supporto Listone'!G334)</x:f>
        <x:v>14</x:v>
      </x:c>
      <x:c r="H334" s="464" t="n">
        <x:f>IF($J334&lt;&gt;"",REGEXREPLACE(TO_TEXT('_Supporto Listone'!H334),"(.)","$1"&amp;UNICHAR(822)),'_Supporto Listone'!H334)</x:f>
        <x:v>7</x:v>
      </x:c>
      <x:c r="I334" s="442" t="str">
        <x:f>IF($J334&lt;&gt;"",REGEXREPLACE(TO_TEXT('_Supporto Listone'!I334),"(.)","$1"&amp;UNICHAR(822)),'_Supporto Listone'!I334)</x:f>
        <x:v>Piazzati</x:v>
      </x:c>
      <x:c r="J334" s="441" t="str">
        <x:f>IF(COUNTIF(Asta!$B$4:$B$47,'_Supporto Listone'!B334)&gt;0,"Simone",IF(COUNTIF(Asta!$D$4:$D$47,'_Supporto Listone'!B334)&gt;0,"Giacomo",IF(COUNTIF(Asta!$F$4:$F$47,'_Supporto Listone'!B334)&gt;0,"Niko",IF(COUNTIF(Asta!$H$4:$H$47,'_Supporto Listone'!B334)&gt;0,"Quici",IF(COUNTIF(Asta!$J$4:$J$47,'_Supporto Listone'!B334)&gt;0,"Fratello Quici",IF(COUNTIF(Asta!$L$4:$L$47,'_Supporto Listone'!B334)&gt;0,"Nicolò",IF(COUNTIF(Asta!$N$4:$N$47,'_Supporto Listone'!B334)&gt;0,"Vi",IF(COUNTIF(Asta!$P$4:$P$47,'_Supporto Listone'!B334)&gt;0,"Lore",IF(COUNTIF(Asta!$R$4:$R$47,'_Supporto Listone'!B334)&gt;0,"Robbo",IF(COUNTIF(Asta!$T$4:$T$47,'_Supporto Listone'!B334)&gt;0,"Ale",""))))))))))</x:f>
      </x:c>
      <x:c r="K334" s="495" t="str">
        <x:f>IF(COUNTIF(Asta!$B$4:$B$47,'_Supporto Listone'!B334)&gt;0,INDEX(Asta!$C$4:$C$47,MATCH('_Supporto Listone'!B334,Asta!$B$4:$B$47,0)),IF(COUNTIF(Asta!$D$4:$D$47,'_Supporto Listone'!B334)&gt;0,INDEX(Asta!$E$4:$E$47,MATCH('_Supporto Listone'!B334,Asta!$D$4:$D$47,0)),IF(COUNTIF(Asta!$F$4:$F$47,'_Supporto Listone'!B334)&gt;0,INDEX(Asta!$G$4:$G$47,MATCH('_Supporto Listone'!B334,Asta!$F$4:$F$47,0)),IF(COUNTIF(Asta!$H$4:$H$47,'_Supporto Listone'!B334)&gt;0,INDEX(Asta!$I$4:$I$47,MATCH('_Supporto Listone'!B334,Asta!$H$4:$H$47,0)),IF(COUNTIF(Asta!$J$4:$J$47,'_Supporto Listone'!B334)&gt;0,INDEX(Asta!$K$4:$K$47,MATCH('_Supporto Listone'!B334,Asta!$J$4:$J$47,0)),IF(COUNTIF(Asta!$L$4:$L$47,'_Supporto Listone'!B334)&gt;0,INDEX(Asta!$M$4:$M$47,MATCH('_Supporto Listone'!B334,Asta!$L$4:$L$47,0)),IF(COUNTIF(Asta!$N$4:$N$47,'_Supporto Listone'!B334)&gt;0,INDEX(Asta!$O$4:$O$47,MATCH('_Supporto Listone'!B334,Asta!$N$4:$N$47,0)),IF(COUNTIF(Asta!$P$4:$P$47,'_Supporto Listone'!B334)&gt;0,INDEX(Asta!$Q$4:$Q$47,MATCH('_Supporto Listone'!B334,Asta!$P$4:$P$47,0)),IF(COUNTIF(Asta!$R$4:$R$47,'_Supporto Listone'!B334)&gt;0,INDEX(Asta!$S$4:$S$47,MATCH('_Supporto Listone'!B334,Asta!$R$4:$R$47,0)),IF(COUNTIF(Asta!$T$4:$T$47,'_Supporto Listone'!B334)&gt;0,INDEX(Asta!$U$4:$U$47,MATCH('_Supporto Listone'!B334,Asta!$T$4:$T$47,0)),""))))))))))</x:f>
      </x:c>
    </x:row>
    <x:row r="335">
      <x:c r="A335" s="440" t="str">
        <x:f>IF($J335&lt;&gt;"",REGEXREPLACE(TO_TEXT('_Supporto Listone'!A335),"(.)","$1"&amp;UNICHAR(822)),'_Supporto Listone'!A335)</x:f>
        <x:v>C</x:v>
      </x:c>
      <x:c r="B335" s="441" t="str">
        <x:f>IF($J335&lt;&gt;"",REGEXREPLACE(TO_TEXT('_Supporto Listone'!B335),"(.)","$1"&amp;UNICHAR(822)),'_Supporto Listone'!B335)</x:f>
        <x:v>Zerbin</x:v>
      </x:c>
      <x:c r="C335" s="441" t="str">
        <x:f>IF($J335&lt;&gt;"",REGEXREPLACE(TO_TEXT('_Supporto Listone'!C335),"(.)","$1"&amp;UNICHAR(822)),'_Supporto Listone'!C335)</x:f>
        <x:v>Frosinone</x:v>
      </x:c>
      <x:c r="D335" s="441" t="str">
        <x:f>IF($J335&lt;&gt;"",REGEXREPLACE(TO_TEXT('_Supporto Listone'!D335),"(.)","$1"&amp;UNICHAR(822)),'_Supporto Listone'!D335)</x:f>
        <x:v>W</x:v>
      </x:c>
      <x:c r="E335" s="441" t="str">
        <x:f>IF($J335&lt;&gt;"",REGEXREPLACE(TO_TEXT('_Supporto Listone'!E335),"(.)","$1"&amp;UNICHAR(822)),'_Supporto Listone'!E335)</x:f>
        <x:v>Ballottaggio</x:v>
      </x:c>
      <x:c r="F335" s="464" t="n">
        <x:f>IF($J335&lt;&gt;"",REGEXREPLACE(TO_TEXT('_Supporto Listone'!F335),"(.)","$1"&amp;UNICHAR(822)),'_Supporto Listone'!F335)</x:f>
        <x:v>5</x:v>
      </x:c>
      <x:c r="G335" s="464" t="n">
        <x:f>IF($J335&lt;&gt;"",REGEXREPLACE(TO_TEXT('_Supporto Listone'!G335),"(.)","$1"&amp;UNICHAR(822)),'_Supporto Listone'!G335)</x:f>
        <x:v>13</x:v>
      </x:c>
      <x:c r="H335" s="464" t="n">
        <x:f>IF($J335&lt;&gt;"",REGEXREPLACE(TO_TEXT('_Supporto Listone'!H335),"(.)","$1"&amp;UNICHAR(822)),'_Supporto Listone'!H335)</x:f>
        <x:v>7</x:v>
      </x:c>
      <x:c r="I335" s="442"/>
      <x:c r="J335" s="441" t="str">
        <x:f>IF(COUNTIF(Asta!$B$4:$B$47,'_Supporto Listone'!B335)&gt;0,"Simone",IF(COUNTIF(Asta!$D$4:$D$47,'_Supporto Listone'!B335)&gt;0,"Giacomo",IF(COUNTIF(Asta!$F$4:$F$47,'_Supporto Listone'!B335)&gt;0,"Niko",IF(COUNTIF(Asta!$H$4:$H$47,'_Supporto Listone'!B335)&gt;0,"Quici",IF(COUNTIF(Asta!$J$4:$J$47,'_Supporto Listone'!B335)&gt;0,"Fratello Quici",IF(COUNTIF(Asta!$L$4:$L$47,'_Supporto Listone'!B335)&gt;0,"Nicolò",IF(COUNTIF(Asta!$N$4:$N$47,'_Supporto Listone'!B335)&gt;0,"Vi",IF(COUNTIF(Asta!$P$4:$P$47,'_Supporto Listone'!B335)&gt;0,"Lore",IF(COUNTIF(Asta!$R$4:$R$47,'_Supporto Listone'!B335)&gt;0,"Robbo",IF(COUNTIF(Asta!$T$4:$T$47,'_Supporto Listone'!B335)&gt;0,"Ale",""))))))))))</x:f>
      </x:c>
      <x:c r="K335" s="495" t="str">
        <x:f>IF(COUNTIF(Asta!$B$4:$B$47,'_Supporto Listone'!B335)&gt;0,INDEX(Asta!$C$4:$C$47,MATCH('_Supporto Listone'!B335,Asta!$B$4:$B$47,0)),IF(COUNTIF(Asta!$D$4:$D$47,'_Supporto Listone'!B335)&gt;0,INDEX(Asta!$E$4:$E$47,MATCH('_Supporto Listone'!B335,Asta!$D$4:$D$47,0)),IF(COUNTIF(Asta!$F$4:$F$47,'_Supporto Listone'!B335)&gt;0,INDEX(Asta!$G$4:$G$47,MATCH('_Supporto Listone'!B335,Asta!$F$4:$F$47,0)),IF(COUNTIF(Asta!$H$4:$H$47,'_Supporto Listone'!B335)&gt;0,INDEX(Asta!$I$4:$I$47,MATCH('_Supporto Listone'!B335,Asta!$H$4:$H$47,0)),IF(COUNTIF(Asta!$J$4:$J$47,'_Supporto Listone'!B335)&gt;0,INDEX(Asta!$K$4:$K$47,MATCH('_Supporto Listone'!B335,Asta!$J$4:$J$47,0)),IF(COUNTIF(Asta!$L$4:$L$47,'_Supporto Listone'!B335)&gt;0,INDEX(Asta!$M$4:$M$47,MATCH('_Supporto Listone'!B335,Asta!$L$4:$L$47,0)),IF(COUNTIF(Asta!$N$4:$N$47,'_Supporto Listone'!B335)&gt;0,INDEX(Asta!$O$4:$O$47,MATCH('_Supporto Listone'!B335,Asta!$N$4:$N$47,0)),IF(COUNTIF(Asta!$P$4:$P$47,'_Supporto Listone'!B335)&gt;0,INDEX(Asta!$Q$4:$Q$47,MATCH('_Supporto Listone'!B335,Asta!$P$4:$P$47,0)),IF(COUNTIF(Asta!$R$4:$R$47,'_Supporto Listone'!B335)&gt;0,INDEX(Asta!$S$4:$S$47,MATCH('_Supporto Listone'!B335,Asta!$R$4:$R$47,0)),IF(COUNTIF(Asta!$T$4:$T$47,'_Supporto Listone'!B335)&gt;0,INDEX(Asta!$U$4:$U$47,MATCH('_Supporto Listone'!B335,Asta!$T$4:$T$47,0)),""))))))))))</x:f>
      </x:c>
    </x:row>
    <x:row r="336">
      <x:c r="A336" s="440" t="str">
        <x:f>IF($J336&lt;&gt;"",REGEXREPLACE(TO_TEXT('_Supporto Listone'!A336),"(.)","$1"&amp;UNICHAR(822)),'_Supporto Listone'!A336)</x:f>
        <x:v>C</x:v>
      </x:c>
      <x:c r="B336" s="441" t="str">
        <x:f>IF($J336&lt;&gt;"",REGEXREPLACE(TO_TEXT('_Supporto Listone'!B336),"(.)","$1"&amp;UNICHAR(822)),'_Supporto Listone'!B336)</x:f>
        <x:v>Meichtry</x:v>
      </x:c>
      <x:c r="C336" s="441" t="str">
        <x:f>IF($J336&lt;&gt;"",REGEXREPLACE(TO_TEXT('_Supporto Listone'!C336),"(.)","$1"&amp;UNICHAR(822)),'_Supporto Listone'!C336)</x:f>
        <x:v>Genoa</x:v>
      </x:c>
      <x:c r="D336" s="441" t="str">
        <x:f>IF($J336&lt;&gt;"",REGEXREPLACE(TO_TEXT('_Supporto Listone'!D336),"(.)","$1"&amp;UNICHAR(822)),'_Supporto Listone'!D336)</x:f>
        <x:v>W;T</x:v>
      </x:c>
      <x:c r="E336" s="441" t="str">
        <x:f>IF($J336&lt;&gt;"",REGEXREPLACE(TO_TEXT('_Supporto Listone'!E336),"(.)","$1"&amp;UNICHAR(822)),'_Supporto Listone'!E336)</x:f>
        <x:v>Riserva / rotazione</x:v>
      </x:c>
      <x:c r="F336" s="464" t="n">
        <x:f>IF($J336&lt;&gt;"",REGEXREPLACE(TO_TEXT('_Supporto Listone'!F336),"(.)","$1"&amp;UNICHAR(822)),'_Supporto Listone'!F336)</x:f>
        <x:v>5</x:v>
      </x:c>
      <x:c r="G336" s="464" t="n">
        <x:f>IF($J336&lt;&gt;"",REGEXREPLACE(TO_TEXT('_Supporto Listone'!G336),"(.)","$1"&amp;UNICHAR(822)),'_Supporto Listone'!G336)</x:f>
        <x:v>14</x:v>
      </x:c>
      <x:c r="H336" s="464" t="n">
        <x:f>IF($J336&lt;&gt;"",REGEXREPLACE(TO_TEXT('_Supporto Listone'!H336),"(.)","$1"&amp;UNICHAR(822)),'_Supporto Listone'!H336)</x:f>
        <x:v>7</x:v>
      </x:c>
      <x:c r="I336" s="442"/>
      <x:c r="J336" s="441" t="str">
        <x:f>IF(COUNTIF(Asta!$B$4:$B$47,'_Supporto Listone'!B336)&gt;0,"Simone",IF(COUNTIF(Asta!$D$4:$D$47,'_Supporto Listone'!B336)&gt;0,"Giacomo",IF(COUNTIF(Asta!$F$4:$F$47,'_Supporto Listone'!B336)&gt;0,"Niko",IF(COUNTIF(Asta!$H$4:$H$47,'_Supporto Listone'!B336)&gt;0,"Quici",IF(COUNTIF(Asta!$J$4:$J$47,'_Supporto Listone'!B336)&gt;0,"Fratello Quici",IF(COUNTIF(Asta!$L$4:$L$47,'_Supporto Listone'!B336)&gt;0,"Nicolò",IF(COUNTIF(Asta!$N$4:$N$47,'_Supporto Listone'!B336)&gt;0,"Vi",IF(COUNTIF(Asta!$P$4:$P$47,'_Supporto Listone'!B336)&gt;0,"Lore",IF(COUNTIF(Asta!$R$4:$R$47,'_Supporto Listone'!B336)&gt;0,"Robbo",IF(COUNTIF(Asta!$T$4:$T$47,'_Supporto Listone'!B336)&gt;0,"Ale",""))))))))))</x:f>
      </x:c>
      <x:c r="K336" s="495" t="str">
        <x:f>IF(COUNTIF(Asta!$B$4:$B$47,'_Supporto Listone'!B336)&gt;0,INDEX(Asta!$C$4:$C$47,MATCH('_Supporto Listone'!B336,Asta!$B$4:$B$47,0)),IF(COUNTIF(Asta!$D$4:$D$47,'_Supporto Listone'!B336)&gt;0,INDEX(Asta!$E$4:$E$47,MATCH('_Supporto Listone'!B336,Asta!$D$4:$D$47,0)),IF(COUNTIF(Asta!$F$4:$F$47,'_Supporto Listone'!B336)&gt;0,INDEX(Asta!$G$4:$G$47,MATCH('_Supporto Listone'!B336,Asta!$F$4:$F$47,0)),IF(COUNTIF(Asta!$H$4:$H$47,'_Supporto Listone'!B336)&gt;0,INDEX(Asta!$I$4:$I$47,MATCH('_Supporto Listone'!B336,Asta!$H$4:$H$47,0)),IF(COUNTIF(Asta!$J$4:$J$47,'_Supporto Listone'!B336)&gt;0,INDEX(Asta!$K$4:$K$47,MATCH('_Supporto Listone'!B336,Asta!$J$4:$J$47,0)),IF(COUNTIF(Asta!$L$4:$L$47,'_Supporto Listone'!B336)&gt;0,INDEX(Asta!$M$4:$M$47,MATCH('_Supporto Listone'!B336,Asta!$L$4:$L$47,0)),IF(COUNTIF(Asta!$N$4:$N$47,'_Supporto Listone'!B336)&gt;0,INDEX(Asta!$O$4:$O$47,MATCH('_Supporto Listone'!B336,Asta!$N$4:$N$47,0)),IF(COUNTIF(Asta!$P$4:$P$47,'_Supporto Listone'!B336)&gt;0,INDEX(Asta!$Q$4:$Q$47,MATCH('_Supporto Listone'!B336,Asta!$P$4:$P$47,0)),IF(COUNTIF(Asta!$R$4:$R$47,'_Supporto Listone'!B336)&gt;0,INDEX(Asta!$S$4:$S$47,MATCH('_Supporto Listone'!B336,Asta!$R$4:$R$47,0)),IF(COUNTIF(Asta!$T$4:$T$47,'_Supporto Listone'!B336)&gt;0,INDEX(Asta!$U$4:$U$47,MATCH('_Supporto Listone'!B336,Asta!$T$4:$T$47,0)),""))))))))))</x:f>
      </x:c>
    </x:row>
    <x:row r="337">
      <x:c r="A337" s="440" t="str">
        <x:f>IF($J337&lt;&gt;"",REGEXREPLACE(TO_TEXT('_Supporto Listone'!A337),"(.)","$1"&amp;UNICHAR(822)),'_Supporto Listone'!A337)</x:f>
        <x:v>C</x:v>
      </x:c>
      <x:c r="B337" s="441" t="str">
        <x:f>IF($J337&lt;&gt;"",REGEXREPLACE(TO_TEXT('_Supporto Listone'!B337),"(.)","$1"&amp;UNICHAR(822)),'_Supporto Listone'!B337)</x:f>
        <x:v>Traorè Hj.</x:v>
      </x:c>
      <x:c r="C337" s="441" t="str">
        <x:f>IF($J337&lt;&gt;"",REGEXREPLACE(TO_TEXT('_Supporto Listone'!C337),"(.)","$1"&amp;UNICHAR(822)),'_Supporto Listone'!C337)</x:f>
        <x:v>Genoa</x:v>
      </x:c>
      <x:c r="D337" s="441" t="str">
        <x:f>IF($J337&lt;&gt;"",REGEXREPLACE(TO_TEXT('_Supporto Listone'!D337),"(.)","$1"&amp;UNICHAR(822)),'_Supporto Listone'!D337)</x:f>
        <x:v>W;T</x:v>
      </x:c>
      <x:c r="E337" s="441" t="str">
        <x:f>IF($J337&lt;&gt;"",REGEXREPLACE(TO_TEXT('_Supporto Listone'!E337),"(.)","$1"&amp;UNICHAR(822)),'_Supporto Listone'!E337)</x:f>
        <x:v>Riserva / rotazione</x:v>
      </x:c>
      <x:c r="F337" s="464" t="n">
        <x:f>IF($J337&lt;&gt;"",REGEXREPLACE(TO_TEXT('_Supporto Listone'!F337),"(.)","$1"&amp;UNICHAR(822)),'_Supporto Listone'!F337)</x:f>
        <x:v>5</x:v>
      </x:c>
      <x:c r="G337" s="464" t="n">
        <x:f>IF($J337&lt;&gt;"",REGEXREPLACE(TO_TEXT('_Supporto Listone'!G337),"(.)","$1"&amp;UNICHAR(822)),'_Supporto Listone'!G337)</x:f>
        <x:v>11</x:v>
      </x:c>
      <x:c r="H337" s="464" t="n">
        <x:f>IF($J337&lt;&gt;"",REGEXREPLACE(TO_TEXT('_Supporto Listone'!H337),"(.)","$1"&amp;UNICHAR(822)),'_Supporto Listone'!H337)</x:f>
        <x:v>6</x:v>
      </x:c>
      <x:c r="I337" s="442"/>
      <x:c r="J337" s="441" t="str">
        <x:f>IF(COUNTIF(Asta!$B$4:$B$47,'_Supporto Listone'!B337)&gt;0,"Simone",IF(COUNTIF(Asta!$D$4:$D$47,'_Supporto Listone'!B337)&gt;0,"Giacomo",IF(COUNTIF(Asta!$F$4:$F$47,'_Supporto Listone'!B337)&gt;0,"Niko",IF(COUNTIF(Asta!$H$4:$H$47,'_Supporto Listone'!B337)&gt;0,"Quici",IF(COUNTIF(Asta!$J$4:$J$47,'_Supporto Listone'!B337)&gt;0,"Fratello Quici",IF(COUNTIF(Asta!$L$4:$L$47,'_Supporto Listone'!B337)&gt;0,"Nicolò",IF(COUNTIF(Asta!$N$4:$N$47,'_Supporto Listone'!B337)&gt;0,"Vi",IF(COUNTIF(Asta!$P$4:$P$47,'_Supporto Listone'!B337)&gt;0,"Lore",IF(COUNTIF(Asta!$R$4:$R$47,'_Supporto Listone'!B337)&gt;0,"Robbo",IF(COUNTIF(Asta!$T$4:$T$47,'_Supporto Listone'!B337)&gt;0,"Ale",""))))))))))</x:f>
      </x:c>
      <x:c r="K337" s="495" t="str">
        <x:f>IF(COUNTIF(Asta!$B$4:$B$47,'_Supporto Listone'!B337)&gt;0,INDEX(Asta!$C$4:$C$47,MATCH('_Supporto Listone'!B337,Asta!$B$4:$B$47,0)),IF(COUNTIF(Asta!$D$4:$D$47,'_Supporto Listone'!B337)&gt;0,INDEX(Asta!$E$4:$E$47,MATCH('_Supporto Listone'!B337,Asta!$D$4:$D$47,0)),IF(COUNTIF(Asta!$F$4:$F$47,'_Supporto Listone'!B337)&gt;0,INDEX(Asta!$G$4:$G$47,MATCH('_Supporto Listone'!B337,Asta!$F$4:$F$47,0)),IF(COUNTIF(Asta!$H$4:$H$47,'_Supporto Listone'!B337)&gt;0,INDEX(Asta!$I$4:$I$47,MATCH('_Supporto Listone'!B337,Asta!$H$4:$H$47,0)),IF(COUNTIF(Asta!$J$4:$J$47,'_Supporto Listone'!B337)&gt;0,INDEX(Asta!$K$4:$K$47,MATCH('_Supporto Listone'!B337,Asta!$J$4:$J$47,0)),IF(COUNTIF(Asta!$L$4:$L$47,'_Supporto Listone'!B337)&gt;0,INDEX(Asta!$M$4:$M$47,MATCH('_Supporto Listone'!B337,Asta!$L$4:$L$47,0)),IF(COUNTIF(Asta!$N$4:$N$47,'_Supporto Listone'!B337)&gt;0,INDEX(Asta!$O$4:$O$47,MATCH('_Supporto Listone'!B337,Asta!$N$4:$N$47,0)),IF(COUNTIF(Asta!$P$4:$P$47,'_Supporto Listone'!B337)&gt;0,INDEX(Asta!$Q$4:$Q$47,MATCH('_Supporto Listone'!B337,Asta!$P$4:$P$47,0)),IF(COUNTIF(Asta!$R$4:$R$47,'_Supporto Listone'!B337)&gt;0,INDEX(Asta!$S$4:$S$47,MATCH('_Supporto Listone'!B337,Asta!$R$4:$R$47,0)),IF(COUNTIF(Asta!$T$4:$T$47,'_Supporto Listone'!B337)&gt;0,INDEX(Asta!$U$4:$U$47,MATCH('_Supporto Listone'!B337,Asta!$T$4:$T$47,0)),""))))))))))</x:f>
      </x:c>
    </x:row>
    <x:row r="338">
      <x:c r="A338" s="440" t="str">
        <x:f>IF($J338&lt;&gt;"",REGEXREPLACE(TO_TEXT('_Supporto Listone'!A338),"(.)","$1"&amp;UNICHAR(822)),'_Supporto Listone'!A338)</x:f>
        <x:v>C</x:v>
      </x:c>
      <x:c r="B338" s="441" t="str">
        <x:f>IF($J338&lt;&gt;"",REGEXREPLACE(TO_TEXT('_Supporto Listone'!B338),"(.)","$1"&amp;UNICHAR(822)),'_Supporto Listone'!B338)</x:f>
        <x:v>Mkhitaryan</x:v>
      </x:c>
      <x:c r="C338" s="441" t="str">
        <x:f>IF($J338&lt;&gt;"",REGEXREPLACE(TO_TEXT('_Supporto Listone'!C338),"(.)","$1"&amp;UNICHAR(822)),'_Supporto Listone'!C338)</x:f>
        <x:v>Inter</x:v>
      </x:c>
      <x:c r="D338" s="441" t="str">
        <x:f>IF($J338&lt;&gt;"",REGEXREPLACE(TO_TEXT('_Supporto Listone'!D338),"(.)","$1"&amp;UNICHAR(822)),'_Supporto Listone'!D338)</x:f>
        <x:v>C</x:v>
      </x:c>
      <x:c r="E338" s="441" t="str">
        <x:f>IF($J338&lt;&gt;"",REGEXREPLACE(TO_TEXT('_Supporto Listone'!E338),"(.)","$1"&amp;UNICHAR(822)),'_Supporto Listone'!E338)</x:f>
        <x:v>Riserva / rotazione</x:v>
      </x:c>
      <x:c r="F338" s="464" t="n">
        <x:f>IF($J338&lt;&gt;"",REGEXREPLACE(TO_TEXT('_Supporto Listone'!F338),"(.)","$1"&amp;UNICHAR(822)),'_Supporto Listone'!F338)</x:f>
        <x:v>5</x:v>
      </x:c>
      <x:c r="G338" s="464" t="n">
        <x:f>IF($J338&lt;&gt;"",REGEXREPLACE(TO_TEXT('_Supporto Listone'!G338),"(.)","$1"&amp;UNICHAR(822)),'_Supporto Listone'!G338)</x:f>
        <x:v>19</x:v>
      </x:c>
      <x:c r="H338" s="464" t="n">
        <x:f>IF($J338&lt;&gt;"",REGEXREPLACE(TO_TEXT('_Supporto Listone'!H338),"(.)","$1"&amp;UNICHAR(822)),'_Supporto Listone'!H338)</x:f>
        <x:v>10</x:v>
      </x:c>
      <x:c r="I338" s="442"/>
      <x:c r="J338" s="441" t="str">
        <x:f>IF(COUNTIF(Asta!$B$4:$B$47,'_Supporto Listone'!B338)&gt;0,"Simone",IF(COUNTIF(Asta!$D$4:$D$47,'_Supporto Listone'!B338)&gt;0,"Giacomo",IF(COUNTIF(Asta!$F$4:$F$47,'_Supporto Listone'!B338)&gt;0,"Niko",IF(COUNTIF(Asta!$H$4:$H$47,'_Supporto Listone'!B338)&gt;0,"Quici",IF(COUNTIF(Asta!$J$4:$J$47,'_Supporto Listone'!B338)&gt;0,"Fratello Quici",IF(COUNTIF(Asta!$L$4:$L$47,'_Supporto Listone'!B338)&gt;0,"Nicolò",IF(COUNTIF(Asta!$N$4:$N$47,'_Supporto Listone'!B338)&gt;0,"Vi",IF(COUNTIF(Asta!$P$4:$P$47,'_Supporto Listone'!B338)&gt;0,"Lore",IF(COUNTIF(Asta!$R$4:$R$47,'_Supporto Listone'!B338)&gt;0,"Robbo",IF(COUNTIF(Asta!$T$4:$T$47,'_Supporto Listone'!B338)&gt;0,"Ale",""))))))))))</x:f>
      </x:c>
      <x:c r="K338" s="495" t="str">
        <x:f>IF(COUNTIF(Asta!$B$4:$B$47,'_Supporto Listone'!B338)&gt;0,INDEX(Asta!$C$4:$C$47,MATCH('_Supporto Listone'!B338,Asta!$B$4:$B$47,0)),IF(COUNTIF(Asta!$D$4:$D$47,'_Supporto Listone'!B338)&gt;0,INDEX(Asta!$E$4:$E$47,MATCH('_Supporto Listone'!B338,Asta!$D$4:$D$47,0)),IF(COUNTIF(Asta!$F$4:$F$47,'_Supporto Listone'!B338)&gt;0,INDEX(Asta!$G$4:$G$47,MATCH('_Supporto Listone'!B338,Asta!$F$4:$F$47,0)),IF(COUNTIF(Asta!$H$4:$H$47,'_Supporto Listone'!B338)&gt;0,INDEX(Asta!$I$4:$I$47,MATCH('_Supporto Listone'!B338,Asta!$H$4:$H$47,0)),IF(COUNTIF(Asta!$J$4:$J$47,'_Supporto Listone'!B338)&gt;0,INDEX(Asta!$K$4:$K$47,MATCH('_Supporto Listone'!B338,Asta!$J$4:$J$47,0)),IF(COUNTIF(Asta!$L$4:$L$47,'_Supporto Listone'!B338)&gt;0,INDEX(Asta!$M$4:$M$47,MATCH('_Supporto Listone'!B338,Asta!$L$4:$L$47,0)),IF(COUNTIF(Asta!$N$4:$N$47,'_Supporto Listone'!B338)&gt;0,INDEX(Asta!$O$4:$O$47,MATCH('_Supporto Listone'!B338,Asta!$N$4:$N$47,0)),IF(COUNTIF(Asta!$P$4:$P$47,'_Supporto Listone'!B338)&gt;0,INDEX(Asta!$Q$4:$Q$47,MATCH('_Supporto Listone'!B338,Asta!$P$4:$P$47,0)),IF(COUNTIF(Asta!$R$4:$R$47,'_Supporto Listone'!B338)&gt;0,INDEX(Asta!$S$4:$S$47,MATCH('_Supporto Listone'!B338,Asta!$R$4:$R$47,0)),IF(COUNTIF(Asta!$T$4:$T$47,'_Supporto Listone'!B338)&gt;0,INDEX(Asta!$U$4:$U$47,MATCH('_Supporto Listone'!B338,Asta!$T$4:$T$47,0)),""))))))))))</x:f>
      </x:c>
    </x:row>
    <x:row r="339">
      <x:c r="A339" s="440" t="str">
        <x:f>IF($J339&lt;&gt;"",REGEXREPLACE(TO_TEXT('_Supporto Listone'!A339),"(.)","$1"&amp;UNICHAR(822)),'_Supporto Listone'!A339)</x:f>
        <x:v>C</x:v>
      </x:c>
      <x:c r="B339" s="441" t="str">
        <x:f>IF($J339&lt;&gt;"",REGEXREPLACE(TO_TEXT('_Supporto Listone'!B339),"(.)","$1"&amp;UNICHAR(822)),'_Supporto Listone'!B339)</x:f>
        <x:v>Koopmeiners</x:v>
      </x:c>
      <x:c r="C339" s="441" t="str">
        <x:f>IF($J339&lt;&gt;"",REGEXREPLACE(TO_TEXT('_Supporto Listone'!C339),"(.)","$1"&amp;UNICHAR(822)),'_Supporto Listone'!C339)</x:f>
        <x:v>Juventus</x:v>
      </x:c>
      <x:c r="D339" s="441" t="str">
        <x:f>IF($J339&lt;&gt;"",REGEXREPLACE(TO_TEXT('_Supporto Listone'!D339),"(.)","$1"&amp;UNICHAR(822)),'_Supporto Listone'!D339)</x:f>
        <x:v>C;T</x:v>
      </x:c>
      <x:c r="E339" s="441" t="str">
        <x:f>IF($J339&lt;&gt;"",REGEXREPLACE(TO_TEXT('_Supporto Listone'!E339),"(.)","$1"&amp;UNICHAR(822)),'_Supporto Listone'!E339)</x:f>
        <x:v>Riserva / rotazione</x:v>
      </x:c>
      <x:c r="F339" s="464" t="n">
        <x:f>IF($J339&lt;&gt;"",REGEXREPLACE(TO_TEXT('_Supporto Listone'!F339),"(.)","$1"&amp;UNICHAR(822)),'_Supporto Listone'!F339)</x:f>
        <x:v>5</x:v>
      </x:c>
      <x:c r="G339" s="464" t="n">
        <x:f>IF($J339&lt;&gt;"",REGEXREPLACE(TO_TEXT('_Supporto Listone'!G339),"(.)","$1"&amp;UNICHAR(822)),'_Supporto Listone'!G339)</x:f>
        <x:v>14</x:v>
      </x:c>
      <x:c r="H339" s="464" t="n">
        <x:f>IF($J339&lt;&gt;"",REGEXREPLACE(TO_TEXT('_Supporto Listone'!H339),"(.)","$1"&amp;UNICHAR(822)),'_Supporto Listone'!H339)</x:f>
        <x:v>7</x:v>
      </x:c>
      <x:c r="I339" s="442"/>
      <x:c r="J339" s="441" t="str">
        <x:f>IF(COUNTIF(Asta!$B$4:$B$47,'_Supporto Listone'!B339)&gt;0,"Simone",IF(COUNTIF(Asta!$D$4:$D$47,'_Supporto Listone'!B339)&gt;0,"Giacomo",IF(COUNTIF(Asta!$F$4:$F$47,'_Supporto Listone'!B339)&gt;0,"Niko",IF(COUNTIF(Asta!$H$4:$H$47,'_Supporto Listone'!B339)&gt;0,"Quici",IF(COUNTIF(Asta!$J$4:$J$47,'_Supporto Listone'!B339)&gt;0,"Fratello Quici",IF(COUNTIF(Asta!$L$4:$L$47,'_Supporto Listone'!B339)&gt;0,"Nicolò",IF(COUNTIF(Asta!$N$4:$N$47,'_Supporto Listone'!B339)&gt;0,"Vi",IF(COUNTIF(Asta!$P$4:$P$47,'_Supporto Listone'!B339)&gt;0,"Lore",IF(COUNTIF(Asta!$R$4:$R$47,'_Supporto Listone'!B339)&gt;0,"Robbo",IF(COUNTIF(Asta!$T$4:$T$47,'_Supporto Listone'!B339)&gt;0,"Ale",""))))))))))</x:f>
      </x:c>
      <x:c r="K339" s="495" t="str">
        <x:f>IF(COUNTIF(Asta!$B$4:$B$47,'_Supporto Listone'!B339)&gt;0,INDEX(Asta!$C$4:$C$47,MATCH('_Supporto Listone'!B339,Asta!$B$4:$B$47,0)),IF(COUNTIF(Asta!$D$4:$D$47,'_Supporto Listone'!B339)&gt;0,INDEX(Asta!$E$4:$E$47,MATCH('_Supporto Listone'!B339,Asta!$D$4:$D$47,0)),IF(COUNTIF(Asta!$F$4:$F$47,'_Supporto Listone'!B339)&gt;0,INDEX(Asta!$G$4:$G$47,MATCH('_Supporto Listone'!B339,Asta!$F$4:$F$47,0)),IF(COUNTIF(Asta!$H$4:$H$47,'_Supporto Listone'!B339)&gt;0,INDEX(Asta!$I$4:$I$47,MATCH('_Supporto Listone'!B339,Asta!$H$4:$H$47,0)),IF(COUNTIF(Asta!$J$4:$J$47,'_Supporto Listone'!B339)&gt;0,INDEX(Asta!$K$4:$K$47,MATCH('_Supporto Listone'!B339,Asta!$J$4:$J$47,0)),IF(COUNTIF(Asta!$L$4:$L$47,'_Supporto Listone'!B339)&gt;0,INDEX(Asta!$M$4:$M$47,MATCH('_Supporto Listone'!B339,Asta!$L$4:$L$47,0)),IF(COUNTIF(Asta!$N$4:$N$47,'_Supporto Listone'!B339)&gt;0,INDEX(Asta!$O$4:$O$47,MATCH('_Supporto Listone'!B339,Asta!$N$4:$N$47,0)),IF(COUNTIF(Asta!$P$4:$P$47,'_Supporto Listone'!B339)&gt;0,INDEX(Asta!$Q$4:$Q$47,MATCH('_Supporto Listone'!B339,Asta!$P$4:$P$47,0)),IF(COUNTIF(Asta!$R$4:$R$47,'_Supporto Listone'!B339)&gt;0,INDEX(Asta!$S$4:$S$47,MATCH('_Supporto Listone'!B339,Asta!$R$4:$R$47,0)),IF(COUNTIF(Asta!$T$4:$T$47,'_Supporto Listone'!B339)&gt;0,INDEX(Asta!$U$4:$U$47,MATCH('_Supporto Listone'!B339,Asta!$T$4:$T$47,0)),""))))))))))</x:f>
      </x:c>
    </x:row>
    <x:row r="340">
      <x:c r="A340" s="440" t="str">
        <x:f>IF($J340&lt;&gt;"",REGEXREPLACE(TO_TEXT('_Supporto Listone'!A340),"(.)","$1"&amp;UNICHAR(822)),'_Supporto Listone'!A340)</x:f>
        <x:v>C</x:v>
      </x:c>
      <x:c r="B340" s="441" t="str">
        <x:f>IF($J340&lt;&gt;"",REGEXREPLACE(TO_TEXT('_Supporto Listone'!B340),"(.)","$1"&amp;UNICHAR(822)),'_Supporto Listone'!B340)</x:f>
        <x:v>Dele-Bashiru</x:v>
      </x:c>
      <x:c r="C340" s="441" t="str">
        <x:f>IF($J340&lt;&gt;"",REGEXREPLACE(TO_TEXT('_Supporto Listone'!C340),"(.)","$1"&amp;UNICHAR(822)),'_Supporto Listone'!C340)</x:f>
        <x:v>Lazio</x:v>
      </x:c>
      <x:c r="D340" s="441" t="str">
        <x:f>IF($J340&lt;&gt;"",REGEXREPLACE(TO_TEXT('_Supporto Listone'!D340),"(.)","$1"&amp;UNICHAR(822)),'_Supporto Listone'!D340)</x:f>
        <x:v>C;T</x:v>
      </x:c>
      <x:c r="E340" s="441" t="str">
        <x:f>IF($J340&lt;&gt;"",REGEXREPLACE(TO_TEXT('_Supporto Listone'!E340),"(.)","$1"&amp;UNICHAR(822)),'_Supporto Listone'!E340)</x:f>
        <x:v>Riserva / rotazione</x:v>
      </x:c>
      <x:c r="F340" s="464" t="n">
        <x:f>IF($J340&lt;&gt;"",REGEXREPLACE(TO_TEXT('_Supporto Listone'!F340),"(.)","$1"&amp;UNICHAR(822)),'_Supporto Listone'!F340)</x:f>
        <x:v>5</x:v>
      </x:c>
      <x:c r="G340" s="464" t="n">
        <x:f>IF($J340&lt;&gt;"",REGEXREPLACE(TO_TEXT('_Supporto Listone'!G340),"(.)","$1"&amp;UNICHAR(822)),'_Supporto Listone'!G340)</x:f>
        <x:v>13</x:v>
      </x:c>
      <x:c r="H340" s="464" t="n">
        <x:f>IF($J340&lt;&gt;"",REGEXREPLACE(TO_TEXT('_Supporto Listone'!H340),"(.)","$1"&amp;UNICHAR(822)),'_Supporto Listone'!H340)</x:f>
        <x:v>7</x:v>
      </x:c>
      <x:c r="I340" s="442"/>
      <x:c r="J340" s="441" t="str">
        <x:f>IF(COUNTIF(Asta!$B$4:$B$47,'_Supporto Listone'!B340)&gt;0,"Simone",IF(COUNTIF(Asta!$D$4:$D$47,'_Supporto Listone'!B340)&gt;0,"Giacomo",IF(COUNTIF(Asta!$F$4:$F$47,'_Supporto Listone'!B340)&gt;0,"Niko",IF(COUNTIF(Asta!$H$4:$H$47,'_Supporto Listone'!B340)&gt;0,"Quici",IF(COUNTIF(Asta!$J$4:$J$47,'_Supporto Listone'!B340)&gt;0,"Fratello Quici",IF(COUNTIF(Asta!$L$4:$L$47,'_Supporto Listone'!B340)&gt;0,"Nicolò",IF(COUNTIF(Asta!$N$4:$N$47,'_Supporto Listone'!B340)&gt;0,"Vi",IF(COUNTIF(Asta!$P$4:$P$47,'_Supporto Listone'!B340)&gt;0,"Lore",IF(COUNTIF(Asta!$R$4:$R$47,'_Supporto Listone'!B340)&gt;0,"Robbo",IF(COUNTIF(Asta!$T$4:$T$47,'_Supporto Listone'!B340)&gt;0,"Ale",""))))))))))</x:f>
      </x:c>
      <x:c r="K340" s="495" t="str">
        <x:f>IF(COUNTIF(Asta!$B$4:$B$47,'_Supporto Listone'!B340)&gt;0,INDEX(Asta!$C$4:$C$47,MATCH('_Supporto Listone'!B340,Asta!$B$4:$B$47,0)),IF(COUNTIF(Asta!$D$4:$D$47,'_Supporto Listone'!B340)&gt;0,INDEX(Asta!$E$4:$E$47,MATCH('_Supporto Listone'!B340,Asta!$D$4:$D$47,0)),IF(COUNTIF(Asta!$F$4:$F$47,'_Supporto Listone'!B340)&gt;0,INDEX(Asta!$G$4:$G$47,MATCH('_Supporto Listone'!B340,Asta!$F$4:$F$47,0)),IF(COUNTIF(Asta!$H$4:$H$47,'_Supporto Listone'!B340)&gt;0,INDEX(Asta!$I$4:$I$47,MATCH('_Supporto Listone'!B340,Asta!$H$4:$H$47,0)),IF(COUNTIF(Asta!$J$4:$J$47,'_Supporto Listone'!B340)&gt;0,INDEX(Asta!$K$4:$K$47,MATCH('_Supporto Listone'!B340,Asta!$J$4:$J$47,0)),IF(COUNTIF(Asta!$L$4:$L$47,'_Supporto Listone'!B340)&gt;0,INDEX(Asta!$M$4:$M$47,MATCH('_Supporto Listone'!B340,Asta!$L$4:$L$47,0)),IF(COUNTIF(Asta!$N$4:$N$47,'_Supporto Listone'!B340)&gt;0,INDEX(Asta!$O$4:$O$47,MATCH('_Supporto Listone'!B340,Asta!$N$4:$N$47,0)),IF(COUNTIF(Asta!$P$4:$P$47,'_Supporto Listone'!B340)&gt;0,INDEX(Asta!$Q$4:$Q$47,MATCH('_Supporto Listone'!B340,Asta!$P$4:$P$47,0)),IF(COUNTIF(Asta!$R$4:$R$47,'_Supporto Listone'!B340)&gt;0,INDEX(Asta!$S$4:$S$47,MATCH('_Supporto Listone'!B340,Asta!$R$4:$R$47,0)),IF(COUNTIF(Asta!$T$4:$T$47,'_Supporto Listone'!B340)&gt;0,INDEX(Asta!$U$4:$U$47,MATCH('_Supporto Listone'!B340,Asta!$T$4:$T$47,0)),""))))))))))</x:f>
      </x:c>
    </x:row>
    <x:row r="341">
      <x:c r="A341" s="440" t="str">
        <x:f>IF($J341&lt;&gt;"",REGEXREPLACE(TO_TEXT('_Supporto Listone'!A341),"(.)","$1"&amp;UNICHAR(822)),'_Supporto Listone'!A341)</x:f>
        <x:v>C</x:v>
      </x:c>
      <x:c r="B341" s="441" t="str">
        <x:f>IF($J341&lt;&gt;"",REGEXREPLACE(TO_TEXT('_Supporto Listone'!B341),"(.)","$1"&amp;UNICHAR(822)),'_Supporto Listone'!B341)</x:f>
        <x:v>Berisha M.</x:v>
      </x:c>
      <x:c r="C341" s="441" t="str">
        <x:f>IF($J341&lt;&gt;"",REGEXREPLACE(TO_TEXT('_Supporto Listone'!C341),"(.)","$1"&amp;UNICHAR(822)),'_Supporto Listone'!C341)</x:f>
        <x:v>Lecce</x:v>
      </x:c>
      <x:c r="D341" s="441" t="str">
        <x:f>IF($J341&lt;&gt;"",REGEXREPLACE(TO_TEXT('_Supporto Listone'!D341),"(.)","$1"&amp;UNICHAR(822)),'_Supporto Listone'!D341)</x:f>
        <x:v>C;T</x:v>
      </x:c>
      <x:c r="E341" s="441" t="str">
        <x:f>IF($J341&lt;&gt;"",REGEXREPLACE(TO_TEXT('_Supporto Listone'!E341),"(.)","$1"&amp;UNICHAR(822)),'_Supporto Listone'!E341)</x:f>
        <x:v>Titolare / ballottaggio</x:v>
      </x:c>
      <x:c r="F341" s="464" t="n">
        <x:f>IF($J341&lt;&gt;"",REGEXREPLACE(TO_TEXT('_Supporto Listone'!F341),"(.)","$1"&amp;UNICHAR(822)),'_Supporto Listone'!F341)</x:f>
        <x:v>5</x:v>
      </x:c>
      <x:c r="G341" s="464" t="n">
        <x:f>IF($J341&lt;&gt;"",REGEXREPLACE(TO_TEXT('_Supporto Listone'!G341),"(.)","$1"&amp;UNICHAR(822)),'_Supporto Listone'!G341)</x:f>
        <x:v>16</x:v>
      </x:c>
      <x:c r="H341" s="464" t="n">
        <x:f>IF($J341&lt;&gt;"",REGEXREPLACE(TO_TEXT('_Supporto Listone'!H341),"(.)","$1"&amp;UNICHAR(822)),'_Supporto Listone'!H341)</x:f>
        <x:v>8</x:v>
      </x:c>
      <x:c r="I341" s="442" t="str">
        <x:f>IF($J341&lt;&gt;"",REGEXREPLACE(TO_TEXT('_Supporto Listone'!I341),"(.)","$1"&amp;UNICHAR(822)),'_Supporto Listone'!I341)</x:f>
        <x:v>Rigorista · Piazzati</x:v>
      </x:c>
      <x:c r="J341" s="441" t="str">
        <x:f>IF(COUNTIF(Asta!$B$4:$B$47,'_Supporto Listone'!B341)&gt;0,"Simone",IF(COUNTIF(Asta!$D$4:$D$47,'_Supporto Listone'!B341)&gt;0,"Giacomo",IF(COUNTIF(Asta!$F$4:$F$47,'_Supporto Listone'!B341)&gt;0,"Niko",IF(COUNTIF(Asta!$H$4:$H$47,'_Supporto Listone'!B341)&gt;0,"Quici",IF(COUNTIF(Asta!$J$4:$J$47,'_Supporto Listone'!B341)&gt;0,"Fratello Quici",IF(COUNTIF(Asta!$L$4:$L$47,'_Supporto Listone'!B341)&gt;0,"Nicolò",IF(COUNTIF(Asta!$N$4:$N$47,'_Supporto Listone'!B341)&gt;0,"Vi",IF(COUNTIF(Asta!$P$4:$P$47,'_Supporto Listone'!B341)&gt;0,"Lore",IF(COUNTIF(Asta!$R$4:$R$47,'_Supporto Listone'!B341)&gt;0,"Robbo",IF(COUNTIF(Asta!$T$4:$T$47,'_Supporto Listone'!B341)&gt;0,"Ale",""))))))))))</x:f>
      </x:c>
      <x:c r="K341" s="495" t="str">
        <x:f>IF(COUNTIF(Asta!$B$4:$B$47,'_Supporto Listone'!B341)&gt;0,INDEX(Asta!$C$4:$C$47,MATCH('_Supporto Listone'!B341,Asta!$B$4:$B$47,0)),IF(COUNTIF(Asta!$D$4:$D$47,'_Supporto Listone'!B341)&gt;0,INDEX(Asta!$E$4:$E$47,MATCH('_Supporto Listone'!B341,Asta!$D$4:$D$47,0)),IF(COUNTIF(Asta!$F$4:$F$47,'_Supporto Listone'!B341)&gt;0,INDEX(Asta!$G$4:$G$47,MATCH('_Supporto Listone'!B341,Asta!$F$4:$F$47,0)),IF(COUNTIF(Asta!$H$4:$H$47,'_Supporto Listone'!B341)&gt;0,INDEX(Asta!$I$4:$I$47,MATCH('_Supporto Listone'!B341,Asta!$H$4:$H$47,0)),IF(COUNTIF(Asta!$J$4:$J$47,'_Supporto Listone'!B341)&gt;0,INDEX(Asta!$K$4:$K$47,MATCH('_Supporto Listone'!B341,Asta!$J$4:$J$47,0)),IF(COUNTIF(Asta!$L$4:$L$47,'_Supporto Listone'!B341)&gt;0,INDEX(Asta!$M$4:$M$47,MATCH('_Supporto Listone'!B341,Asta!$L$4:$L$47,0)),IF(COUNTIF(Asta!$N$4:$N$47,'_Supporto Listone'!B341)&gt;0,INDEX(Asta!$O$4:$O$47,MATCH('_Supporto Listone'!B341,Asta!$N$4:$N$47,0)),IF(COUNTIF(Asta!$P$4:$P$47,'_Supporto Listone'!B341)&gt;0,INDEX(Asta!$Q$4:$Q$47,MATCH('_Supporto Listone'!B341,Asta!$P$4:$P$47,0)),IF(COUNTIF(Asta!$R$4:$R$47,'_Supporto Listone'!B341)&gt;0,INDEX(Asta!$S$4:$S$47,MATCH('_Supporto Listone'!B341,Asta!$R$4:$R$47,0)),IF(COUNTIF(Asta!$T$4:$T$47,'_Supporto Listone'!B341)&gt;0,INDEX(Asta!$U$4:$U$47,MATCH('_Supporto Listone'!B341,Asta!$T$4:$T$47,0)),""))))))))))</x:f>
      </x:c>
    </x:row>
    <x:row r="342">
      <x:c r="A342" s="440" t="str">
        <x:f>IF($J342&lt;&gt;"",REGEXREPLACE(TO_TEXT('_Supporto Listone'!A342),"(.)","$1"&amp;UNICHAR(822)),'_Supporto Listone'!A342)</x:f>
        <x:v>C</x:v>
      </x:c>
      <x:c r="B342" s="441" t="str">
        <x:f>IF($J342&lt;&gt;"",REGEXREPLACE(TO_TEXT('_Supporto Listone'!B342),"(.)","$1"&amp;UNICHAR(822)),'_Supporto Listone'!B342)</x:f>
        <x:v>Gandelman</x:v>
      </x:c>
      <x:c r="C342" s="441" t="str">
        <x:f>IF($J342&lt;&gt;"",REGEXREPLACE(TO_TEXT('_Supporto Listone'!C342),"(.)","$1"&amp;UNICHAR(822)),'_Supporto Listone'!C342)</x:f>
        <x:v>Lecce</x:v>
      </x:c>
      <x:c r="D342" s="441" t="str">
        <x:f>IF($J342&lt;&gt;"",REGEXREPLACE(TO_TEXT('_Supporto Listone'!D342),"(.)","$1"&amp;UNICHAR(822)),'_Supporto Listone'!D342)</x:f>
        <x:v>C;T</x:v>
      </x:c>
      <x:c r="E342" s="441" t="str">
        <x:f>IF($J342&lt;&gt;"",REGEXREPLACE(TO_TEXT('_Supporto Listone'!E342),"(.)","$1"&amp;UNICHAR(822)),'_Supporto Listone'!E342)</x:f>
        <x:v>Ballottaggio</x:v>
      </x:c>
      <x:c r="F342" s="464" t="n">
        <x:f>IF($J342&lt;&gt;"",REGEXREPLACE(TO_TEXT('_Supporto Listone'!F342),"(.)","$1"&amp;UNICHAR(822)),'_Supporto Listone'!F342)</x:f>
        <x:v>5</x:v>
      </x:c>
      <x:c r="G342" s="464" t="n">
        <x:f>IF($J342&lt;&gt;"",REGEXREPLACE(TO_TEXT('_Supporto Listone'!G342),"(.)","$1"&amp;UNICHAR(822)),'_Supporto Listone'!G342)</x:f>
        <x:v>14</x:v>
      </x:c>
      <x:c r="H342" s="464" t="n">
        <x:f>IF($J342&lt;&gt;"",REGEXREPLACE(TO_TEXT('_Supporto Listone'!H342),"(.)","$1"&amp;UNICHAR(822)),'_Supporto Listone'!H342)</x:f>
        <x:v>7</x:v>
      </x:c>
      <x:c r="I342" s="442"/>
      <x:c r="J342" s="441" t="str">
        <x:f>IF(COUNTIF(Asta!$B$4:$B$47,'_Supporto Listone'!B342)&gt;0,"Simone",IF(COUNTIF(Asta!$D$4:$D$47,'_Supporto Listone'!B342)&gt;0,"Giacomo",IF(COUNTIF(Asta!$F$4:$F$47,'_Supporto Listone'!B342)&gt;0,"Niko",IF(COUNTIF(Asta!$H$4:$H$47,'_Supporto Listone'!B342)&gt;0,"Quici",IF(COUNTIF(Asta!$J$4:$J$47,'_Supporto Listone'!B342)&gt;0,"Fratello Quici",IF(COUNTIF(Asta!$L$4:$L$47,'_Supporto Listone'!B342)&gt;0,"Nicolò",IF(COUNTIF(Asta!$N$4:$N$47,'_Supporto Listone'!B342)&gt;0,"Vi",IF(COUNTIF(Asta!$P$4:$P$47,'_Supporto Listone'!B342)&gt;0,"Lore",IF(COUNTIF(Asta!$R$4:$R$47,'_Supporto Listone'!B342)&gt;0,"Robbo",IF(COUNTIF(Asta!$T$4:$T$47,'_Supporto Listone'!B342)&gt;0,"Ale",""))))))))))</x:f>
      </x:c>
      <x:c r="K342" s="495" t="str">
        <x:f>IF(COUNTIF(Asta!$B$4:$B$47,'_Supporto Listone'!B342)&gt;0,INDEX(Asta!$C$4:$C$47,MATCH('_Supporto Listone'!B342,Asta!$B$4:$B$47,0)),IF(COUNTIF(Asta!$D$4:$D$47,'_Supporto Listone'!B342)&gt;0,INDEX(Asta!$E$4:$E$47,MATCH('_Supporto Listone'!B342,Asta!$D$4:$D$47,0)),IF(COUNTIF(Asta!$F$4:$F$47,'_Supporto Listone'!B342)&gt;0,INDEX(Asta!$G$4:$G$47,MATCH('_Supporto Listone'!B342,Asta!$F$4:$F$47,0)),IF(COUNTIF(Asta!$H$4:$H$47,'_Supporto Listone'!B342)&gt;0,INDEX(Asta!$I$4:$I$47,MATCH('_Supporto Listone'!B342,Asta!$H$4:$H$47,0)),IF(COUNTIF(Asta!$J$4:$J$47,'_Supporto Listone'!B342)&gt;0,INDEX(Asta!$K$4:$K$47,MATCH('_Supporto Listone'!B342,Asta!$J$4:$J$47,0)),IF(COUNTIF(Asta!$L$4:$L$47,'_Supporto Listone'!B342)&gt;0,INDEX(Asta!$M$4:$M$47,MATCH('_Supporto Listone'!B342,Asta!$L$4:$L$47,0)),IF(COUNTIF(Asta!$N$4:$N$47,'_Supporto Listone'!B342)&gt;0,INDEX(Asta!$O$4:$O$47,MATCH('_Supporto Listone'!B342,Asta!$N$4:$N$47,0)),IF(COUNTIF(Asta!$P$4:$P$47,'_Supporto Listone'!B342)&gt;0,INDEX(Asta!$Q$4:$Q$47,MATCH('_Supporto Listone'!B342,Asta!$P$4:$P$47,0)),IF(COUNTIF(Asta!$R$4:$R$47,'_Supporto Listone'!B342)&gt;0,INDEX(Asta!$S$4:$S$47,MATCH('_Supporto Listone'!B342,Asta!$R$4:$R$47,0)),IF(COUNTIF(Asta!$T$4:$T$47,'_Supporto Listone'!B342)&gt;0,INDEX(Asta!$U$4:$U$47,MATCH('_Supporto Listone'!B342,Asta!$T$4:$T$47,0)),""))))))))))</x:f>
      </x:c>
    </x:row>
    <x:row r="343">
      <x:c r="A343" s="440" t="str">
        <x:f>IF($J343&lt;&gt;"",REGEXREPLACE(TO_TEXT('_Supporto Listone'!A343),"(.)","$1"&amp;UNICHAR(822)),'_Supporto Listone'!A343)</x:f>
        <x:v>C</x:v>
      </x:c>
      <x:c r="B343" s="441" t="str">
        <x:f>IF($J343&lt;&gt;"",REGEXREPLACE(TO_TEXT('_Supporto Listone'!B343),"(.)","$1"&amp;UNICHAR(822)),'_Supporto Listone'!B343)</x:f>
        <x:v>Fofana Y.</x:v>
      </x:c>
      <x:c r="C343" s="441" t="str">
        <x:f>IF($J343&lt;&gt;"",REGEXREPLACE(TO_TEXT('_Supporto Listone'!C343),"(.)","$1"&amp;UNICHAR(822)),'_Supporto Listone'!C343)</x:f>
        <x:v>Milan</x:v>
      </x:c>
      <x:c r="D343" s="441" t="str">
        <x:f>IF($J343&lt;&gt;"",REGEXREPLACE(TO_TEXT('_Supporto Listone'!D343),"(.)","$1"&amp;UNICHAR(822)),'_Supporto Listone'!D343)</x:f>
        <x:v>M;C</x:v>
      </x:c>
      <x:c r="E343" s="441" t="str">
        <x:f>IF($J343&lt;&gt;"",REGEXREPLACE(TO_TEXT('_Supporto Listone'!E343),"(.)","$1"&amp;UNICHAR(822)),'_Supporto Listone'!E343)</x:f>
        <x:v>Riserva / rotazione</x:v>
      </x:c>
      <x:c r="F343" s="464" t="n">
        <x:f>IF($J343&lt;&gt;"",REGEXREPLACE(TO_TEXT('_Supporto Listone'!F343),"(.)","$1"&amp;UNICHAR(822)),'_Supporto Listone'!F343)</x:f>
        <x:v>5</x:v>
      </x:c>
      <x:c r="G343" s="464" t="n">
        <x:f>IF($J343&lt;&gt;"",REGEXREPLACE(TO_TEXT('_Supporto Listone'!G343),"(.)","$1"&amp;UNICHAR(822)),'_Supporto Listone'!G343)</x:f>
        <x:v>23</x:v>
      </x:c>
      <x:c r="H343" s="464" t="n">
        <x:f>IF($J343&lt;&gt;"",REGEXREPLACE(TO_TEXT('_Supporto Listone'!H343),"(.)","$1"&amp;UNICHAR(822)),'_Supporto Listone'!H343)</x:f>
        <x:v>12</x:v>
      </x:c>
      <x:c r="I343" s="442"/>
      <x:c r="J343" s="441" t="str">
        <x:f>IF(COUNTIF(Asta!$B$4:$B$47,'_Supporto Listone'!B343)&gt;0,"Simone",IF(COUNTIF(Asta!$D$4:$D$47,'_Supporto Listone'!B343)&gt;0,"Giacomo",IF(COUNTIF(Asta!$F$4:$F$47,'_Supporto Listone'!B343)&gt;0,"Niko",IF(COUNTIF(Asta!$H$4:$H$47,'_Supporto Listone'!B343)&gt;0,"Quici",IF(COUNTIF(Asta!$J$4:$J$47,'_Supporto Listone'!B343)&gt;0,"Fratello Quici",IF(COUNTIF(Asta!$L$4:$L$47,'_Supporto Listone'!B343)&gt;0,"Nicolò",IF(COUNTIF(Asta!$N$4:$N$47,'_Supporto Listone'!B343)&gt;0,"Vi",IF(COUNTIF(Asta!$P$4:$P$47,'_Supporto Listone'!B343)&gt;0,"Lore",IF(COUNTIF(Asta!$R$4:$R$47,'_Supporto Listone'!B343)&gt;0,"Robbo",IF(COUNTIF(Asta!$T$4:$T$47,'_Supporto Listone'!B343)&gt;0,"Ale",""))))))))))</x:f>
      </x:c>
      <x:c r="K343" s="495" t="str">
        <x:f>IF(COUNTIF(Asta!$B$4:$B$47,'_Supporto Listone'!B343)&gt;0,INDEX(Asta!$C$4:$C$47,MATCH('_Supporto Listone'!B343,Asta!$B$4:$B$47,0)),IF(COUNTIF(Asta!$D$4:$D$47,'_Supporto Listone'!B343)&gt;0,INDEX(Asta!$E$4:$E$47,MATCH('_Supporto Listone'!B343,Asta!$D$4:$D$47,0)),IF(COUNTIF(Asta!$F$4:$F$47,'_Supporto Listone'!B343)&gt;0,INDEX(Asta!$G$4:$G$47,MATCH('_Supporto Listone'!B343,Asta!$F$4:$F$47,0)),IF(COUNTIF(Asta!$H$4:$H$47,'_Supporto Listone'!B343)&gt;0,INDEX(Asta!$I$4:$I$47,MATCH('_Supporto Listone'!B343,Asta!$H$4:$H$47,0)),IF(COUNTIF(Asta!$J$4:$J$47,'_Supporto Listone'!B343)&gt;0,INDEX(Asta!$K$4:$K$47,MATCH('_Supporto Listone'!B343,Asta!$J$4:$J$47,0)),IF(COUNTIF(Asta!$L$4:$L$47,'_Supporto Listone'!B343)&gt;0,INDEX(Asta!$M$4:$M$47,MATCH('_Supporto Listone'!B343,Asta!$L$4:$L$47,0)),IF(COUNTIF(Asta!$N$4:$N$47,'_Supporto Listone'!B343)&gt;0,INDEX(Asta!$O$4:$O$47,MATCH('_Supporto Listone'!B343,Asta!$N$4:$N$47,0)),IF(COUNTIF(Asta!$P$4:$P$47,'_Supporto Listone'!B343)&gt;0,INDEX(Asta!$Q$4:$Q$47,MATCH('_Supporto Listone'!B343,Asta!$P$4:$P$47,0)),IF(COUNTIF(Asta!$R$4:$R$47,'_Supporto Listone'!B343)&gt;0,INDEX(Asta!$S$4:$S$47,MATCH('_Supporto Listone'!B343,Asta!$R$4:$R$47,0)),IF(COUNTIF(Asta!$T$4:$T$47,'_Supporto Listone'!B343)&gt;0,INDEX(Asta!$U$4:$U$47,MATCH('_Supporto Listone'!B343,Asta!$T$4:$T$47,0)),""))))))))))</x:f>
      </x:c>
    </x:row>
    <x:row r="344">
      <x:c r="A344" s="440" t="str">
        <x:f>IF($J344&lt;&gt;"",REGEXREPLACE(TO_TEXT('_Supporto Listone'!A344),"(.)","$1"&amp;UNICHAR(822)),'_Supporto Listone'!A344)</x:f>
        <x:v>C</x:v>
      </x:c>
      <x:c r="B344" s="441" t="str">
        <x:f>IF($J344&lt;&gt;"",REGEXREPLACE(TO_TEXT('_Supporto Listone'!B344),"(.)","$1"&amp;UNICHAR(822)),'_Supporto Listone'!B344)</x:f>
        <x:v>Keita M.</x:v>
      </x:c>
      <x:c r="C344" s="441" t="str">
        <x:f>IF($J344&lt;&gt;"",REGEXREPLACE(TO_TEXT('_Supporto Listone'!C344),"(.)","$1"&amp;UNICHAR(822)),'_Supporto Listone'!C344)</x:f>
        <x:v>Parma</x:v>
      </x:c>
      <x:c r="D344" s="441" t="str">
        <x:f>IF($J344&lt;&gt;"",REGEXREPLACE(TO_TEXT('_Supporto Listone'!D344),"(.)","$1"&amp;UNICHAR(822)),'_Supporto Listone'!D344)</x:f>
        <x:v>M;C</x:v>
      </x:c>
      <x:c r="E344" s="441" t="str">
        <x:f>IF($J344&lt;&gt;"",REGEXREPLACE(TO_TEXT('_Supporto Listone'!E344),"(.)","$1"&amp;UNICHAR(822)),'_Supporto Listone'!E344)</x:f>
        <x:v>Titolare</x:v>
      </x:c>
      <x:c r="F344" s="464" t="n">
        <x:f>IF($J344&lt;&gt;"",REGEXREPLACE(TO_TEXT('_Supporto Listone'!F344),"(.)","$1"&amp;UNICHAR(822)),'_Supporto Listone'!F344)</x:f>
        <x:v>5</x:v>
      </x:c>
      <x:c r="G344" s="464" t="n">
        <x:f>IF($J344&lt;&gt;"",REGEXREPLACE(TO_TEXT('_Supporto Listone'!G344),"(.)","$1"&amp;UNICHAR(822)),'_Supporto Listone'!G344)</x:f>
        <x:v>15</x:v>
      </x:c>
      <x:c r="H344" s="464" t="n">
        <x:f>IF($J344&lt;&gt;"",REGEXREPLACE(TO_TEXT('_Supporto Listone'!H344),"(.)","$1"&amp;UNICHAR(822)),'_Supporto Listone'!H344)</x:f>
        <x:v>8</x:v>
      </x:c>
      <x:c r="I344" s="442"/>
      <x:c r="J344" s="441" t="str">
        <x:f>IF(COUNTIF(Asta!$B$4:$B$47,'_Supporto Listone'!B344)&gt;0,"Simone",IF(COUNTIF(Asta!$D$4:$D$47,'_Supporto Listone'!B344)&gt;0,"Giacomo",IF(COUNTIF(Asta!$F$4:$F$47,'_Supporto Listone'!B344)&gt;0,"Niko",IF(COUNTIF(Asta!$H$4:$H$47,'_Supporto Listone'!B344)&gt;0,"Quici",IF(COUNTIF(Asta!$J$4:$J$47,'_Supporto Listone'!B344)&gt;0,"Fratello Quici",IF(COUNTIF(Asta!$L$4:$L$47,'_Supporto Listone'!B344)&gt;0,"Nicolò",IF(COUNTIF(Asta!$N$4:$N$47,'_Supporto Listone'!B344)&gt;0,"Vi",IF(COUNTIF(Asta!$P$4:$P$47,'_Supporto Listone'!B344)&gt;0,"Lore",IF(COUNTIF(Asta!$R$4:$R$47,'_Supporto Listone'!B344)&gt;0,"Robbo",IF(COUNTIF(Asta!$T$4:$T$47,'_Supporto Listone'!B344)&gt;0,"Ale",""))))))))))</x:f>
      </x:c>
      <x:c r="K344" s="495" t="str">
        <x:f>IF(COUNTIF(Asta!$B$4:$B$47,'_Supporto Listone'!B344)&gt;0,INDEX(Asta!$C$4:$C$47,MATCH('_Supporto Listone'!B344,Asta!$B$4:$B$47,0)),IF(COUNTIF(Asta!$D$4:$D$47,'_Supporto Listone'!B344)&gt;0,INDEX(Asta!$E$4:$E$47,MATCH('_Supporto Listone'!B344,Asta!$D$4:$D$47,0)),IF(COUNTIF(Asta!$F$4:$F$47,'_Supporto Listone'!B344)&gt;0,INDEX(Asta!$G$4:$G$47,MATCH('_Supporto Listone'!B344,Asta!$F$4:$F$47,0)),IF(COUNTIF(Asta!$H$4:$H$47,'_Supporto Listone'!B344)&gt;0,INDEX(Asta!$I$4:$I$47,MATCH('_Supporto Listone'!B344,Asta!$H$4:$H$47,0)),IF(COUNTIF(Asta!$J$4:$J$47,'_Supporto Listone'!B344)&gt;0,INDEX(Asta!$K$4:$K$47,MATCH('_Supporto Listone'!B344,Asta!$J$4:$J$47,0)),IF(COUNTIF(Asta!$L$4:$L$47,'_Supporto Listone'!B344)&gt;0,INDEX(Asta!$M$4:$M$47,MATCH('_Supporto Listone'!B344,Asta!$L$4:$L$47,0)),IF(COUNTIF(Asta!$N$4:$N$47,'_Supporto Listone'!B344)&gt;0,INDEX(Asta!$O$4:$O$47,MATCH('_Supporto Listone'!B344,Asta!$N$4:$N$47,0)),IF(COUNTIF(Asta!$P$4:$P$47,'_Supporto Listone'!B344)&gt;0,INDEX(Asta!$Q$4:$Q$47,MATCH('_Supporto Listone'!B344,Asta!$P$4:$P$47,0)),IF(COUNTIF(Asta!$R$4:$R$47,'_Supporto Listone'!B344)&gt;0,INDEX(Asta!$S$4:$S$47,MATCH('_Supporto Listone'!B344,Asta!$R$4:$R$47,0)),IF(COUNTIF(Asta!$T$4:$T$47,'_Supporto Listone'!B344)&gt;0,INDEX(Asta!$U$4:$U$47,MATCH('_Supporto Listone'!B344,Asta!$T$4:$T$47,0)),""))))))))))</x:f>
      </x:c>
    </x:row>
    <x:row r="345">
      <x:c r="A345" s="440" t="str">
        <x:f>IF($J345&lt;&gt;"",REGEXREPLACE(TO_TEXT('_Supporto Listone'!A345),"(.)","$1"&amp;UNICHAR(822)),'_Supporto Listone'!A345)</x:f>
        <x:v>C</x:v>
      </x:c>
      <x:c r="B345" s="441" t="str">
        <x:f>IF($J345&lt;&gt;"",REGEXREPLACE(TO_TEXT('_Supporto Listone'!B345),"(.)","$1"&amp;UNICHAR(822)),'_Supporto Listone'!B345)</x:f>
        <x:v>Ondrejka</x:v>
      </x:c>
      <x:c r="C345" s="441" t="str">
        <x:f>IF($J345&lt;&gt;"",REGEXREPLACE(TO_TEXT('_Supporto Listone'!C345),"(.)","$1"&amp;UNICHAR(822)),'_Supporto Listone'!C345)</x:f>
        <x:v>Parma</x:v>
      </x:c>
      <x:c r="D345" s="441" t="str">
        <x:f>IF($J345&lt;&gt;"",REGEXREPLACE(TO_TEXT('_Supporto Listone'!D345),"(.)","$1"&amp;UNICHAR(822)),'_Supporto Listone'!D345)</x:f>
        <x:v>W;A</x:v>
      </x:c>
      <x:c r="E345" s="441" t="str">
        <x:f>IF($J345&lt;&gt;"",REGEXREPLACE(TO_TEXT('_Supporto Listone'!E345),"(.)","$1"&amp;UNICHAR(822)),'_Supporto Listone'!E345)</x:f>
        <x:v>Riserva / rotazione</x:v>
      </x:c>
      <x:c r="F345" s="464" t="n">
        <x:f>IF($J345&lt;&gt;"",REGEXREPLACE(TO_TEXT('_Supporto Listone'!F345),"(.)","$1"&amp;UNICHAR(822)),'_Supporto Listone'!F345)</x:f>
        <x:v>5</x:v>
      </x:c>
      <x:c r="G345" s="464" t="n">
        <x:f>IF($J345&lt;&gt;"",REGEXREPLACE(TO_TEXT('_Supporto Listone'!G345),"(.)","$1"&amp;UNICHAR(822)),'_Supporto Listone'!G345)</x:f>
        <x:v>18</x:v>
      </x:c>
      <x:c r="H345" s="464" t="n">
        <x:f>IF($J345&lt;&gt;"",REGEXREPLACE(TO_TEXT('_Supporto Listone'!H345),"(.)","$1"&amp;UNICHAR(822)),'_Supporto Listone'!H345)</x:f>
        <x:v>9</x:v>
      </x:c>
      <x:c r="I345" s="442"/>
      <x:c r="J345" s="441" t="str">
        <x:f>IF(COUNTIF(Asta!$B$4:$B$47,'_Supporto Listone'!B345)&gt;0,"Simone",IF(COUNTIF(Asta!$D$4:$D$47,'_Supporto Listone'!B345)&gt;0,"Giacomo",IF(COUNTIF(Asta!$F$4:$F$47,'_Supporto Listone'!B345)&gt;0,"Niko",IF(COUNTIF(Asta!$H$4:$H$47,'_Supporto Listone'!B345)&gt;0,"Quici",IF(COUNTIF(Asta!$J$4:$J$47,'_Supporto Listone'!B345)&gt;0,"Fratello Quici",IF(COUNTIF(Asta!$L$4:$L$47,'_Supporto Listone'!B345)&gt;0,"Nicolò",IF(COUNTIF(Asta!$N$4:$N$47,'_Supporto Listone'!B345)&gt;0,"Vi",IF(COUNTIF(Asta!$P$4:$P$47,'_Supporto Listone'!B345)&gt;0,"Lore",IF(COUNTIF(Asta!$R$4:$R$47,'_Supporto Listone'!B345)&gt;0,"Robbo",IF(COUNTIF(Asta!$T$4:$T$47,'_Supporto Listone'!B345)&gt;0,"Ale",""))))))))))</x:f>
      </x:c>
      <x:c r="K345" s="495" t="str">
        <x:f>IF(COUNTIF(Asta!$B$4:$B$47,'_Supporto Listone'!B345)&gt;0,INDEX(Asta!$C$4:$C$47,MATCH('_Supporto Listone'!B345,Asta!$B$4:$B$47,0)),IF(COUNTIF(Asta!$D$4:$D$47,'_Supporto Listone'!B345)&gt;0,INDEX(Asta!$E$4:$E$47,MATCH('_Supporto Listone'!B345,Asta!$D$4:$D$47,0)),IF(COUNTIF(Asta!$F$4:$F$47,'_Supporto Listone'!B345)&gt;0,INDEX(Asta!$G$4:$G$47,MATCH('_Supporto Listone'!B345,Asta!$F$4:$F$47,0)),IF(COUNTIF(Asta!$H$4:$H$47,'_Supporto Listone'!B345)&gt;0,INDEX(Asta!$I$4:$I$47,MATCH('_Supporto Listone'!B345,Asta!$H$4:$H$47,0)),IF(COUNTIF(Asta!$J$4:$J$47,'_Supporto Listone'!B345)&gt;0,INDEX(Asta!$K$4:$K$47,MATCH('_Supporto Listone'!B345,Asta!$J$4:$J$47,0)),IF(COUNTIF(Asta!$L$4:$L$47,'_Supporto Listone'!B345)&gt;0,INDEX(Asta!$M$4:$M$47,MATCH('_Supporto Listone'!B345,Asta!$L$4:$L$47,0)),IF(COUNTIF(Asta!$N$4:$N$47,'_Supporto Listone'!B345)&gt;0,INDEX(Asta!$O$4:$O$47,MATCH('_Supporto Listone'!B345,Asta!$N$4:$N$47,0)),IF(COUNTIF(Asta!$P$4:$P$47,'_Supporto Listone'!B345)&gt;0,INDEX(Asta!$Q$4:$Q$47,MATCH('_Supporto Listone'!B345,Asta!$P$4:$P$47,0)),IF(COUNTIF(Asta!$R$4:$R$47,'_Supporto Listone'!B345)&gt;0,INDEX(Asta!$S$4:$S$47,MATCH('_Supporto Listone'!B345,Asta!$R$4:$R$47,0)),IF(COUNTIF(Asta!$T$4:$T$47,'_Supporto Listone'!B345)&gt;0,INDEX(Asta!$U$4:$U$47,MATCH('_Supporto Listone'!B345,Asta!$T$4:$T$47,0)),""))))))))))</x:f>
      </x:c>
    </x:row>
    <x:row r="346">
      <x:c r="A346" s="440" t="str">
        <x:f>IF($J346&lt;&gt;"",REGEXREPLACE(TO_TEXT('_Supporto Listone'!A346),"(.)","$1"&amp;UNICHAR(822)),'_Supporto Listone'!A346)</x:f>
        <x:v>C</x:v>
      </x:c>
      <x:c r="B346" s="441" t="str">
        <x:f>IF($J346&lt;&gt;"",REGEXREPLACE(TO_TEXT('_Supporto Listone'!B346),"(.)","$1"&amp;UNICHAR(822)),'_Supporto Listone'!B346)</x:f>
        <x:v>Pisilli</x:v>
      </x:c>
      <x:c r="C346" s="441" t="str">
        <x:f>IF($J346&lt;&gt;"",REGEXREPLACE(TO_TEXT('_Supporto Listone'!C346),"(.)","$1"&amp;UNICHAR(822)),'_Supporto Listone'!C346)</x:f>
        <x:v>Roma</x:v>
      </x:c>
      <x:c r="D346" s="441" t="str">
        <x:f>IF($J346&lt;&gt;"",REGEXREPLACE(TO_TEXT('_Supporto Listone'!D346),"(.)","$1"&amp;UNICHAR(822)),'_Supporto Listone'!D346)</x:f>
        <x:v>C</x:v>
      </x:c>
      <x:c r="E346" s="441" t="str">
        <x:f>IF($J346&lt;&gt;"",REGEXREPLACE(TO_TEXT('_Supporto Listone'!E346),"(.)","$1"&amp;UNICHAR(822)),'_Supporto Listone'!E346)</x:f>
        <x:v>Riserva / rotazione</x:v>
      </x:c>
      <x:c r="F346" s="464" t="n">
        <x:f>IF($J346&lt;&gt;"",REGEXREPLACE(TO_TEXT('_Supporto Listone'!F346),"(.)","$1"&amp;UNICHAR(822)),'_Supporto Listone'!F346)</x:f>
        <x:v>5</x:v>
      </x:c>
      <x:c r="G346" s="464" t="n">
        <x:f>IF($J346&lt;&gt;"",REGEXREPLACE(TO_TEXT('_Supporto Listone'!G346),"(.)","$1"&amp;UNICHAR(822)),'_Supporto Listone'!G346)</x:f>
        <x:v>17</x:v>
      </x:c>
      <x:c r="H346" s="464" t="n">
        <x:f>IF($J346&lt;&gt;"",REGEXREPLACE(TO_TEXT('_Supporto Listone'!H346),"(.)","$1"&amp;UNICHAR(822)),'_Supporto Listone'!H346)</x:f>
        <x:v>9</x:v>
      </x:c>
      <x:c r="I346" s="442"/>
      <x:c r="J346" s="441" t="str">
        <x:f>IF(COUNTIF(Asta!$B$4:$B$47,'_Supporto Listone'!B346)&gt;0,"Simone",IF(COUNTIF(Asta!$D$4:$D$47,'_Supporto Listone'!B346)&gt;0,"Giacomo",IF(COUNTIF(Asta!$F$4:$F$47,'_Supporto Listone'!B346)&gt;0,"Niko",IF(COUNTIF(Asta!$H$4:$H$47,'_Supporto Listone'!B346)&gt;0,"Quici",IF(COUNTIF(Asta!$J$4:$J$47,'_Supporto Listone'!B346)&gt;0,"Fratello Quici",IF(COUNTIF(Asta!$L$4:$L$47,'_Supporto Listone'!B346)&gt;0,"Nicolò",IF(COUNTIF(Asta!$N$4:$N$47,'_Supporto Listone'!B346)&gt;0,"Vi",IF(COUNTIF(Asta!$P$4:$P$47,'_Supporto Listone'!B346)&gt;0,"Lore",IF(COUNTIF(Asta!$R$4:$R$47,'_Supporto Listone'!B346)&gt;0,"Robbo",IF(COUNTIF(Asta!$T$4:$T$47,'_Supporto Listone'!B346)&gt;0,"Ale",""))))))))))</x:f>
      </x:c>
      <x:c r="K346" s="495" t="str">
        <x:f>IF(COUNTIF(Asta!$B$4:$B$47,'_Supporto Listone'!B346)&gt;0,INDEX(Asta!$C$4:$C$47,MATCH('_Supporto Listone'!B346,Asta!$B$4:$B$47,0)),IF(COUNTIF(Asta!$D$4:$D$47,'_Supporto Listone'!B346)&gt;0,INDEX(Asta!$E$4:$E$47,MATCH('_Supporto Listone'!B346,Asta!$D$4:$D$47,0)),IF(COUNTIF(Asta!$F$4:$F$47,'_Supporto Listone'!B346)&gt;0,INDEX(Asta!$G$4:$G$47,MATCH('_Supporto Listone'!B346,Asta!$F$4:$F$47,0)),IF(COUNTIF(Asta!$H$4:$H$47,'_Supporto Listone'!B346)&gt;0,INDEX(Asta!$I$4:$I$47,MATCH('_Supporto Listone'!B346,Asta!$H$4:$H$47,0)),IF(COUNTIF(Asta!$J$4:$J$47,'_Supporto Listone'!B346)&gt;0,INDEX(Asta!$K$4:$K$47,MATCH('_Supporto Listone'!B346,Asta!$J$4:$J$47,0)),IF(COUNTIF(Asta!$L$4:$L$47,'_Supporto Listone'!B346)&gt;0,INDEX(Asta!$M$4:$M$47,MATCH('_Supporto Listone'!B346,Asta!$L$4:$L$47,0)),IF(COUNTIF(Asta!$N$4:$N$47,'_Supporto Listone'!B346)&gt;0,INDEX(Asta!$O$4:$O$47,MATCH('_Supporto Listone'!B346,Asta!$N$4:$N$47,0)),IF(COUNTIF(Asta!$P$4:$P$47,'_Supporto Listone'!B346)&gt;0,INDEX(Asta!$Q$4:$Q$47,MATCH('_Supporto Listone'!B346,Asta!$P$4:$P$47,0)),IF(COUNTIF(Asta!$R$4:$R$47,'_Supporto Listone'!B346)&gt;0,INDEX(Asta!$S$4:$S$47,MATCH('_Supporto Listone'!B346,Asta!$R$4:$R$47,0)),IF(COUNTIF(Asta!$T$4:$T$47,'_Supporto Listone'!B346)&gt;0,INDEX(Asta!$U$4:$U$47,MATCH('_Supporto Listone'!B346,Asta!$T$4:$T$47,0)),""))))))))))</x:f>
      </x:c>
    </x:row>
    <x:row r="347">
      <x:c r="A347" s="440" t="str">
        <x:f>IF($J347&lt;&gt;"",REGEXREPLACE(TO_TEXT('_Supporto Listone'!A347),"(.)","$1"&amp;UNICHAR(822)),'_Supporto Listone'!A347)</x:f>
        <x:v>C</x:v>
      </x:c>
      <x:c r="B347" s="441" t="str">
        <x:f>IF($J347&lt;&gt;"",REGEXREPLACE(TO_TEXT('_Supporto Listone'!B347),"(.)","$1"&amp;UNICHAR(822)),'_Supporto Listone'!B347)</x:f>
        <x:v>Adzic</x:v>
      </x:c>
      <x:c r="C347" s="441" t="str">
        <x:f>IF($J347&lt;&gt;"",REGEXREPLACE(TO_TEXT('_Supporto Listone'!C347),"(.)","$1"&amp;UNICHAR(822)),'_Supporto Listone'!C347)</x:f>
        <x:v>Sassuolo</x:v>
      </x:c>
      <x:c r="D347" s="441" t="str">
        <x:f>IF($J347&lt;&gt;"",REGEXREPLACE(TO_TEXT('_Supporto Listone'!D347),"(.)","$1"&amp;UNICHAR(822)),'_Supporto Listone'!D347)</x:f>
        <x:v>C;T</x:v>
      </x:c>
      <x:c r="E347" s="441" t="str">
        <x:f>IF($J347&lt;&gt;"",REGEXREPLACE(TO_TEXT('_Supporto Listone'!E347),"(.)","$1"&amp;UNICHAR(822)),'_Supporto Listone'!E347)</x:f>
        <x:v>Titolare / ballottaggio</x:v>
      </x:c>
      <x:c r="F347" s="464" t="n">
        <x:f>IF($J347&lt;&gt;"",REGEXREPLACE(TO_TEXT('_Supporto Listone'!F347),"(.)","$1"&amp;UNICHAR(822)),'_Supporto Listone'!F347)</x:f>
        <x:v>5</x:v>
      </x:c>
      <x:c r="G347" s="464" t="n">
        <x:f>IF($J347&lt;&gt;"",REGEXREPLACE(TO_TEXT('_Supporto Listone'!G347),"(.)","$1"&amp;UNICHAR(822)),'_Supporto Listone'!G347)</x:f>
        <x:v>14</x:v>
      </x:c>
      <x:c r="H347" s="464" t="n">
        <x:f>IF($J347&lt;&gt;"",REGEXREPLACE(TO_TEXT('_Supporto Listone'!H347),"(.)","$1"&amp;UNICHAR(822)),'_Supporto Listone'!H347)</x:f>
        <x:v>7</x:v>
      </x:c>
      <x:c r="I347" s="442" t="str">
        <x:f>IF($J347&lt;&gt;"",REGEXREPLACE(TO_TEXT('_Supporto Listone'!I347),"(.)","$1"&amp;UNICHAR(822)),'_Supporto Listone'!I347)</x:f>
        <x:v>Piazzati</x:v>
      </x:c>
      <x:c r="J347" s="441" t="str">
        <x:f>IF(COUNTIF(Asta!$B$4:$B$47,'_Supporto Listone'!B347)&gt;0,"Simone",IF(COUNTIF(Asta!$D$4:$D$47,'_Supporto Listone'!B347)&gt;0,"Giacomo",IF(COUNTIF(Asta!$F$4:$F$47,'_Supporto Listone'!B347)&gt;0,"Niko",IF(COUNTIF(Asta!$H$4:$H$47,'_Supporto Listone'!B347)&gt;0,"Quici",IF(COUNTIF(Asta!$J$4:$J$47,'_Supporto Listone'!B347)&gt;0,"Fratello Quici",IF(COUNTIF(Asta!$L$4:$L$47,'_Supporto Listone'!B347)&gt;0,"Nicolò",IF(COUNTIF(Asta!$N$4:$N$47,'_Supporto Listone'!B347)&gt;0,"Vi",IF(COUNTIF(Asta!$P$4:$P$47,'_Supporto Listone'!B347)&gt;0,"Lore",IF(COUNTIF(Asta!$R$4:$R$47,'_Supporto Listone'!B347)&gt;0,"Robbo",IF(COUNTIF(Asta!$T$4:$T$47,'_Supporto Listone'!B347)&gt;0,"Ale",""))))))))))</x:f>
      </x:c>
      <x:c r="K347" s="495" t="str">
        <x:f>IF(COUNTIF(Asta!$B$4:$B$47,'_Supporto Listone'!B347)&gt;0,INDEX(Asta!$C$4:$C$47,MATCH('_Supporto Listone'!B347,Asta!$B$4:$B$47,0)),IF(COUNTIF(Asta!$D$4:$D$47,'_Supporto Listone'!B347)&gt;0,INDEX(Asta!$E$4:$E$47,MATCH('_Supporto Listone'!B347,Asta!$D$4:$D$47,0)),IF(COUNTIF(Asta!$F$4:$F$47,'_Supporto Listone'!B347)&gt;0,INDEX(Asta!$G$4:$G$47,MATCH('_Supporto Listone'!B347,Asta!$F$4:$F$47,0)),IF(COUNTIF(Asta!$H$4:$H$47,'_Supporto Listone'!B347)&gt;0,INDEX(Asta!$I$4:$I$47,MATCH('_Supporto Listone'!B347,Asta!$H$4:$H$47,0)),IF(COUNTIF(Asta!$J$4:$J$47,'_Supporto Listone'!B347)&gt;0,INDEX(Asta!$K$4:$K$47,MATCH('_Supporto Listone'!B347,Asta!$J$4:$J$47,0)),IF(COUNTIF(Asta!$L$4:$L$47,'_Supporto Listone'!B347)&gt;0,INDEX(Asta!$M$4:$M$47,MATCH('_Supporto Listone'!B347,Asta!$L$4:$L$47,0)),IF(COUNTIF(Asta!$N$4:$N$47,'_Supporto Listone'!B347)&gt;0,INDEX(Asta!$O$4:$O$47,MATCH('_Supporto Listone'!B347,Asta!$N$4:$N$47,0)),IF(COUNTIF(Asta!$P$4:$P$47,'_Supporto Listone'!B347)&gt;0,INDEX(Asta!$Q$4:$Q$47,MATCH('_Supporto Listone'!B347,Asta!$P$4:$P$47,0)),IF(COUNTIF(Asta!$R$4:$R$47,'_Supporto Listone'!B347)&gt;0,INDEX(Asta!$S$4:$S$47,MATCH('_Supporto Listone'!B347,Asta!$R$4:$R$47,0)),IF(COUNTIF(Asta!$T$4:$T$47,'_Supporto Listone'!B347)&gt;0,INDEX(Asta!$U$4:$U$47,MATCH('_Supporto Listone'!B347,Asta!$T$4:$T$47,0)),""))))))))))</x:f>
      </x:c>
    </x:row>
    <x:row r="348">
      <x:c r="A348" s="440" t="str">
        <x:f>IF($J348&lt;&gt;"",REGEXREPLACE(TO_TEXT('_Supporto Listone'!A348),"(.)","$1"&amp;UNICHAR(822)),'_Supporto Listone'!A348)</x:f>
        <x:v>C</x:v>
      </x:c>
      <x:c r="B348" s="441" t="str">
        <x:f>IF($J348&lt;&gt;"",REGEXREPLACE(TO_TEXT('_Supporto Listone'!B348),"(.)","$1"&amp;UNICHAR(822)),'_Supporto Listone'!B348)</x:f>
        <x:v>Bakola</x:v>
      </x:c>
      <x:c r="C348" s="441" t="str">
        <x:f>IF($J348&lt;&gt;"",REGEXREPLACE(TO_TEXT('_Supporto Listone'!C348),"(.)","$1"&amp;UNICHAR(822)),'_Supporto Listone'!C348)</x:f>
        <x:v>Sassuolo</x:v>
      </x:c>
      <x:c r="D348" s="441" t="str">
        <x:f>IF($J348&lt;&gt;"",REGEXREPLACE(TO_TEXT('_Supporto Listone'!D348),"(.)","$1"&amp;UNICHAR(822)),'_Supporto Listone'!D348)</x:f>
        <x:v>C;T</x:v>
      </x:c>
      <x:c r="E348" s="441" t="str">
        <x:f>IF($J348&lt;&gt;"",REGEXREPLACE(TO_TEXT('_Supporto Listone'!E348),"(.)","$1"&amp;UNICHAR(822)),'_Supporto Listone'!E348)</x:f>
        <x:v>Ballottaggio</x:v>
      </x:c>
      <x:c r="F348" s="464" t="n">
        <x:f>IF($J348&lt;&gt;"",REGEXREPLACE(TO_TEXT('_Supporto Listone'!F348),"(.)","$1"&amp;UNICHAR(822)),'_Supporto Listone'!F348)</x:f>
        <x:v>5</x:v>
      </x:c>
      <x:c r="G348" s="464" t="n">
        <x:f>IF($J348&lt;&gt;"",REGEXREPLACE(TO_TEXT('_Supporto Listone'!G348),"(.)","$1"&amp;UNICHAR(822)),'_Supporto Listone'!G348)</x:f>
        <x:v>16</x:v>
      </x:c>
      <x:c r="H348" s="464" t="n">
        <x:f>IF($J348&lt;&gt;"",REGEXREPLACE(TO_TEXT('_Supporto Listone'!H348),"(.)","$1"&amp;UNICHAR(822)),'_Supporto Listone'!H348)</x:f>
        <x:v>8</x:v>
      </x:c>
      <x:c r="I348" s="442"/>
      <x:c r="J348" s="441" t="str">
        <x:f>IF(COUNTIF(Asta!$B$4:$B$47,'_Supporto Listone'!B348)&gt;0,"Simone",IF(COUNTIF(Asta!$D$4:$D$47,'_Supporto Listone'!B348)&gt;0,"Giacomo",IF(COUNTIF(Asta!$F$4:$F$47,'_Supporto Listone'!B348)&gt;0,"Niko",IF(COUNTIF(Asta!$H$4:$H$47,'_Supporto Listone'!B348)&gt;0,"Quici",IF(COUNTIF(Asta!$J$4:$J$47,'_Supporto Listone'!B348)&gt;0,"Fratello Quici",IF(COUNTIF(Asta!$L$4:$L$47,'_Supporto Listone'!B348)&gt;0,"Nicolò",IF(COUNTIF(Asta!$N$4:$N$47,'_Supporto Listone'!B348)&gt;0,"Vi",IF(COUNTIF(Asta!$P$4:$P$47,'_Supporto Listone'!B348)&gt;0,"Lore",IF(COUNTIF(Asta!$R$4:$R$47,'_Supporto Listone'!B348)&gt;0,"Robbo",IF(COUNTIF(Asta!$T$4:$T$47,'_Supporto Listone'!B348)&gt;0,"Ale",""))))))))))</x:f>
      </x:c>
      <x:c r="K348" s="495" t="str">
        <x:f>IF(COUNTIF(Asta!$B$4:$B$47,'_Supporto Listone'!B348)&gt;0,INDEX(Asta!$C$4:$C$47,MATCH('_Supporto Listone'!B348,Asta!$B$4:$B$47,0)),IF(COUNTIF(Asta!$D$4:$D$47,'_Supporto Listone'!B348)&gt;0,INDEX(Asta!$E$4:$E$47,MATCH('_Supporto Listone'!B348,Asta!$D$4:$D$47,0)),IF(COUNTIF(Asta!$F$4:$F$47,'_Supporto Listone'!B348)&gt;0,INDEX(Asta!$G$4:$G$47,MATCH('_Supporto Listone'!B348,Asta!$F$4:$F$47,0)),IF(COUNTIF(Asta!$H$4:$H$47,'_Supporto Listone'!B348)&gt;0,INDEX(Asta!$I$4:$I$47,MATCH('_Supporto Listone'!B348,Asta!$H$4:$H$47,0)),IF(COUNTIF(Asta!$J$4:$J$47,'_Supporto Listone'!B348)&gt;0,INDEX(Asta!$K$4:$K$47,MATCH('_Supporto Listone'!B348,Asta!$J$4:$J$47,0)),IF(COUNTIF(Asta!$L$4:$L$47,'_Supporto Listone'!B348)&gt;0,INDEX(Asta!$M$4:$M$47,MATCH('_Supporto Listone'!B348,Asta!$L$4:$L$47,0)),IF(COUNTIF(Asta!$N$4:$N$47,'_Supporto Listone'!B348)&gt;0,INDEX(Asta!$O$4:$O$47,MATCH('_Supporto Listone'!B348,Asta!$N$4:$N$47,0)),IF(COUNTIF(Asta!$P$4:$P$47,'_Supporto Listone'!B348)&gt;0,INDEX(Asta!$Q$4:$Q$47,MATCH('_Supporto Listone'!B348,Asta!$P$4:$P$47,0)),IF(COUNTIF(Asta!$R$4:$R$47,'_Supporto Listone'!B348)&gt;0,INDEX(Asta!$S$4:$S$47,MATCH('_Supporto Listone'!B348,Asta!$R$4:$R$47,0)),IF(COUNTIF(Asta!$T$4:$T$47,'_Supporto Listone'!B348)&gt;0,INDEX(Asta!$U$4:$U$47,MATCH('_Supporto Listone'!B348,Asta!$T$4:$T$47,0)),""))))))))))</x:f>
      </x:c>
    </x:row>
    <x:row r="349">
      <x:c r="A349" s="440" t="str">
        <x:f>IF($J349&lt;&gt;"",REGEXREPLACE(TO_TEXT('_Supporto Listone'!A349),"(.)","$1"&amp;UNICHAR(822)),'_Supporto Listone'!A349)</x:f>
        <x:v>C</x:v>
      </x:c>
      <x:c r="B349" s="441" t="str">
        <x:f>IF($J349&lt;&gt;"",REGEXREPLACE(TO_TEXT('_Supporto Listone'!B349),"(.)","$1"&amp;UNICHAR(822)),'_Supporto Listone'!B349)</x:f>
        <x:v>Matic</x:v>
      </x:c>
      <x:c r="C349" s="441" t="str">
        <x:f>IF($J349&lt;&gt;"",REGEXREPLACE(TO_TEXT('_Supporto Listone'!C349),"(.)","$1"&amp;UNICHAR(822)),'_Supporto Listone'!C349)</x:f>
        <x:v>Sassuolo</x:v>
      </x:c>
      <x:c r="D349" s="441" t="str">
        <x:f>IF($J349&lt;&gt;"",REGEXREPLACE(TO_TEXT('_Supporto Listone'!D349),"(.)","$1"&amp;UNICHAR(822)),'_Supporto Listone'!D349)</x:f>
        <x:v>M;C</x:v>
      </x:c>
      <x:c r="E349" s="441" t="str">
        <x:f>IF($J349&lt;&gt;"",REGEXREPLACE(TO_TEXT('_Supporto Listone'!E349),"(.)","$1"&amp;UNICHAR(822)),'_Supporto Listone'!E349)</x:f>
        <x:v>Titolare</x:v>
      </x:c>
      <x:c r="F349" s="464" t="n">
        <x:f>IF($J349&lt;&gt;"",REGEXREPLACE(TO_TEXT('_Supporto Listone'!F349),"(.)","$1"&amp;UNICHAR(822)),'_Supporto Listone'!F349)</x:f>
        <x:v>5</x:v>
      </x:c>
      <x:c r="G349" s="464" t="n">
        <x:f>IF($J349&lt;&gt;"",REGEXREPLACE(TO_TEXT('_Supporto Listone'!G349),"(.)","$1"&amp;UNICHAR(822)),'_Supporto Listone'!G349)</x:f>
        <x:v>15</x:v>
      </x:c>
      <x:c r="H349" s="464" t="n">
        <x:f>IF($J349&lt;&gt;"",REGEXREPLACE(TO_TEXT('_Supporto Listone'!H349),"(.)","$1"&amp;UNICHAR(822)),'_Supporto Listone'!H349)</x:f>
        <x:v>8</x:v>
      </x:c>
      <x:c r="I349" s="442"/>
      <x:c r="J349" s="441" t="str">
        <x:f>IF(COUNTIF(Asta!$B$4:$B$47,'_Supporto Listone'!B349)&gt;0,"Simone",IF(COUNTIF(Asta!$D$4:$D$47,'_Supporto Listone'!B349)&gt;0,"Giacomo",IF(COUNTIF(Asta!$F$4:$F$47,'_Supporto Listone'!B349)&gt;0,"Niko",IF(COUNTIF(Asta!$H$4:$H$47,'_Supporto Listone'!B349)&gt;0,"Quici",IF(COUNTIF(Asta!$J$4:$J$47,'_Supporto Listone'!B349)&gt;0,"Fratello Quici",IF(COUNTIF(Asta!$L$4:$L$47,'_Supporto Listone'!B349)&gt;0,"Nicolò",IF(COUNTIF(Asta!$N$4:$N$47,'_Supporto Listone'!B349)&gt;0,"Vi",IF(COUNTIF(Asta!$P$4:$P$47,'_Supporto Listone'!B349)&gt;0,"Lore",IF(COUNTIF(Asta!$R$4:$R$47,'_Supporto Listone'!B349)&gt;0,"Robbo",IF(COUNTIF(Asta!$T$4:$T$47,'_Supporto Listone'!B349)&gt;0,"Ale",""))))))))))</x:f>
      </x:c>
      <x:c r="K349" s="495" t="str">
        <x:f>IF(COUNTIF(Asta!$B$4:$B$47,'_Supporto Listone'!B349)&gt;0,INDEX(Asta!$C$4:$C$47,MATCH('_Supporto Listone'!B349,Asta!$B$4:$B$47,0)),IF(COUNTIF(Asta!$D$4:$D$47,'_Supporto Listone'!B349)&gt;0,INDEX(Asta!$E$4:$E$47,MATCH('_Supporto Listone'!B349,Asta!$D$4:$D$47,0)),IF(COUNTIF(Asta!$F$4:$F$47,'_Supporto Listone'!B349)&gt;0,INDEX(Asta!$G$4:$G$47,MATCH('_Supporto Listone'!B349,Asta!$F$4:$F$47,0)),IF(COUNTIF(Asta!$H$4:$H$47,'_Supporto Listone'!B349)&gt;0,INDEX(Asta!$I$4:$I$47,MATCH('_Supporto Listone'!B349,Asta!$H$4:$H$47,0)),IF(COUNTIF(Asta!$J$4:$J$47,'_Supporto Listone'!B349)&gt;0,INDEX(Asta!$K$4:$K$47,MATCH('_Supporto Listone'!B349,Asta!$J$4:$J$47,0)),IF(COUNTIF(Asta!$L$4:$L$47,'_Supporto Listone'!B349)&gt;0,INDEX(Asta!$M$4:$M$47,MATCH('_Supporto Listone'!B349,Asta!$L$4:$L$47,0)),IF(COUNTIF(Asta!$N$4:$N$47,'_Supporto Listone'!B349)&gt;0,INDEX(Asta!$O$4:$O$47,MATCH('_Supporto Listone'!B349,Asta!$N$4:$N$47,0)),IF(COUNTIF(Asta!$P$4:$P$47,'_Supporto Listone'!B349)&gt;0,INDEX(Asta!$Q$4:$Q$47,MATCH('_Supporto Listone'!B349,Asta!$P$4:$P$47,0)),IF(COUNTIF(Asta!$R$4:$R$47,'_Supporto Listone'!B349)&gt;0,INDEX(Asta!$S$4:$S$47,MATCH('_Supporto Listone'!B349,Asta!$R$4:$R$47,0)),IF(COUNTIF(Asta!$T$4:$T$47,'_Supporto Listone'!B349)&gt;0,INDEX(Asta!$U$4:$U$47,MATCH('_Supporto Listone'!B349,Asta!$T$4:$T$47,0)),""))))))))))</x:f>
      </x:c>
    </x:row>
    <x:row r="350">
      <x:c r="A350" s="440" t="str">
        <x:f>IF($J350&lt;&gt;"",REGEXREPLACE(TO_TEXT('_Supporto Listone'!A350),"(.)","$1"&amp;UNICHAR(822)),'_Supporto Listone'!A350)</x:f>
        <x:v>C</x:v>
      </x:c>
      <x:c r="B350" s="441" t="str">
        <x:f>IF($J350&lt;&gt;"",REGEXREPLACE(TO_TEXT('_Supporto Listone'!B350),"(.)","$1"&amp;UNICHAR(822)),'_Supporto Listone'!B350)</x:f>
        <x:v>Cacciamani</x:v>
      </x:c>
      <x:c r="C350" s="441" t="str">
        <x:f>IF($J350&lt;&gt;"",REGEXREPLACE(TO_TEXT('_Supporto Listone'!C350),"(.)","$1"&amp;UNICHAR(822)),'_Supporto Listone'!C350)</x:f>
        <x:v>Torino</x:v>
      </x:c>
      <x:c r="D350" s="441" t="str">
        <x:f>IF($J350&lt;&gt;"",REGEXREPLACE(TO_TEXT('_Supporto Listone'!D350),"(.)","$1"&amp;UNICHAR(822)),'_Supporto Listone'!D350)</x:f>
        <x:v>E;W</x:v>
      </x:c>
      <x:c r="E350" s="441" t="str">
        <x:f>IF($J350&lt;&gt;"",REGEXREPLACE(TO_TEXT('_Supporto Listone'!E350),"(.)","$1"&amp;UNICHAR(822)),'_Supporto Listone'!E350)</x:f>
        <x:v>Titolare / ballottaggio</x:v>
      </x:c>
      <x:c r="F350" s="464" t="n">
        <x:f>IF($J350&lt;&gt;"",REGEXREPLACE(TO_TEXT('_Supporto Listone'!F350),"(.)","$1"&amp;UNICHAR(822)),'_Supporto Listone'!F350)</x:f>
        <x:v>5</x:v>
      </x:c>
      <x:c r="G350" s="464" t="n">
        <x:f>IF($J350&lt;&gt;"",REGEXREPLACE(TO_TEXT('_Supporto Listone'!G350),"(.)","$1"&amp;UNICHAR(822)),'_Supporto Listone'!G350)</x:f>
        <x:v>18</x:v>
      </x:c>
      <x:c r="H350" s="464" t="n">
        <x:f>IF($J350&lt;&gt;"",REGEXREPLACE(TO_TEXT('_Supporto Listone'!H350),"(.)","$1"&amp;UNICHAR(822)),'_Supporto Listone'!H350)</x:f>
        <x:v>9</x:v>
      </x:c>
      <x:c r="I350" s="442"/>
      <x:c r="J350" s="441" t="str">
        <x:f>IF(COUNTIF(Asta!$B$4:$B$47,'_Supporto Listone'!B350)&gt;0,"Simone",IF(COUNTIF(Asta!$D$4:$D$47,'_Supporto Listone'!B350)&gt;0,"Giacomo",IF(COUNTIF(Asta!$F$4:$F$47,'_Supporto Listone'!B350)&gt;0,"Niko",IF(COUNTIF(Asta!$H$4:$H$47,'_Supporto Listone'!B350)&gt;0,"Quici",IF(COUNTIF(Asta!$J$4:$J$47,'_Supporto Listone'!B350)&gt;0,"Fratello Quici",IF(COUNTIF(Asta!$L$4:$L$47,'_Supporto Listone'!B350)&gt;0,"Nicolò",IF(COUNTIF(Asta!$N$4:$N$47,'_Supporto Listone'!B350)&gt;0,"Vi",IF(COUNTIF(Asta!$P$4:$P$47,'_Supporto Listone'!B350)&gt;0,"Lore",IF(COUNTIF(Asta!$R$4:$R$47,'_Supporto Listone'!B350)&gt;0,"Robbo",IF(COUNTIF(Asta!$T$4:$T$47,'_Supporto Listone'!B350)&gt;0,"Ale",""))))))))))</x:f>
      </x:c>
      <x:c r="K350" s="495" t="str">
        <x:f>IF(COUNTIF(Asta!$B$4:$B$47,'_Supporto Listone'!B350)&gt;0,INDEX(Asta!$C$4:$C$47,MATCH('_Supporto Listone'!B350,Asta!$B$4:$B$47,0)),IF(COUNTIF(Asta!$D$4:$D$47,'_Supporto Listone'!B350)&gt;0,INDEX(Asta!$E$4:$E$47,MATCH('_Supporto Listone'!B350,Asta!$D$4:$D$47,0)),IF(COUNTIF(Asta!$F$4:$F$47,'_Supporto Listone'!B350)&gt;0,INDEX(Asta!$G$4:$G$47,MATCH('_Supporto Listone'!B350,Asta!$F$4:$F$47,0)),IF(COUNTIF(Asta!$H$4:$H$47,'_Supporto Listone'!B350)&gt;0,INDEX(Asta!$I$4:$I$47,MATCH('_Supporto Listone'!B350,Asta!$H$4:$H$47,0)),IF(COUNTIF(Asta!$J$4:$J$47,'_Supporto Listone'!B350)&gt;0,INDEX(Asta!$K$4:$K$47,MATCH('_Supporto Listone'!B350,Asta!$J$4:$J$47,0)),IF(COUNTIF(Asta!$L$4:$L$47,'_Supporto Listone'!B350)&gt;0,INDEX(Asta!$M$4:$M$47,MATCH('_Supporto Listone'!B350,Asta!$L$4:$L$47,0)),IF(COUNTIF(Asta!$N$4:$N$47,'_Supporto Listone'!B350)&gt;0,INDEX(Asta!$O$4:$O$47,MATCH('_Supporto Listone'!B350,Asta!$N$4:$N$47,0)),IF(COUNTIF(Asta!$P$4:$P$47,'_Supporto Listone'!B350)&gt;0,INDEX(Asta!$Q$4:$Q$47,MATCH('_Supporto Listone'!B350,Asta!$P$4:$P$47,0)),IF(COUNTIF(Asta!$R$4:$R$47,'_Supporto Listone'!B350)&gt;0,INDEX(Asta!$S$4:$S$47,MATCH('_Supporto Listone'!B350,Asta!$R$4:$R$47,0)),IF(COUNTIF(Asta!$T$4:$T$47,'_Supporto Listone'!B350)&gt;0,INDEX(Asta!$U$4:$U$47,MATCH('_Supporto Listone'!B350,Asta!$T$4:$T$47,0)),""))))))))))</x:f>
      </x:c>
    </x:row>
    <x:row r="351">
      <x:c r="A351" s="440" t="str">
        <x:f>IF($J351&lt;&gt;"",REGEXREPLACE(TO_TEXT('_Supporto Listone'!A351),"(.)","$1"&amp;UNICHAR(822)),'_Supporto Listone'!A351)</x:f>
        <x:v>C</x:v>
      </x:c>
      <x:c r="B351" s="441" t="str">
        <x:f>IF($J351&lt;&gt;"",REGEXREPLACE(TO_TEXT('_Supporto Listone'!B351),"(.)","$1"&amp;UNICHAR(822)),'_Supporto Listone'!B351)</x:f>
        <x:v>Gineitis</x:v>
      </x:c>
      <x:c r="C351" s="441" t="str">
        <x:f>IF($J351&lt;&gt;"",REGEXREPLACE(TO_TEXT('_Supporto Listone'!C351),"(.)","$1"&amp;UNICHAR(822)),'_Supporto Listone'!C351)</x:f>
        <x:v>Torino</x:v>
      </x:c>
      <x:c r="D351" s="441" t="str">
        <x:f>IF($J351&lt;&gt;"",REGEXREPLACE(TO_TEXT('_Supporto Listone'!D351),"(.)","$1"&amp;UNICHAR(822)),'_Supporto Listone'!D351)</x:f>
        <x:v>M;C</x:v>
      </x:c>
      <x:c r="E351" s="441" t="str">
        <x:f>IF($J351&lt;&gt;"",REGEXREPLACE(TO_TEXT('_Supporto Listone'!E351),"(.)","$1"&amp;UNICHAR(822)),'_Supporto Listone'!E351)</x:f>
        <x:v>Riserva / rotazione</x:v>
      </x:c>
      <x:c r="F351" s="464" t="n">
        <x:f>IF($J351&lt;&gt;"",REGEXREPLACE(TO_TEXT('_Supporto Listone'!F351),"(.)","$1"&amp;UNICHAR(822)),'_Supporto Listone'!F351)</x:f>
        <x:v>5</x:v>
      </x:c>
      <x:c r="G351" s="464" t="n">
        <x:f>IF($J351&lt;&gt;"",REGEXREPLACE(TO_TEXT('_Supporto Listone'!G351),"(.)","$1"&amp;UNICHAR(822)),'_Supporto Listone'!G351)</x:f>
        <x:v>13</x:v>
      </x:c>
      <x:c r="H351" s="464" t="n">
        <x:f>IF($J351&lt;&gt;"",REGEXREPLACE(TO_TEXT('_Supporto Listone'!H351),"(.)","$1"&amp;UNICHAR(822)),'_Supporto Listone'!H351)</x:f>
        <x:v>7</x:v>
      </x:c>
      <x:c r="I351" s="442" t="str">
        <x:f>IF($J351&lt;&gt;"",REGEXREPLACE(TO_TEXT('_Supporto Listone'!I351),"(.)","$1"&amp;UNICHAR(822)),'_Supporto Listone'!I351)</x:f>
        <x:v>Piazzati</x:v>
      </x:c>
      <x:c r="J351" s="441" t="str">
        <x:f>IF(COUNTIF(Asta!$B$4:$B$47,'_Supporto Listone'!B351)&gt;0,"Simone",IF(COUNTIF(Asta!$D$4:$D$47,'_Supporto Listone'!B351)&gt;0,"Giacomo",IF(COUNTIF(Asta!$F$4:$F$47,'_Supporto Listone'!B351)&gt;0,"Niko",IF(COUNTIF(Asta!$H$4:$H$47,'_Supporto Listone'!B351)&gt;0,"Quici",IF(COUNTIF(Asta!$J$4:$J$47,'_Supporto Listone'!B351)&gt;0,"Fratello Quici",IF(COUNTIF(Asta!$L$4:$L$47,'_Supporto Listone'!B351)&gt;0,"Nicolò",IF(COUNTIF(Asta!$N$4:$N$47,'_Supporto Listone'!B351)&gt;0,"Vi",IF(COUNTIF(Asta!$P$4:$P$47,'_Supporto Listone'!B351)&gt;0,"Lore",IF(COUNTIF(Asta!$R$4:$R$47,'_Supporto Listone'!B351)&gt;0,"Robbo",IF(COUNTIF(Asta!$T$4:$T$47,'_Supporto Listone'!B351)&gt;0,"Ale",""))))))))))</x:f>
      </x:c>
      <x:c r="K351" s="495" t="str">
        <x:f>IF(COUNTIF(Asta!$B$4:$B$47,'_Supporto Listone'!B351)&gt;0,INDEX(Asta!$C$4:$C$47,MATCH('_Supporto Listone'!B351,Asta!$B$4:$B$47,0)),IF(COUNTIF(Asta!$D$4:$D$47,'_Supporto Listone'!B351)&gt;0,INDEX(Asta!$E$4:$E$47,MATCH('_Supporto Listone'!B351,Asta!$D$4:$D$47,0)),IF(COUNTIF(Asta!$F$4:$F$47,'_Supporto Listone'!B351)&gt;0,INDEX(Asta!$G$4:$G$47,MATCH('_Supporto Listone'!B351,Asta!$F$4:$F$47,0)),IF(COUNTIF(Asta!$H$4:$H$47,'_Supporto Listone'!B351)&gt;0,INDEX(Asta!$I$4:$I$47,MATCH('_Supporto Listone'!B351,Asta!$H$4:$H$47,0)),IF(COUNTIF(Asta!$J$4:$J$47,'_Supporto Listone'!B351)&gt;0,INDEX(Asta!$K$4:$K$47,MATCH('_Supporto Listone'!B351,Asta!$J$4:$J$47,0)),IF(COUNTIF(Asta!$L$4:$L$47,'_Supporto Listone'!B351)&gt;0,INDEX(Asta!$M$4:$M$47,MATCH('_Supporto Listone'!B351,Asta!$L$4:$L$47,0)),IF(COUNTIF(Asta!$N$4:$N$47,'_Supporto Listone'!B351)&gt;0,INDEX(Asta!$O$4:$O$47,MATCH('_Supporto Listone'!B351,Asta!$N$4:$N$47,0)),IF(COUNTIF(Asta!$P$4:$P$47,'_Supporto Listone'!B351)&gt;0,INDEX(Asta!$Q$4:$Q$47,MATCH('_Supporto Listone'!B351,Asta!$P$4:$P$47,0)),IF(COUNTIF(Asta!$R$4:$R$47,'_Supporto Listone'!B351)&gt;0,INDEX(Asta!$S$4:$S$47,MATCH('_Supporto Listone'!B351,Asta!$R$4:$R$47,0)),IF(COUNTIF(Asta!$T$4:$T$47,'_Supporto Listone'!B351)&gt;0,INDEX(Asta!$U$4:$U$47,MATCH('_Supporto Listone'!B351,Asta!$T$4:$T$47,0)),""))))))))))</x:f>
      </x:c>
    </x:row>
    <x:row r="352">
      <x:c r="A352" s="440" t="str">
        <x:f>IF($J352&lt;&gt;"",REGEXREPLACE(TO_TEXT('_Supporto Listone'!A352),"(.)","$1"&amp;UNICHAR(822)),'_Supporto Listone'!A352)</x:f>
        <x:v>C</x:v>
      </x:c>
      <x:c r="B352" s="441" t="str">
        <x:f>IF($J352&lt;&gt;"",REGEXREPLACE(TO_TEXT('_Supporto Listone'!B352),"(.)","$1"&amp;UNICHAR(822)),'_Supporto Listone'!B352)</x:f>
        <x:v>Piotrowski</x:v>
      </x:c>
      <x:c r="C352" s="441" t="str">
        <x:f>IF($J352&lt;&gt;"",REGEXREPLACE(TO_TEXT('_Supporto Listone'!C352),"(.)","$1"&amp;UNICHAR(822)),'_Supporto Listone'!C352)</x:f>
        <x:v>Udinese</x:v>
      </x:c>
      <x:c r="D352" s="441" t="str">
        <x:f>IF($J352&lt;&gt;"",REGEXREPLACE(TO_TEXT('_Supporto Listone'!D352),"(.)","$1"&amp;UNICHAR(822)),'_Supporto Listone'!D352)</x:f>
        <x:v>M;C</x:v>
      </x:c>
      <x:c r="E352" s="441" t="str">
        <x:f>IF($J352&lt;&gt;"",REGEXREPLACE(TO_TEXT('_Supporto Listone'!E352),"(.)","$1"&amp;UNICHAR(822)),'_Supporto Listone'!E352)</x:f>
        <x:v>Titolare / ballottaggio</x:v>
      </x:c>
      <x:c r="F352" s="464" t="n">
        <x:f>IF($J352&lt;&gt;"",REGEXREPLACE(TO_TEXT('_Supporto Listone'!F352),"(.)","$1"&amp;UNICHAR(822)),'_Supporto Listone'!F352)</x:f>
        <x:v>5</x:v>
      </x:c>
      <x:c r="G352" s="464" t="n">
        <x:f>IF($J352&lt;&gt;"",REGEXREPLACE(TO_TEXT('_Supporto Listone'!G352),"(.)","$1"&amp;UNICHAR(822)),'_Supporto Listone'!G352)</x:f>
        <x:v>15</x:v>
      </x:c>
      <x:c r="H352" s="464" t="n">
        <x:f>IF($J352&lt;&gt;"",REGEXREPLACE(TO_TEXT('_Supporto Listone'!H352),"(.)","$1"&amp;UNICHAR(822)),'_Supporto Listone'!H352)</x:f>
        <x:v>8</x:v>
      </x:c>
      <x:c r="I352" s="442"/>
      <x:c r="J352" s="441" t="str">
        <x:f>IF(COUNTIF(Asta!$B$4:$B$47,'_Supporto Listone'!B352)&gt;0,"Simone",IF(COUNTIF(Asta!$D$4:$D$47,'_Supporto Listone'!B352)&gt;0,"Giacomo",IF(COUNTIF(Asta!$F$4:$F$47,'_Supporto Listone'!B352)&gt;0,"Niko",IF(COUNTIF(Asta!$H$4:$H$47,'_Supporto Listone'!B352)&gt;0,"Quici",IF(COUNTIF(Asta!$J$4:$J$47,'_Supporto Listone'!B352)&gt;0,"Fratello Quici",IF(COUNTIF(Asta!$L$4:$L$47,'_Supporto Listone'!B352)&gt;0,"Nicolò",IF(COUNTIF(Asta!$N$4:$N$47,'_Supporto Listone'!B352)&gt;0,"Vi",IF(COUNTIF(Asta!$P$4:$P$47,'_Supporto Listone'!B352)&gt;0,"Lore",IF(COUNTIF(Asta!$R$4:$R$47,'_Supporto Listone'!B352)&gt;0,"Robbo",IF(COUNTIF(Asta!$T$4:$T$47,'_Supporto Listone'!B352)&gt;0,"Ale",""))))))))))</x:f>
      </x:c>
      <x:c r="K352" s="495" t="str">
        <x:f>IF(COUNTIF(Asta!$B$4:$B$47,'_Supporto Listone'!B352)&gt;0,INDEX(Asta!$C$4:$C$47,MATCH('_Supporto Listone'!B352,Asta!$B$4:$B$47,0)),IF(COUNTIF(Asta!$D$4:$D$47,'_Supporto Listone'!B352)&gt;0,INDEX(Asta!$E$4:$E$47,MATCH('_Supporto Listone'!B352,Asta!$D$4:$D$47,0)),IF(COUNTIF(Asta!$F$4:$F$47,'_Supporto Listone'!B352)&gt;0,INDEX(Asta!$G$4:$G$47,MATCH('_Supporto Listone'!B352,Asta!$F$4:$F$47,0)),IF(COUNTIF(Asta!$H$4:$H$47,'_Supporto Listone'!B352)&gt;0,INDEX(Asta!$I$4:$I$47,MATCH('_Supporto Listone'!B352,Asta!$H$4:$H$47,0)),IF(COUNTIF(Asta!$J$4:$J$47,'_Supporto Listone'!B352)&gt;0,INDEX(Asta!$K$4:$K$47,MATCH('_Supporto Listone'!B352,Asta!$J$4:$J$47,0)),IF(COUNTIF(Asta!$L$4:$L$47,'_Supporto Listone'!B352)&gt;0,INDEX(Asta!$M$4:$M$47,MATCH('_Supporto Listone'!B352,Asta!$L$4:$L$47,0)),IF(COUNTIF(Asta!$N$4:$N$47,'_Supporto Listone'!B352)&gt;0,INDEX(Asta!$O$4:$O$47,MATCH('_Supporto Listone'!B352,Asta!$N$4:$N$47,0)),IF(COUNTIF(Asta!$P$4:$P$47,'_Supporto Listone'!B352)&gt;0,INDEX(Asta!$Q$4:$Q$47,MATCH('_Supporto Listone'!B352,Asta!$P$4:$P$47,0)),IF(COUNTIF(Asta!$R$4:$R$47,'_Supporto Listone'!B352)&gt;0,INDEX(Asta!$S$4:$S$47,MATCH('_Supporto Listone'!B352,Asta!$R$4:$R$47,0)),IF(COUNTIF(Asta!$T$4:$T$47,'_Supporto Listone'!B352)&gt;0,INDEX(Asta!$U$4:$U$47,MATCH('_Supporto Listone'!B352,Asta!$T$4:$T$47,0)),""))))))))))</x:f>
      </x:c>
    </x:row>
    <x:row r="353">
      <x:c r="A353" s="440" t="str">
        <x:f>IF($J353&lt;&gt;"",REGEXREPLACE(TO_TEXT('_Supporto Listone'!A353),"(.)","$1"&amp;UNICHAR(822)),'_Supporto Listone'!A353)</x:f>
        <x:v>C</x:v>
      </x:c>
      <x:c r="B353" s="441" t="str">
        <x:f>IF($J353&lt;&gt;"",REGEXREPLACE(TO_TEXT('_Supporto Listone'!B353),"(.)","$1"&amp;UNICHAR(822)),'_Supporto Listone'!B353)</x:f>
        <x:v>Busio</x:v>
      </x:c>
      <x:c r="C353" s="441" t="str">
        <x:f>IF($J353&lt;&gt;"",REGEXREPLACE(TO_TEXT('_Supporto Listone'!C353),"(.)","$1"&amp;UNICHAR(822)),'_Supporto Listone'!C353)</x:f>
        <x:v>Venezia</x:v>
      </x:c>
      <x:c r="D353" s="441" t="str">
        <x:f>IF($J353&lt;&gt;"",REGEXREPLACE(TO_TEXT('_Supporto Listone'!D353),"(.)","$1"&amp;UNICHAR(822)),'_Supporto Listone'!D353)</x:f>
        <x:v>M;C</x:v>
      </x:c>
      <x:c r="E353" s="441" t="str">
        <x:f>IF($J353&lt;&gt;"",REGEXREPLACE(TO_TEXT('_Supporto Listone'!E353),"(.)","$1"&amp;UNICHAR(822)),'_Supporto Listone'!E353)</x:f>
        <x:v>Titolare</x:v>
      </x:c>
      <x:c r="F353" s="464" t="n">
        <x:f>IF($J353&lt;&gt;"",REGEXREPLACE(TO_TEXT('_Supporto Listone'!F353),"(.)","$1"&amp;UNICHAR(822)),'_Supporto Listone'!F353)</x:f>
        <x:v>5</x:v>
      </x:c>
      <x:c r="G353" s="464" t="n">
        <x:f>IF($J353&lt;&gt;"",REGEXREPLACE(TO_TEXT('_Supporto Listone'!G353),"(.)","$1"&amp;UNICHAR(822)),'_Supporto Listone'!G353)</x:f>
        <x:v>14</x:v>
      </x:c>
      <x:c r="H353" s="464" t="n">
        <x:f>IF($J353&lt;&gt;"",REGEXREPLACE(TO_TEXT('_Supporto Listone'!H353),"(.)","$1"&amp;UNICHAR(822)),'_Supporto Listone'!H353)</x:f>
        <x:v>7</x:v>
      </x:c>
      <x:c r="I353" s="442" t="str">
        <x:f>IF($J353&lt;&gt;"",REGEXREPLACE(TO_TEXT('_Supporto Listone'!I353),"(.)","$1"&amp;UNICHAR(822)),'_Supporto Listone'!I353)</x:f>
        <x:v>Rigorista · Piazzati</x:v>
      </x:c>
      <x:c r="J353" s="441" t="str">
        <x:f>IF(COUNTIF(Asta!$B$4:$B$47,'_Supporto Listone'!B353)&gt;0,"Simone",IF(COUNTIF(Asta!$D$4:$D$47,'_Supporto Listone'!B353)&gt;0,"Giacomo",IF(COUNTIF(Asta!$F$4:$F$47,'_Supporto Listone'!B353)&gt;0,"Niko",IF(COUNTIF(Asta!$H$4:$H$47,'_Supporto Listone'!B353)&gt;0,"Quici",IF(COUNTIF(Asta!$J$4:$J$47,'_Supporto Listone'!B353)&gt;0,"Fratello Quici",IF(COUNTIF(Asta!$L$4:$L$47,'_Supporto Listone'!B353)&gt;0,"Nicolò",IF(COUNTIF(Asta!$N$4:$N$47,'_Supporto Listone'!B353)&gt;0,"Vi",IF(COUNTIF(Asta!$P$4:$P$47,'_Supporto Listone'!B353)&gt;0,"Lore",IF(COUNTIF(Asta!$R$4:$R$47,'_Supporto Listone'!B353)&gt;0,"Robbo",IF(COUNTIF(Asta!$T$4:$T$47,'_Supporto Listone'!B353)&gt;0,"Ale",""))))))))))</x:f>
      </x:c>
      <x:c r="K353" s="495" t="str">
        <x:f>IF(COUNTIF(Asta!$B$4:$B$47,'_Supporto Listone'!B353)&gt;0,INDEX(Asta!$C$4:$C$47,MATCH('_Supporto Listone'!B353,Asta!$B$4:$B$47,0)),IF(COUNTIF(Asta!$D$4:$D$47,'_Supporto Listone'!B353)&gt;0,INDEX(Asta!$E$4:$E$47,MATCH('_Supporto Listone'!B353,Asta!$D$4:$D$47,0)),IF(COUNTIF(Asta!$F$4:$F$47,'_Supporto Listone'!B353)&gt;0,INDEX(Asta!$G$4:$G$47,MATCH('_Supporto Listone'!B353,Asta!$F$4:$F$47,0)),IF(COUNTIF(Asta!$H$4:$H$47,'_Supporto Listone'!B353)&gt;0,INDEX(Asta!$I$4:$I$47,MATCH('_Supporto Listone'!B353,Asta!$H$4:$H$47,0)),IF(COUNTIF(Asta!$J$4:$J$47,'_Supporto Listone'!B353)&gt;0,INDEX(Asta!$K$4:$K$47,MATCH('_Supporto Listone'!B353,Asta!$J$4:$J$47,0)),IF(COUNTIF(Asta!$L$4:$L$47,'_Supporto Listone'!B353)&gt;0,INDEX(Asta!$M$4:$M$47,MATCH('_Supporto Listone'!B353,Asta!$L$4:$L$47,0)),IF(COUNTIF(Asta!$N$4:$N$47,'_Supporto Listone'!B353)&gt;0,INDEX(Asta!$O$4:$O$47,MATCH('_Supporto Listone'!B353,Asta!$N$4:$N$47,0)),IF(COUNTIF(Asta!$P$4:$P$47,'_Supporto Listone'!B353)&gt;0,INDEX(Asta!$Q$4:$Q$47,MATCH('_Supporto Listone'!B353,Asta!$P$4:$P$47,0)),IF(COUNTIF(Asta!$R$4:$R$47,'_Supporto Listone'!B353)&gt;0,INDEX(Asta!$S$4:$S$47,MATCH('_Supporto Listone'!B353,Asta!$R$4:$R$47,0)),IF(COUNTIF(Asta!$T$4:$T$47,'_Supporto Listone'!B353)&gt;0,INDEX(Asta!$U$4:$U$47,MATCH('_Supporto Listone'!B353,Asta!$T$4:$T$47,0)),""))))))))))</x:f>
      </x:c>
    </x:row>
    <x:row r="354">
      <x:c r="A354" s="440" t="str">
        <x:f>IF($J354&lt;&gt;"",REGEXREPLACE(TO_TEXT('_Supporto Listone'!A354),"(.)","$1"&amp;UNICHAR(822)),'_Supporto Listone'!A354)</x:f>
        <x:v>C</x:v>
      </x:c>
      <x:c r="B354" s="441" t="str">
        <x:f>IF($J354&lt;&gt;"",REGEXREPLACE(TO_TEXT('_Supporto Listone'!B354),"(.)","$1"&amp;UNICHAR(822)),'_Supporto Listone'!B354)</x:f>
        <x:v>Perez K.</x:v>
      </x:c>
      <x:c r="C354" s="441" t="str">
        <x:f>IF($J354&lt;&gt;"",REGEXREPLACE(TO_TEXT('_Supporto Listone'!C354),"(.)","$1"&amp;UNICHAR(822)),'_Supporto Listone'!C354)</x:f>
        <x:v>Venezia</x:v>
      </x:c>
      <x:c r="D354" s="441" t="str">
        <x:f>IF($J354&lt;&gt;"",REGEXREPLACE(TO_TEXT('_Supporto Listone'!D354),"(.)","$1"&amp;UNICHAR(822)),'_Supporto Listone'!D354)</x:f>
        <x:v>C;T</x:v>
      </x:c>
      <x:c r="E354" s="441" t="str">
        <x:f>IF($J354&lt;&gt;"",REGEXREPLACE(TO_TEXT('_Supporto Listone'!E354),"(.)","$1"&amp;UNICHAR(822)),'_Supporto Listone'!E354)</x:f>
        <x:v>Titolare / ballottaggio</x:v>
      </x:c>
      <x:c r="F354" s="464" t="n">
        <x:f>IF($J354&lt;&gt;"",REGEXREPLACE(TO_TEXT('_Supporto Listone'!F354),"(.)","$1"&amp;UNICHAR(822)),'_Supporto Listone'!F354)</x:f>
        <x:v>5</x:v>
      </x:c>
      <x:c r="G354" s="464" t="n">
        <x:f>IF($J354&lt;&gt;"",REGEXREPLACE(TO_TEXT('_Supporto Listone'!G354),"(.)","$1"&amp;UNICHAR(822)),'_Supporto Listone'!G354)</x:f>
        <x:v>14</x:v>
      </x:c>
      <x:c r="H354" s="464" t="n">
        <x:f>IF($J354&lt;&gt;"",REGEXREPLACE(TO_TEXT('_Supporto Listone'!H354),"(.)","$1"&amp;UNICHAR(822)),'_Supporto Listone'!H354)</x:f>
        <x:v>7</x:v>
      </x:c>
      <x:c r="I354" s="442" t="str">
        <x:f>IF($J354&lt;&gt;"",REGEXREPLACE(TO_TEXT('_Supporto Listone'!I354),"(.)","$1"&amp;UNICHAR(822)),'_Supporto Listone'!I354)</x:f>
        <x:v>Piazzati</x:v>
      </x:c>
      <x:c r="J354" s="441" t="str">
        <x:f>IF(COUNTIF(Asta!$B$4:$B$47,'_Supporto Listone'!B354)&gt;0,"Simone",IF(COUNTIF(Asta!$D$4:$D$47,'_Supporto Listone'!B354)&gt;0,"Giacomo",IF(COUNTIF(Asta!$F$4:$F$47,'_Supporto Listone'!B354)&gt;0,"Niko",IF(COUNTIF(Asta!$H$4:$H$47,'_Supporto Listone'!B354)&gt;0,"Quici",IF(COUNTIF(Asta!$J$4:$J$47,'_Supporto Listone'!B354)&gt;0,"Fratello Quici",IF(COUNTIF(Asta!$L$4:$L$47,'_Supporto Listone'!B354)&gt;0,"Nicolò",IF(COUNTIF(Asta!$N$4:$N$47,'_Supporto Listone'!B354)&gt;0,"Vi",IF(COUNTIF(Asta!$P$4:$P$47,'_Supporto Listone'!B354)&gt;0,"Lore",IF(COUNTIF(Asta!$R$4:$R$47,'_Supporto Listone'!B354)&gt;0,"Robbo",IF(COUNTIF(Asta!$T$4:$T$47,'_Supporto Listone'!B354)&gt;0,"Ale",""))))))))))</x:f>
      </x:c>
      <x:c r="K354" s="495" t="str">
        <x:f>IF(COUNTIF(Asta!$B$4:$B$47,'_Supporto Listone'!B354)&gt;0,INDEX(Asta!$C$4:$C$47,MATCH('_Supporto Listone'!B354,Asta!$B$4:$B$47,0)),IF(COUNTIF(Asta!$D$4:$D$47,'_Supporto Listone'!B354)&gt;0,INDEX(Asta!$E$4:$E$47,MATCH('_Supporto Listone'!B354,Asta!$D$4:$D$47,0)),IF(COUNTIF(Asta!$F$4:$F$47,'_Supporto Listone'!B354)&gt;0,INDEX(Asta!$G$4:$G$47,MATCH('_Supporto Listone'!B354,Asta!$F$4:$F$47,0)),IF(COUNTIF(Asta!$H$4:$H$47,'_Supporto Listone'!B354)&gt;0,INDEX(Asta!$I$4:$I$47,MATCH('_Supporto Listone'!B354,Asta!$H$4:$H$47,0)),IF(COUNTIF(Asta!$J$4:$J$47,'_Supporto Listone'!B354)&gt;0,INDEX(Asta!$K$4:$K$47,MATCH('_Supporto Listone'!B354,Asta!$J$4:$J$47,0)),IF(COUNTIF(Asta!$L$4:$L$47,'_Supporto Listone'!B354)&gt;0,INDEX(Asta!$M$4:$M$47,MATCH('_Supporto Listone'!B354,Asta!$L$4:$L$47,0)),IF(COUNTIF(Asta!$N$4:$N$47,'_Supporto Listone'!B354)&gt;0,INDEX(Asta!$O$4:$O$47,MATCH('_Supporto Listone'!B354,Asta!$N$4:$N$47,0)),IF(COUNTIF(Asta!$P$4:$P$47,'_Supporto Listone'!B354)&gt;0,INDEX(Asta!$Q$4:$Q$47,MATCH('_Supporto Listone'!B354,Asta!$P$4:$P$47,0)),IF(COUNTIF(Asta!$R$4:$R$47,'_Supporto Listone'!B354)&gt;0,INDEX(Asta!$S$4:$S$47,MATCH('_Supporto Listone'!B354,Asta!$R$4:$R$47,0)),IF(COUNTIF(Asta!$T$4:$T$47,'_Supporto Listone'!B354)&gt;0,INDEX(Asta!$U$4:$U$47,MATCH('_Supporto Listone'!B354,Asta!$T$4:$T$47,0)),""))))))))))</x:f>
      </x:c>
    </x:row>
    <x:row r="355">
      <x:c r="A355" s="440" t="str">
        <x:f>IF($J355&lt;&gt;"",REGEXREPLACE(TO_TEXT('_Supporto Listone'!A355),"(.)","$1"&amp;UNICHAR(822)),'_Supporto Listone'!A355)</x:f>
        <x:v>C</x:v>
      </x:c>
      <x:c r="B355" s="441" t="str">
        <x:f>IF($J355&lt;&gt;"",REGEXREPLACE(TO_TEXT('_Supporto Listone'!B355),"(.)","$1"&amp;UNICHAR(822)),'_Supporto Listone'!B355)</x:f>
        <x:v>Sohm</x:v>
      </x:c>
      <x:c r="C355" s="441" t="str">
        <x:f>IF($J355&lt;&gt;"",REGEXREPLACE(TO_TEXT('_Supporto Listone'!C355),"(.)","$1"&amp;UNICHAR(822)),'_Supporto Listone'!C355)</x:f>
        <x:v>Venezia</x:v>
      </x:c>
      <x:c r="D355" s="441" t="str">
        <x:f>IF($J355&lt;&gt;"",REGEXREPLACE(TO_TEXT('_Supporto Listone'!D355),"(.)","$1"&amp;UNICHAR(822)),'_Supporto Listone'!D355)</x:f>
        <x:v>C</x:v>
      </x:c>
      <x:c r="E355" s="441" t="str">
        <x:f>IF($J355&lt;&gt;"",REGEXREPLACE(TO_TEXT('_Supporto Listone'!E355),"(.)","$1"&amp;UNICHAR(822)),'_Supporto Listone'!E355)</x:f>
        <x:v>Ballottaggio</x:v>
      </x:c>
      <x:c r="F355" s="464" t="n">
        <x:f>IF($J355&lt;&gt;"",REGEXREPLACE(TO_TEXT('_Supporto Listone'!F355),"(.)","$1"&amp;UNICHAR(822)),'_Supporto Listone'!F355)</x:f>
        <x:v>5</x:v>
      </x:c>
      <x:c r="G355" s="464" t="n">
        <x:f>IF($J355&lt;&gt;"",REGEXREPLACE(TO_TEXT('_Supporto Listone'!G355),"(.)","$1"&amp;UNICHAR(822)),'_Supporto Listone'!G355)</x:f>
        <x:v>14</x:v>
      </x:c>
      <x:c r="H355" s="464" t="n">
        <x:f>IF($J355&lt;&gt;"",REGEXREPLACE(TO_TEXT('_Supporto Listone'!H355),"(.)","$1"&amp;UNICHAR(822)),'_Supporto Listone'!H355)</x:f>
        <x:v>7</x:v>
      </x:c>
      <x:c r="I355" s="442"/>
      <x:c r="J355" s="441" t="str">
        <x:f>IF(COUNTIF(Asta!$B$4:$B$47,'_Supporto Listone'!B355)&gt;0,"Simone",IF(COUNTIF(Asta!$D$4:$D$47,'_Supporto Listone'!B355)&gt;0,"Giacomo",IF(COUNTIF(Asta!$F$4:$F$47,'_Supporto Listone'!B355)&gt;0,"Niko",IF(COUNTIF(Asta!$H$4:$H$47,'_Supporto Listone'!B355)&gt;0,"Quici",IF(COUNTIF(Asta!$J$4:$J$47,'_Supporto Listone'!B355)&gt;0,"Fratello Quici",IF(COUNTIF(Asta!$L$4:$L$47,'_Supporto Listone'!B355)&gt;0,"Nicolò",IF(COUNTIF(Asta!$N$4:$N$47,'_Supporto Listone'!B355)&gt;0,"Vi",IF(COUNTIF(Asta!$P$4:$P$47,'_Supporto Listone'!B355)&gt;0,"Lore",IF(COUNTIF(Asta!$R$4:$R$47,'_Supporto Listone'!B355)&gt;0,"Robbo",IF(COUNTIF(Asta!$T$4:$T$47,'_Supporto Listone'!B355)&gt;0,"Ale",""))))))))))</x:f>
      </x:c>
      <x:c r="K355" s="495" t="str">
        <x:f>IF(COUNTIF(Asta!$B$4:$B$47,'_Supporto Listone'!B355)&gt;0,INDEX(Asta!$C$4:$C$47,MATCH('_Supporto Listone'!B355,Asta!$B$4:$B$47,0)),IF(COUNTIF(Asta!$D$4:$D$47,'_Supporto Listone'!B355)&gt;0,INDEX(Asta!$E$4:$E$47,MATCH('_Supporto Listone'!B355,Asta!$D$4:$D$47,0)),IF(COUNTIF(Asta!$F$4:$F$47,'_Supporto Listone'!B355)&gt;0,INDEX(Asta!$G$4:$G$47,MATCH('_Supporto Listone'!B355,Asta!$F$4:$F$47,0)),IF(COUNTIF(Asta!$H$4:$H$47,'_Supporto Listone'!B355)&gt;0,INDEX(Asta!$I$4:$I$47,MATCH('_Supporto Listone'!B355,Asta!$H$4:$H$47,0)),IF(COUNTIF(Asta!$J$4:$J$47,'_Supporto Listone'!B355)&gt;0,INDEX(Asta!$K$4:$K$47,MATCH('_Supporto Listone'!B355,Asta!$J$4:$J$47,0)),IF(COUNTIF(Asta!$L$4:$L$47,'_Supporto Listone'!B355)&gt;0,INDEX(Asta!$M$4:$M$47,MATCH('_Supporto Listone'!B355,Asta!$L$4:$L$47,0)),IF(COUNTIF(Asta!$N$4:$N$47,'_Supporto Listone'!B355)&gt;0,INDEX(Asta!$O$4:$O$47,MATCH('_Supporto Listone'!B355,Asta!$N$4:$N$47,0)),IF(COUNTIF(Asta!$P$4:$P$47,'_Supporto Listone'!B355)&gt;0,INDEX(Asta!$Q$4:$Q$47,MATCH('_Supporto Listone'!B355,Asta!$P$4:$P$47,0)),IF(COUNTIF(Asta!$R$4:$R$47,'_Supporto Listone'!B355)&gt;0,INDEX(Asta!$S$4:$S$47,MATCH('_Supporto Listone'!B355,Asta!$R$4:$R$47,0)),IF(COUNTIF(Asta!$T$4:$T$47,'_Supporto Listone'!B355)&gt;0,INDEX(Asta!$U$4:$U$47,MATCH('_Supporto Listone'!B355,Asta!$T$4:$T$47,0)),""))))))))))</x:f>
      </x:c>
    </x:row>
    <x:row r="356">
      <x:c r="A356" s="440" t="str">
        <x:f>IF($J356&lt;&gt;"",REGEXREPLACE(TO_TEXT('_Supporto Listone'!A356),"(.)","$1"&amp;UNICHAR(822)),'_Supporto Listone'!A356)</x:f>
        <x:v>C</x:v>
      </x:c>
      <x:c r="B356" s="441" t="str">
        <x:f>IF($J356&lt;&gt;"",REGEXREPLACE(TO_TEXT('_Supporto Listone'!B356),"(.)","$1"&amp;UNICHAR(822)),'_Supporto Listone'!B356)</x:f>
        <x:v>De Roon</x:v>
      </x:c>
      <x:c r="C356" s="441" t="str">
        <x:f>IF($J356&lt;&gt;"",REGEXREPLACE(TO_TEXT('_Supporto Listone'!C356),"(.)","$1"&amp;UNICHAR(822)),'_Supporto Listone'!C356)</x:f>
        <x:v>Atalanta</x:v>
      </x:c>
      <x:c r="D356" s="441" t="str">
        <x:f>IF($J356&lt;&gt;"",REGEXREPLACE(TO_TEXT('_Supporto Listone'!D356),"(.)","$1"&amp;UNICHAR(822)),'_Supporto Listone'!D356)</x:f>
        <x:v>M;C</x:v>
      </x:c>
      <x:c r="E356" s="441" t="str">
        <x:f>IF($J356&lt;&gt;"",REGEXREPLACE(TO_TEXT('_Supporto Listone'!E356),"(.)","$1"&amp;UNICHAR(822)),'_Supporto Listone'!E356)</x:f>
        <x:v>Riserva / rotazione</x:v>
      </x:c>
      <x:c r="F356" s="464" t="n">
        <x:f>IF($J356&lt;&gt;"",REGEXREPLACE(TO_TEXT('_Supporto Listone'!F356),"(.)","$1"&amp;UNICHAR(822)),'_Supporto Listone'!F356)</x:f>
        <x:v>4</x:v>
      </x:c>
      <x:c r="G356" s="464" t="n">
        <x:f>IF($J356&lt;&gt;"",REGEXREPLACE(TO_TEXT('_Supporto Listone'!G356),"(.)","$1"&amp;UNICHAR(822)),'_Supporto Listone'!G356)</x:f>
        <x:v>12</x:v>
      </x:c>
      <x:c r="H356" s="464" t="n">
        <x:f>IF($J356&lt;&gt;"",REGEXREPLACE(TO_TEXT('_Supporto Listone'!H356),"(.)","$1"&amp;UNICHAR(822)),'_Supporto Listone'!H356)</x:f>
        <x:v>6</x:v>
      </x:c>
      <x:c r="I356" s="442"/>
      <x:c r="J356" s="441" t="str">
        <x:f>IF(COUNTIF(Asta!$B$4:$B$47,'_Supporto Listone'!B356)&gt;0,"Simone",IF(COUNTIF(Asta!$D$4:$D$47,'_Supporto Listone'!B356)&gt;0,"Giacomo",IF(COUNTIF(Asta!$F$4:$F$47,'_Supporto Listone'!B356)&gt;0,"Niko",IF(COUNTIF(Asta!$H$4:$H$47,'_Supporto Listone'!B356)&gt;0,"Quici",IF(COUNTIF(Asta!$J$4:$J$47,'_Supporto Listone'!B356)&gt;0,"Fratello Quici",IF(COUNTIF(Asta!$L$4:$L$47,'_Supporto Listone'!B356)&gt;0,"Nicolò",IF(COUNTIF(Asta!$N$4:$N$47,'_Supporto Listone'!B356)&gt;0,"Vi",IF(COUNTIF(Asta!$P$4:$P$47,'_Supporto Listone'!B356)&gt;0,"Lore",IF(COUNTIF(Asta!$R$4:$R$47,'_Supporto Listone'!B356)&gt;0,"Robbo",IF(COUNTIF(Asta!$T$4:$T$47,'_Supporto Listone'!B356)&gt;0,"Ale",""))))))))))</x:f>
      </x:c>
      <x:c r="K356" s="495" t="str">
        <x:f>IF(COUNTIF(Asta!$B$4:$B$47,'_Supporto Listone'!B356)&gt;0,INDEX(Asta!$C$4:$C$47,MATCH('_Supporto Listone'!B356,Asta!$B$4:$B$47,0)),IF(COUNTIF(Asta!$D$4:$D$47,'_Supporto Listone'!B356)&gt;0,INDEX(Asta!$E$4:$E$47,MATCH('_Supporto Listone'!B356,Asta!$D$4:$D$47,0)),IF(COUNTIF(Asta!$F$4:$F$47,'_Supporto Listone'!B356)&gt;0,INDEX(Asta!$G$4:$G$47,MATCH('_Supporto Listone'!B356,Asta!$F$4:$F$47,0)),IF(COUNTIF(Asta!$H$4:$H$47,'_Supporto Listone'!B356)&gt;0,INDEX(Asta!$I$4:$I$47,MATCH('_Supporto Listone'!B356,Asta!$H$4:$H$47,0)),IF(COUNTIF(Asta!$J$4:$J$47,'_Supporto Listone'!B356)&gt;0,INDEX(Asta!$K$4:$K$47,MATCH('_Supporto Listone'!B356,Asta!$J$4:$J$47,0)),IF(COUNTIF(Asta!$L$4:$L$47,'_Supporto Listone'!B356)&gt;0,INDEX(Asta!$M$4:$M$47,MATCH('_Supporto Listone'!B356,Asta!$L$4:$L$47,0)),IF(COUNTIF(Asta!$N$4:$N$47,'_Supporto Listone'!B356)&gt;0,INDEX(Asta!$O$4:$O$47,MATCH('_Supporto Listone'!B356,Asta!$N$4:$N$47,0)),IF(COUNTIF(Asta!$P$4:$P$47,'_Supporto Listone'!B356)&gt;0,INDEX(Asta!$Q$4:$Q$47,MATCH('_Supporto Listone'!B356,Asta!$P$4:$P$47,0)),IF(COUNTIF(Asta!$R$4:$R$47,'_Supporto Listone'!B356)&gt;0,INDEX(Asta!$S$4:$S$47,MATCH('_Supporto Listone'!B356,Asta!$R$4:$R$47,0)),IF(COUNTIF(Asta!$T$4:$T$47,'_Supporto Listone'!B356)&gt;0,INDEX(Asta!$U$4:$U$47,MATCH('_Supporto Listone'!B356,Asta!$T$4:$T$47,0)),""))))))))))</x:f>
      </x:c>
    </x:row>
    <x:row r="357">
      <x:c r="A357" s="440" t="str">
        <x:f>IF($J357&lt;&gt;"",REGEXREPLACE(TO_TEXT('_Supporto Listone'!A357),"(.)","$1"&amp;UNICHAR(822)),'_Supporto Listone'!A357)</x:f>
        <x:v>C</x:v>
      </x:c>
      <x:c r="B357" s="441" t="str">
        <x:f>IF($J357&lt;&gt;"",REGEXREPLACE(TO_TEXT('_Supporto Listone'!B357),"(.)","$1"&amp;UNICHAR(822)),'_Supporto Listone'!B357)</x:f>
        <x:v>Moro N.</x:v>
      </x:c>
      <x:c r="C357" s="441" t="str">
        <x:f>IF($J357&lt;&gt;"",REGEXREPLACE(TO_TEXT('_Supporto Listone'!C357),"(.)","$1"&amp;UNICHAR(822)),'_Supporto Listone'!C357)</x:f>
        <x:v>Bologna</x:v>
      </x:c>
      <x:c r="D357" s="441" t="str">
        <x:f>IF($J357&lt;&gt;"",REGEXREPLACE(TO_TEXT('_Supporto Listone'!D357),"(.)","$1"&amp;UNICHAR(822)),'_Supporto Listone'!D357)</x:f>
        <x:v>M;C</x:v>
      </x:c>
      <x:c r="E357" s="441" t="str">
        <x:f>IF($J357&lt;&gt;"",REGEXREPLACE(TO_TEXT('_Supporto Listone'!E357),"(.)","$1"&amp;UNICHAR(822)),'_Supporto Listone'!E357)</x:f>
        <x:v>Ballottaggio</x:v>
      </x:c>
      <x:c r="F357" s="464" t="n">
        <x:f>IF($J357&lt;&gt;"",REGEXREPLACE(TO_TEXT('_Supporto Listone'!F357),"(.)","$1"&amp;UNICHAR(822)),'_Supporto Listone'!F357)</x:f>
        <x:v>4</x:v>
      </x:c>
      <x:c r="G357" s="464" t="n">
        <x:f>IF($J357&lt;&gt;"",REGEXREPLACE(TO_TEXT('_Supporto Listone'!G357),"(.)","$1"&amp;UNICHAR(822)),'_Supporto Listone'!G357)</x:f>
        <x:v>10</x:v>
      </x:c>
      <x:c r="H357" s="464" t="n">
        <x:f>IF($J357&lt;&gt;"",REGEXREPLACE(TO_TEXT('_Supporto Listone'!H357),"(.)","$1"&amp;UNICHAR(822)),'_Supporto Listone'!H357)</x:f>
        <x:v>5</x:v>
      </x:c>
      <x:c r="I357" s="442"/>
      <x:c r="J357" s="441" t="str">
        <x:f>IF(COUNTIF(Asta!$B$4:$B$47,'_Supporto Listone'!B357)&gt;0,"Simone",IF(COUNTIF(Asta!$D$4:$D$47,'_Supporto Listone'!B357)&gt;0,"Giacomo",IF(COUNTIF(Asta!$F$4:$F$47,'_Supporto Listone'!B357)&gt;0,"Niko",IF(COUNTIF(Asta!$H$4:$H$47,'_Supporto Listone'!B357)&gt;0,"Quici",IF(COUNTIF(Asta!$J$4:$J$47,'_Supporto Listone'!B357)&gt;0,"Fratello Quici",IF(COUNTIF(Asta!$L$4:$L$47,'_Supporto Listone'!B357)&gt;0,"Nicolò",IF(COUNTIF(Asta!$N$4:$N$47,'_Supporto Listone'!B357)&gt;0,"Vi",IF(COUNTIF(Asta!$P$4:$P$47,'_Supporto Listone'!B357)&gt;0,"Lore",IF(COUNTIF(Asta!$R$4:$R$47,'_Supporto Listone'!B357)&gt;0,"Robbo",IF(COUNTIF(Asta!$T$4:$T$47,'_Supporto Listone'!B357)&gt;0,"Ale",""))))))))))</x:f>
      </x:c>
      <x:c r="K357" s="495" t="str">
        <x:f>IF(COUNTIF(Asta!$B$4:$B$47,'_Supporto Listone'!B357)&gt;0,INDEX(Asta!$C$4:$C$47,MATCH('_Supporto Listone'!B357,Asta!$B$4:$B$47,0)),IF(COUNTIF(Asta!$D$4:$D$47,'_Supporto Listone'!B357)&gt;0,INDEX(Asta!$E$4:$E$47,MATCH('_Supporto Listone'!B357,Asta!$D$4:$D$47,0)),IF(COUNTIF(Asta!$F$4:$F$47,'_Supporto Listone'!B357)&gt;0,INDEX(Asta!$G$4:$G$47,MATCH('_Supporto Listone'!B357,Asta!$F$4:$F$47,0)),IF(COUNTIF(Asta!$H$4:$H$47,'_Supporto Listone'!B357)&gt;0,INDEX(Asta!$I$4:$I$47,MATCH('_Supporto Listone'!B357,Asta!$H$4:$H$47,0)),IF(COUNTIF(Asta!$J$4:$J$47,'_Supporto Listone'!B357)&gt;0,INDEX(Asta!$K$4:$K$47,MATCH('_Supporto Listone'!B357,Asta!$J$4:$J$47,0)),IF(COUNTIF(Asta!$L$4:$L$47,'_Supporto Listone'!B357)&gt;0,INDEX(Asta!$M$4:$M$47,MATCH('_Supporto Listone'!B357,Asta!$L$4:$L$47,0)),IF(COUNTIF(Asta!$N$4:$N$47,'_Supporto Listone'!B357)&gt;0,INDEX(Asta!$O$4:$O$47,MATCH('_Supporto Listone'!B357,Asta!$N$4:$N$47,0)),IF(COUNTIF(Asta!$P$4:$P$47,'_Supporto Listone'!B357)&gt;0,INDEX(Asta!$Q$4:$Q$47,MATCH('_Supporto Listone'!B357,Asta!$P$4:$P$47,0)),IF(COUNTIF(Asta!$R$4:$R$47,'_Supporto Listone'!B357)&gt;0,INDEX(Asta!$S$4:$S$47,MATCH('_Supporto Listone'!B357,Asta!$R$4:$R$47,0)),IF(COUNTIF(Asta!$T$4:$T$47,'_Supporto Listone'!B357)&gt;0,INDEX(Asta!$U$4:$U$47,MATCH('_Supporto Listone'!B357,Asta!$T$4:$T$47,0)),""))))))))))</x:f>
      </x:c>
    </x:row>
    <x:row r="358">
      <x:c r="A358" s="440" t="str">
        <x:f>IF($J358&lt;&gt;"",REGEXREPLACE(TO_TEXT('_Supporto Listone'!A358),"(.)","$1"&amp;UNICHAR(822)),'_Supporto Listone'!A358)</x:f>
        <x:v>C</x:v>
      </x:c>
      <x:c r="B358" s="441" t="str">
        <x:f>IF($J358&lt;&gt;"",REGEXREPLACE(TO_TEXT('_Supporto Listone'!B358),"(.)","$1"&amp;UNICHAR(822)),'_Supporto Listone'!B358)</x:f>
        <x:v>Prati</x:v>
      </x:c>
      <x:c r="C358" s="441" t="str">
        <x:f>IF($J358&lt;&gt;"",REGEXREPLACE(TO_TEXT('_Supporto Listone'!C358),"(.)","$1"&amp;UNICHAR(822)),'_Supporto Listone'!C358)</x:f>
        <x:v>Cagliari</x:v>
      </x:c>
      <x:c r="D358" s="441" t="str">
        <x:f>IF($J358&lt;&gt;"",REGEXREPLACE(TO_TEXT('_Supporto Listone'!D358),"(.)","$1"&amp;UNICHAR(822)),'_Supporto Listone'!D358)</x:f>
        <x:v>M;C</x:v>
      </x:c>
      <x:c r="E358" s="441" t="str">
        <x:f>IF($J358&lt;&gt;"",REGEXREPLACE(TO_TEXT('_Supporto Listone'!E358),"(.)","$1"&amp;UNICHAR(822)),'_Supporto Listone'!E358)</x:f>
        <x:v>Riserva / rotazione</x:v>
      </x:c>
      <x:c r="F358" s="464" t="n">
        <x:f>IF($J358&lt;&gt;"",REGEXREPLACE(TO_TEXT('_Supporto Listone'!F358),"(.)","$1"&amp;UNICHAR(822)),'_Supporto Listone'!F358)</x:f>
        <x:v>4</x:v>
      </x:c>
      <x:c r="G358" s="464" t="n">
        <x:f>IF($J358&lt;&gt;"",REGEXREPLACE(TO_TEXT('_Supporto Listone'!G358),"(.)","$1"&amp;UNICHAR(822)),'_Supporto Listone'!G358)</x:f>
        <x:v>7</x:v>
      </x:c>
      <x:c r="H358" s="464" t="n">
        <x:f>IF($J358&lt;&gt;"",REGEXREPLACE(TO_TEXT('_Supporto Listone'!H358),"(.)","$1"&amp;UNICHAR(822)),'_Supporto Listone'!H358)</x:f>
        <x:v>4</x:v>
      </x:c>
      <x:c r="I358" s="442"/>
      <x:c r="J358" s="441" t="str">
        <x:f>IF(COUNTIF(Asta!$B$4:$B$47,'_Supporto Listone'!B358)&gt;0,"Simone",IF(COUNTIF(Asta!$D$4:$D$47,'_Supporto Listone'!B358)&gt;0,"Giacomo",IF(COUNTIF(Asta!$F$4:$F$47,'_Supporto Listone'!B358)&gt;0,"Niko",IF(COUNTIF(Asta!$H$4:$H$47,'_Supporto Listone'!B358)&gt;0,"Quici",IF(COUNTIF(Asta!$J$4:$J$47,'_Supporto Listone'!B358)&gt;0,"Fratello Quici",IF(COUNTIF(Asta!$L$4:$L$47,'_Supporto Listone'!B358)&gt;0,"Nicolò",IF(COUNTIF(Asta!$N$4:$N$47,'_Supporto Listone'!B358)&gt;0,"Vi",IF(COUNTIF(Asta!$P$4:$P$47,'_Supporto Listone'!B358)&gt;0,"Lore",IF(COUNTIF(Asta!$R$4:$R$47,'_Supporto Listone'!B358)&gt;0,"Robbo",IF(COUNTIF(Asta!$T$4:$T$47,'_Supporto Listone'!B358)&gt;0,"Ale",""))))))))))</x:f>
      </x:c>
      <x:c r="K358" s="495" t="str">
        <x:f>IF(COUNTIF(Asta!$B$4:$B$47,'_Supporto Listone'!B358)&gt;0,INDEX(Asta!$C$4:$C$47,MATCH('_Supporto Listone'!B358,Asta!$B$4:$B$47,0)),IF(COUNTIF(Asta!$D$4:$D$47,'_Supporto Listone'!B358)&gt;0,INDEX(Asta!$E$4:$E$47,MATCH('_Supporto Listone'!B358,Asta!$D$4:$D$47,0)),IF(COUNTIF(Asta!$F$4:$F$47,'_Supporto Listone'!B358)&gt;0,INDEX(Asta!$G$4:$G$47,MATCH('_Supporto Listone'!B358,Asta!$F$4:$F$47,0)),IF(COUNTIF(Asta!$H$4:$H$47,'_Supporto Listone'!B358)&gt;0,INDEX(Asta!$I$4:$I$47,MATCH('_Supporto Listone'!B358,Asta!$H$4:$H$47,0)),IF(COUNTIF(Asta!$J$4:$J$47,'_Supporto Listone'!B358)&gt;0,INDEX(Asta!$K$4:$K$47,MATCH('_Supporto Listone'!B358,Asta!$J$4:$J$47,0)),IF(COUNTIF(Asta!$L$4:$L$47,'_Supporto Listone'!B358)&gt;0,INDEX(Asta!$M$4:$M$47,MATCH('_Supporto Listone'!B358,Asta!$L$4:$L$47,0)),IF(COUNTIF(Asta!$N$4:$N$47,'_Supporto Listone'!B358)&gt;0,INDEX(Asta!$O$4:$O$47,MATCH('_Supporto Listone'!B358,Asta!$N$4:$N$47,0)),IF(COUNTIF(Asta!$P$4:$P$47,'_Supporto Listone'!B358)&gt;0,INDEX(Asta!$Q$4:$Q$47,MATCH('_Supporto Listone'!B358,Asta!$P$4:$P$47,0)),IF(COUNTIF(Asta!$R$4:$R$47,'_Supporto Listone'!B358)&gt;0,INDEX(Asta!$S$4:$S$47,MATCH('_Supporto Listone'!B358,Asta!$R$4:$R$47,0)),IF(COUNTIF(Asta!$T$4:$T$47,'_Supporto Listone'!B358)&gt;0,INDEX(Asta!$U$4:$U$47,MATCH('_Supporto Listone'!B358,Asta!$T$4:$T$47,0)),""))))))))))</x:f>
      </x:c>
    </x:row>
    <x:row r="359">
      <x:c r="A359" s="440" t="str">
        <x:f>IF($J359&lt;&gt;"",REGEXREPLACE(TO_TEXT('_Supporto Listone'!A359),"(.)","$1"&amp;UNICHAR(822)),'_Supporto Listone'!A359)</x:f>
        <x:v>C</x:v>
      </x:c>
      <x:c r="B359" s="441" t="str">
        <x:f>IF($J359&lt;&gt;"",REGEXREPLACE(TO_TEXT('_Supporto Listone'!B359),"(.)","$1"&amp;UNICHAR(822)),'_Supporto Listone'!B359)</x:f>
        <x:v>Fabbian</x:v>
      </x:c>
      <x:c r="C359" s="441" t="str">
        <x:f>IF($J359&lt;&gt;"",REGEXREPLACE(TO_TEXT('_Supporto Listone'!C359),"(.)","$1"&amp;UNICHAR(822)),'_Supporto Listone'!C359)</x:f>
        <x:v>Fiorentina</x:v>
      </x:c>
      <x:c r="D359" s="441" t="str">
        <x:f>IF($J359&lt;&gt;"",REGEXREPLACE(TO_TEXT('_Supporto Listone'!D359),"(.)","$1"&amp;UNICHAR(822)),'_Supporto Listone'!D359)</x:f>
        <x:v>C;T</x:v>
      </x:c>
      <x:c r="E359" s="441" t="str">
        <x:f>IF($J359&lt;&gt;"",REGEXREPLACE(TO_TEXT('_Supporto Listone'!E359),"(.)","$1"&amp;UNICHAR(822)),'_Supporto Listone'!E359)</x:f>
        <x:v>Riserva / rotazione</x:v>
      </x:c>
      <x:c r="F359" s="464" t="n">
        <x:f>IF($J359&lt;&gt;"",REGEXREPLACE(TO_TEXT('_Supporto Listone'!F359),"(.)","$1"&amp;UNICHAR(822)),'_Supporto Listone'!F359)</x:f>
        <x:v>4</x:v>
      </x:c>
      <x:c r="G359" s="464" t="n">
        <x:f>IF($J359&lt;&gt;"",REGEXREPLACE(TO_TEXT('_Supporto Listone'!G359),"(.)","$1"&amp;UNICHAR(822)),'_Supporto Listone'!G359)</x:f>
        <x:v>8</x:v>
      </x:c>
      <x:c r="H359" s="464" t="n">
        <x:f>IF($J359&lt;&gt;"",REGEXREPLACE(TO_TEXT('_Supporto Listone'!H359),"(.)","$1"&amp;UNICHAR(822)),'_Supporto Listone'!H359)</x:f>
        <x:v>4</x:v>
      </x:c>
      <x:c r="I359" s="442"/>
      <x:c r="J359" s="441" t="str">
        <x:f>IF(COUNTIF(Asta!$B$4:$B$47,'_Supporto Listone'!B359)&gt;0,"Simone",IF(COUNTIF(Asta!$D$4:$D$47,'_Supporto Listone'!B359)&gt;0,"Giacomo",IF(COUNTIF(Asta!$F$4:$F$47,'_Supporto Listone'!B359)&gt;0,"Niko",IF(COUNTIF(Asta!$H$4:$H$47,'_Supporto Listone'!B359)&gt;0,"Quici",IF(COUNTIF(Asta!$J$4:$J$47,'_Supporto Listone'!B359)&gt;0,"Fratello Quici",IF(COUNTIF(Asta!$L$4:$L$47,'_Supporto Listone'!B359)&gt;0,"Nicolò",IF(COUNTIF(Asta!$N$4:$N$47,'_Supporto Listone'!B359)&gt;0,"Vi",IF(COUNTIF(Asta!$P$4:$P$47,'_Supporto Listone'!B359)&gt;0,"Lore",IF(COUNTIF(Asta!$R$4:$R$47,'_Supporto Listone'!B359)&gt;0,"Robbo",IF(COUNTIF(Asta!$T$4:$T$47,'_Supporto Listone'!B359)&gt;0,"Ale",""))))))))))</x:f>
      </x:c>
      <x:c r="K359" s="495" t="str">
        <x:f>IF(COUNTIF(Asta!$B$4:$B$47,'_Supporto Listone'!B359)&gt;0,INDEX(Asta!$C$4:$C$47,MATCH('_Supporto Listone'!B359,Asta!$B$4:$B$47,0)),IF(COUNTIF(Asta!$D$4:$D$47,'_Supporto Listone'!B359)&gt;0,INDEX(Asta!$E$4:$E$47,MATCH('_Supporto Listone'!B359,Asta!$D$4:$D$47,0)),IF(COUNTIF(Asta!$F$4:$F$47,'_Supporto Listone'!B359)&gt;0,INDEX(Asta!$G$4:$G$47,MATCH('_Supporto Listone'!B359,Asta!$F$4:$F$47,0)),IF(COUNTIF(Asta!$H$4:$H$47,'_Supporto Listone'!B359)&gt;0,INDEX(Asta!$I$4:$I$47,MATCH('_Supporto Listone'!B359,Asta!$H$4:$H$47,0)),IF(COUNTIF(Asta!$J$4:$J$47,'_Supporto Listone'!B359)&gt;0,INDEX(Asta!$K$4:$K$47,MATCH('_Supporto Listone'!B359,Asta!$J$4:$J$47,0)),IF(COUNTIF(Asta!$L$4:$L$47,'_Supporto Listone'!B359)&gt;0,INDEX(Asta!$M$4:$M$47,MATCH('_Supporto Listone'!B359,Asta!$L$4:$L$47,0)),IF(COUNTIF(Asta!$N$4:$N$47,'_Supporto Listone'!B359)&gt;0,INDEX(Asta!$O$4:$O$47,MATCH('_Supporto Listone'!B359,Asta!$N$4:$N$47,0)),IF(COUNTIF(Asta!$P$4:$P$47,'_Supporto Listone'!B359)&gt;0,INDEX(Asta!$Q$4:$Q$47,MATCH('_Supporto Listone'!B359,Asta!$P$4:$P$47,0)),IF(COUNTIF(Asta!$R$4:$R$47,'_Supporto Listone'!B359)&gt;0,INDEX(Asta!$S$4:$S$47,MATCH('_Supporto Listone'!B359,Asta!$R$4:$R$47,0)),IF(COUNTIF(Asta!$T$4:$T$47,'_Supporto Listone'!B359)&gt;0,INDEX(Asta!$U$4:$U$47,MATCH('_Supporto Listone'!B359,Asta!$T$4:$T$47,0)),""))))))))))</x:f>
      </x:c>
    </x:row>
    <x:row r="360">
      <x:c r="A360" s="440" t="str">
        <x:f>IF($J360&lt;&gt;"",REGEXREPLACE(TO_TEXT('_Supporto Listone'!A360),"(.)","$1"&amp;UNICHAR(822)),'_Supporto Listone'!A360)</x:f>
        <x:v>C</x:v>
      </x:c>
      <x:c r="B360" s="441" t="str">
        <x:f>IF($J360&lt;&gt;"",REGEXREPLACE(TO_TEXT('_Supporto Listone'!B360),"(.)","$1"&amp;UNICHAR(822)),'_Supporto Listone'!B360)</x:f>
        <x:v>Cichella</x:v>
      </x:c>
      <x:c r="C360" s="441" t="str">
        <x:f>IF($J360&lt;&gt;"",REGEXREPLACE(TO_TEXT('_Supporto Listone'!C360),"(.)","$1"&amp;UNICHAR(822)),'_Supporto Listone'!C360)</x:f>
        <x:v>Frosinone</x:v>
      </x:c>
      <x:c r="D360" s="441" t="str">
        <x:f>IF($J360&lt;&gt;"",REGEXREPLACE(TO_TEXT('_Supporto Listone'!D360),"(.)","$1"&amp;UNICHAR(822)),'_Supporto Listone'!D360)</x:f>
        <x:v>M;C</x:v>
      </x:c>
      <x:c r="E360" s="441" t="str">
        <x:f>IF($J360&lt;&gt;"",REGEXREPLACE(TO_TEXT('_Supporto Listone'!E360),"(.)","$1"&amp;UNICHAR(822)),'_Supporto Listone'!E360)</x:f>
        <x:v>Ballottaggio</x:v>
      </x:c>
      <x:c r="F360" s="464" t="n">
        <x:f>IF($J360&lt;&gt;"",REGEXREPLACE(TO_TEXT('_Supporto Listone'!F360),"(.)","$1"&amp;UNICHAR(822)),'_Supporto Listone'!F360)</x:f>
        <x:v>4</x:v>
      </x:c>
      <x:c r="G360" s="464" t="n">
        <x:f>IF($J360&lt;&gt;"",REGEXREPLACE(TO_TEXT('_Supporto Listone'!G360),"(.)","$1"&amp;UNICHAR(822)),'_Supporto Listone'!G360)</x:f>
        <x:v>11</x:v>
      </x:c>
      <x:c r="H360" s="464" t="n">
        <x:f>IF($J360&lt;&gt;"",REGEXREPLACE(TO_TEXT('_Supporto Listone'!H360),"(.)","$1"&amp;UNICHAR(822)),'_Supporto Listone'!H360)</x:f>
        <x:v>6</x:v>
      </x:c>
      <x:c r="I360" s="442"/>
      <x:c r="J360" s="441" t="str">
        <x:f>IF(COUNTIF(Asta!$B$4:$B$47,'_Supporto Listone'!B360)&gt;0,"Simone",IF(COUNTIF(Asta!$D$4:$D$47,'_Supporto Listone'!B360)&gt;0,"Giacomo",IF(COUNTIF(Asta!$F$4:$F$47,'_Supporto Listone'!B360)&gt;0,"Niko",IF(COUNTIF(Asta!$H$4:$H$47,'_Supporto Listone'!B360)&gt;0,"Quici",IF(COUNTIF(Asta!$J$4:$J$47,'_Supporto Listone'!B360)&gt;0,"Fratello Quici",IF(COUNTIF(Asta!$L$4:$L$47,'_Supporto Listone'!B360)&gt;0,"Nicolò",IF(COUNTIF(Asta!$N$4:$N$47,'_Supporto Listone'!B360)&gt;0,"Vi",IF(COUNTIF(Asta!$P$4:$P$47,'_Supporto Listone'!B360)&gt;0,"Lore",IF(COUNTIF(Asta!$R$4:$R$47,'_Supporto Listone'!B360)&gt;0,"Robbo",IF(COUNTIF(Asta!$T$4:$T$47,'_Supporto Listone'!B360)&gt;0,"Ale",""))))))))))</x:f>
      </x:c>
      <x:c r="K360" s="495" t="str">
        <x:f>IF(COUNTIF(Asta!$B$4:$B$47,'_Supporto Listone'!B360)&gt;0,INDEX(Asta!$C$4:$C$47,MATCH('_Supporto Listone'!B360,Asta!$B$4:$B$47,0)),IF(COUNTIF(Asta!$D$4:$D$47,'_Supporto Listone'!B360)&gt;0,INDEX(Asta!$E$4:$E$47,MATCH('_Supporto Listone'!B360,Asta!$D$4:$D$47,0)),IF(COUNTIF(Asta!$F$4:$F$47,'_Supporto Listone'!B360)&gt;0,INDEX(Asta!$G$4:$G$47,MATCH('_Supporto Listone'!B360,Asta!$F$4:$F$47,0)),IF(COUNTIF(Asta!$H$4:$H$47,'_Supporto Listone'!B360)&gt;0,INDEX(Asta!$I$4:$I$47,MATCH('_Supporto Listone'!B360,Asta!$H$4:$H$47,0)),IF(COUNTIF(Asta!$J$4:$J$47,'_Supporto Listone'!B360)&gt;0,INDEX(Asta!$K$4:$K$47,MATCH('_Supporto Listone'!B360,Asta!$J$4:$J$47,0)),IF(COUNTIF(Asta!$L$4:$L$47,'_Supporto Listone'!B360)&gt;0,INDEX(Asta!$M$4:$M$47,MATCH('_Supporto Listone'!B360,Asta!$L$4:$L$47,0)),IF(COUNTIF(Asta!$N$4:$N$47,'_Supporto Listone'!B360)&gt;0,INDEX(Asta!$O$4:$O$47,MATCH('_Supporto Listone'!B360,Asta!$N$4:$N$47,0)),IF(COUNTIF(Asta!$P$4:$P$47,'_Supporto Listone'!B360)&gt;0,INDEX(Asta!$Q$4:$Q$47,MATCH('_Supporto Listone'!B360,Asta!$P$4:$P$47,0)),IF(COUNTIF(Asta!$R$4:$R$47,'_Supporto Listone'!B360)&gt;0,INDEX(Asta!$S$4:$S$47,MATCH('_Supporto Listone'!B360,Asta!$R$4:$R$47,0)),IF(COUNTIF(Asta!$T$4:$T$47,'_Supporto Listone'!B360)&gt;0,INDEX(Asta!$U$4:$U$47,MATCH('_Supporto Listone'!B360,Asta!$T$4:$T$47,0)),""))))))))))</x:f>
      </x:c>
    </x:row>
    <x:row r="361">
      <x:c r="A361" s="440" t="str">
        <x:f>IF($J361&lt;&gt;"",REGEXREPLACE(TO_TEXT('_Supporto Listone'!A361),"(.)","$1"&amp;UNICHAR(822)),'_Supporto Listone'!A361)</x:f>
        <x:v>C</x:v>
      </x:c>
      <x:c r="B361" s="441" t="str">
        <x:f>IF($J361&lt;&gt;"",REGEXREPLACE(TO_TEXT('_Supporto Listone'!B361),"(.)","$1"&amp;UNICHAR(822)),'_Supporto Listone'!B361)</x:f>
        <x:v>Koutsoupias</x:v>
      </x:c>
      <x:c r="C361" s="441" t="str">
        <x:f>IF($J361&lt;&gt;"",REGEXREPLACE(TO_TEXT('_Supporto Listone'!C361),"(.)","$1"&amp;UNICHAR(822)),'_Supporto Listone'!C361)</x:f>
        <x:v>Frosinone</x:v>
      </x:c>
      <x:c r="D361" s="441" t="str">
        <x:f>IF($J361&lt;&gt;"",REGEXREPLACE(TO_TEXT('_Supporto Listone'!D361),"(.)","$1"&amp;UNICHAR(822)),'_Supporto Listone'!D361)</x:f>
        <x:v>C</x:v>
      </x:c>
      <x:c r="E361" s="441" t="str">
        <x:f>IF($J361&lt;&gt;"",REGEXREPLACE(TO_TEXT('_Supporto Listone'!E361),"(.)","$1"&amp;UNICHAR(822)),'_Supporto Listone'!E361)</x:f>
        <x:v>Riserva / rotazione</x:v>
      </x:c>
      <x:c r="F361" s="464" t="n">
        <x:f>IF($J361&lt;&gt;"",REGEXREPLACE(TO_TEXT('_Supporto Listone'!F361),"(.)","$1"&amp;UNICHAR(822)),'_Supporto Listone'!F361)</x:f>
        <x:v>4</x:v>
      </x:c>
      <x:c r="G361" s="464" t="n">
        <x:f>IF($J361&lt;&gt;"",REGEXREPLACE(TO_TEXT('_Supporto Listone'!G361),"(.)","$1"&amp;UNICHAR(822)),'_Supporto Listone'!G361)</x:f>
        <x:v>12</x:v>
      </x:c>
      <x:c r="H361" s="464" t="n">
        <x:f>IF($J361&lt;&gt;"",REGEXREPLACE(TO_TEXT('_Supporto Listone'!H361),"(.)","$1"&amp;UNICHAR(822)),'_Supporto Listone'!H361)</x:f>
        <x:v>6</x:v>
      </x:c>
      <x:c r="I361" s="442"/>
      <x:c r="J361" s="441" t="str">
        <x:f>IF(COUNTIF(Asta!$B$4:$B$47,'_Supporto Listone'!B361)&gt;0,"Simone",IF(COUNTIF(Asta!$D$4:$D$47,'_Supporto Listone'!B361)&gt;0,"Giacomo",IF(COUNTIF(Asta!$F$4:$F$47,'_Supporto Listone'!B361)&gt;0,"Niko",IF(COUNTIF(Asta!$H$4:$H$47,'_Supporto Listone'!B361)&gt;0,"Quici",IF(COUNTIF(Asta!$J$4:$J$47,'_Supporto Listone'!B361)&gt;0,"Fratello Quici",IF(COUNTIF(Asta!$L$4:$L$47,'_Supporto Listone'!B361)&gt;0,"Nicolò",IF(COUNTIF(Asta!$N$4:$N$47,'_Supporto Listone'!B361)&gt;0,"Vi",IF(COUNTIF(Asta!$P$4:$P$47,'_Supporto Listone'!B361)&gt;0,"Lore",IF(COUNTIF(Asta!$R$4:$R$47,'_Supporto Listone'!B361)&gt;0,"Robbo",IF(COUNTIF(Asta!$T$4:$T$47,'_Supporto Listone'!B361)&gt;0,"Ale",""))))))))))</x:f>
      </x:c>
      <x:c r="K361" s="495" t="str">
        <x:f>IF(COUNTIF(Asta!$B$4:$B$47,'_Supporto Listone'!B361)&gt;0,INDEX(Asta!$C$4:$C$47,MATCH('_Supporto Listone'!B361,Asta!$B$4:$B$47,0)),IF(COUNTIF(Asta!$D$4:$D$47,'_Supporto Listone'!B361)&gt;0,INDEX(Asta!$E$4:$E$47,MATCH('_Supporto Listone'!B361,Asta!$D$4:$D$47,0)),IF(COUNTIF(Asta!$F$4:$F$47,'_Supporto Listone'!B361)&gt;0,INDEX(Asta!$G$4:$G$47,MATCH('_Supporto Listone'!B361,Asta!$F$4:$F$47,0)),IF(COUNTIF(Asta!$H$4:$H$47,'_Supporto Listone'!B361)&gt;0,INDEX(Asta!$I$4:$I$47,MATCH('_Supporto Listone'!B361,Asta!$H$4:$H$47,0)),IF(COUNTIF(Asta!$J$4:$J$47,'_Supporto Listone'!B361)&gt;0,INDEX(Asta!$K$4:$K$47,MATCH('_Supporto Listone'!B361,Asta!$J$4:$J$47,0)),IF(COUNTIF(Asta!$L$4:$L$47,'_Supporto Listone'!B361)&gt;0,INDEX(Asta!$M$4:$M$47,MATCH('_Supporto Listone'!B361,Asta!$L$4:$L$47,0)),IF(COUNTIF(Asta!$N$4:$N$47,'_Supporto Listone'!B361)&gt;0,INDEX(Asta!$O$4:$O$47,MATCH('_Supporto Listone'!B361,Asta!$N$4:$N$47,0)),IF(COUNTIF(Asta!$P$4:$P$47,'_Supporto Listone'!B361)&gt;0,INDEX(Asta!$Q$4:$Q$47,MATCH('_Supporto Listone'!B361,Asta!$P$4:$P$47,0)),IF(COUNTIF(Asta!$R$4:$R$47,'_Supporto Listone'!B361)&gt;0,INDEX(Asta!$S$4:$S$47,MATCH('_Supporto Listone'!B361,Asta!$R$4:$R$47,0)),IF(COUNTIF(Asta!$T$4:$T$47,'_Supporto Listone'!B361)&gt;0,INDEX(Asta!$U$4:$U$47,MATCH('_Supporto Listone'!B361,Asta!$T$4:$T$47,0)),""))))))))))</x:f>
      </x:c>
    </x:row>
    <x:row r="362">
      <x:c r="A362" s="440" t="str">
        <x:f>IF($J362&lt;&gt;"",REGEXREPLACE(TO_TEXT('_Supporto Listone'!A362),"(.)","$1"&amp;UNICHAR(822)),'_Supporto Listone'!A362)</x:f>
        <x:v>C</x:v>
      </x:c>
      <x:c r="B362" s="441" t="str">
        <x:f>IF($J362&lt;&gt;"",REGEXREPLACE(TO_TEXT('_Supporto Listone'!B362),"(.)","$1"&amp;UNICHAR(822)),'_Supporto Listone'!B362)</x:f>
        <x:v>Amorim</x:v>
      </x:c>
      <x:c r="C362" s="441" t="str">
        <x:f>IF($J362&lt;&gt;"",REGEXREPLACE(TO_TEXT('_Supporto Listone'!C362),"(.)","$1"&amp;UNICHAR(822)),'_Supporto Listone'!C362)</x:f>
        <x:v>Genoa</x:v>
      </x:c>
      <x:c r="D362" s="441" t="str">
        <x:f>IF($J362&lt;&gt;"",REGEXREPLACE(TO_TEXT('_Supporto Listone'!D362),"(.)","$1"&amp;UNICHAR(822)),'_Supporto Listone'!D362)</x:f>
        <x:v>M;C</x:v>
      </x:c>
      <x:c r="E362" s="441" t="str">
        <x:f>IF($J362&lt;&gt;"",REGEXREPLACE(TO_TEXT('_Supporto Listone'!E362),"(.)","$1"&amp;UNICHAR(822)),'_Supporto Listone'!E362)</x:f>
        <x:v>Ballottaggio</x:v>
      </x:c>
      <x:c r="F362" s="464" t="n">
        <x:f>IF($J362&lt;&gt;"",REGEXREPLACE(TO_TEXT('_Supporto Listone'!F362),"(.)","$1"&amp;UNICHAR(822)),'_Supporto Listone'!F362)</x:f>
        <x:v>4</x:v>
      </x:c>
      <x:c r="G362" s="464" t="n">
        <x:f>IF($J362&lt;&gt;"",REGEXREPLACE(TO_TEXT('_Supporto Listone'!G362),"(.)","$1"&amp;UNICHAR(822)),'_Supporto Listone'!G362)</x:f>
        <x:v>11</x:v>
      </x:c>
      <x:c r="H362" s="464" t="n">
        <x:f>IF($J362&lt;&gt;"",REGEXREPLACE(TO_TEXT('_Supporto Listone'!H362),"(.)","$1"&amp;UNICHAR(822)),'_Supporto Listone'!H362)</x:f>
        <x:v>6</x:v>
      </x:c>
      <x:c r="I362" s="442"/>
      <x:c r="J362" s="441" t="str">
        <x:f>IF(COUNTIF(Asta!$B$4:$B$47,'_Supporto Listone'!B362)&gt;0,"Simone",IF(COUNTIF(Asta!$D$4:$D$47,'_Supporto Listone'!B362)&gt;0,"Giacomo",IF(COUNTIF(Asta!$F$4:$F$47,'_Supporto Listone'!B362)&gt;0,"Niko",IF(COUNTIF(Asta!$H$4:$H$47,'_Supporto Listone'!B362)&gt;0,"Quici",IF(COUNTIF(Asta!$J$4:$J$47,'_Supporto Listone'!B362)&gt;0,"Fratello Quici",IF(COUNTIF(Asta!$L$4:$L$47,'_Supporto Listone'!B362)&gt;0,"Nicolò",IF(COUNTIF(Asta!$N$4:$N$47,'_Supporto Listone'!B362)&gt;0,"Vi",IF(COUNTIF(Asta!$P$4:$P$47,'_Supporto Listone'!B362)&gt;0,"Lore",IF(COUNTIF(Asta!$R$4:$R$47,'_Supporto Listone'!B362)&gt;0,"Robbo",IF(COUNTIF(Asta!$T$4:$T$47,'_Supporto Listone'!B362)&gt;0,"Ale",""))))))))))</x:f>
      </x:c>
      <x:c r="K362" s="495" t="str">
        <x:f>IF(COUNTIF(Asta!$B$4:$B$47,'_Supporto Listone'!B362)&gt;0,INDEX(Asta!$C$4:$C$47,MATCH('_Supporto Listone'!B362,Asta!$B$4:$B$47,0)),IF(COUNTIF(Asta!$D$4:$D$47,'_Supporto Listone'!B362)&gt;0,INDEX(Asta!$E$4:$E$47,MATCH('_Supporto Listone'!B362,Asta!$D$4:$D$47,0)),IF(COUNTIF(Asta!$F$4:$F$47,'_Supporto Listone'!B362)&gt;0,INDEX(Asta!$G$4:$G$47,MATCH('_Supporto Listone'!B362,Asta!$F$4:$F$47,0)),IF(COUNTIF(Asta!$H$4:$H$47,'_Supporto Listone'!B362)&gt;0,INDEX(Asta!$I$4:$I$47,MATCH('_Supporto Listone'!B362,Asta!$H$4:$H$47,0)),IF(COUNTIF(Asta!$J$4:$J$47,'_Supporto Listone'!B362)&gt;0,INDEX(Asta!$K$4:$K$47,MATCH('_Supporto Listone'!B362,Asta!$J$4:$J$47,0)),IF(COUNTIF(Asta!$L$4:$L$47,'_Supporto Listone'!B362)&gt;0,INDEX(Asta!$M$4:$M$47,MATCH('_Supporto Listone'!B362,Asta!$L$4:$L$47,0)),IF(COUNTIF(Asta!$N$4:$N$47,'_Supporto Listone'!B362)&gt;0,INDEX(Asta!$O$4:$O$47,MATCH('_Supporto Listone'!B362,Asta!$N$4:$N$47,0)),IF(COUNTIF(Asta!$P$4:$P$47,'_Supporto Listone'!B362)&gt;0,INDEX(Asta!$Q$4:$Q$47,MATCH('_Supporto Listone'!B362,Asta!$P$4:$P$47,0)),IF(COUNTIF(Asta!$R$4:$R$47,'_Supporto Listone'!B362)&gt;0,INDEX(Asta!$S$4:$S$47,MATCH('_Supporto Listone'!B362,Asta!$R$4:$R$47,0)),IF(COUNTIF(Asta!$T$4:$T$47,'_Supporto Listone'!B362)&gt;0,INDEX(Asta!$U$4:$U$47,MATCH('_Supporto Listone'!B362,Asta!$T$4:$T$47,0)),""))))))))))</x:f>
      </x:c>
    </x:row>
    <x:row r="363">
      <x:c r="A363" s="440" t="str">
        <x:f>IF($J363&lt;&gt;"",REGEXREPLACE(TO_TEXT('_Supporto Listone'!A363),"(.)","$1"&amp;UNICHAR(822)),'_Supporto Listone'!A363)</x:f>
        <x:v>C</x:v>
      </x:c>
      <x:c r="B363" s="441" t="str">
        <x:f>IF($J363&lt;&gt;"",REGEXREPLACE(TO_TEXT('_Supporto Listone'!B363),"(.)","$1"&amp;UNICHAR(822)),'_Supporto Listone'!B363)</x:f>
        <x:v>Luis Henrique</x:v>
      </x:c>
      <x:c r="C363" s="441" t="str">
        <x:f>IF($J363&lt;&gt;"",REGEXREPLACE(TO_TEXT('_Supporto Listone'!C363),"(.)","$1"&amp;UNICHAR(822)),'_Supporto Listone'!C363)</x:f>
        <x:v>Inter</x:v>
      </x:c>
      <x:c r="D363" s="441" t="str">
        <x:f>IF($J363&lt;&gt;"",REGEXREPLACE(TO_TEXT('_Supporto Listone'!D363),"(.)","$1"&amp;UNICHAR(822)),'_Supporto Listone'!D363)</x:f>
        <x:v>E;W</x:v>
      </x:c>
      <x:c r="E363" s="441" t="str">
        <x:f>IF($J363&lt;&gt;"",REGEXREPLACE(TO_TEXT('_Supporto Listone'!E363),"(.)","$1"&amp;UNICHAR(822)),'_Supporto Listone'!E363)</x:f>
        <x:v>Riserva / rotazione</x:v>
      </x:c>
      <x:c r="F363" s="464" t="n">
        <x:f>IF($J363&lt;&gt;"",REGEXREPLACE(TO_TEXT('_Supporto Listone'!F363),"(.)","$1"&amp;UNICHAR(822)),'_Supporto Listone'!F363)</x:f>
        <x:v>4</x:v>
      </x:c>
      <x:c r="G363" s="464" t="n">
        <x:f>IF($J363&lt;&gt;"",REGEXREPLACE(TO_TEXT('_Supporto Listone'!G363),"(.)","$1"&amp;UNICHAR(822)),'_Supporto Listone'!G363)</x:f>
        <x:v>13</x:v>
      </x:c>
      <x:c r="H363" s="464" t="n">
        <x:f>IF($J363&lt;&gt;"",REGEXREPLACE(TO_TEXT('_Supporto Listone'!H363),"(.)","$1"&amp;UNICHAR(822)),'_Supporto Listone'!H363)</x:f>
        <x:v>7</x:v>
      </x:c>
      <x:c r="I363" s="442"/>
      <x:c r="J363" s="441" t="str">
        <x:f>IF(COUNTIF(Asta!$B$4:$B$47,'_Supporto Listone'!B363)&gt;0,"Simone",IF(COUNTIF(Asta!$D$4:$D$47,'_Supporto Listone'!B363)&gt;0,"Giacomo",IF(COUNTIF(Asta!$F$4:$F$47,'_Supporto Listone'!B363)&gt;0,"Niko",IF(COUNTIF(Asta!$H$4:$H$47,'_Supporto Listone'!B363)&gt;0,"Quici",IF(COUNTIF(Asta!$J$4:$J$47,'_Supporto Listone'!B363)&gt;0,"Fratello Quici",IF(COUNTIF(Asta!$L$4:$L$47,'_Supporto Listone'!B363)&gt;0,"Nicolò",IF(COUNTIF(Asta!$N$4:$N$47,'_Supporto Listone'!B363)&gt;0,"Vi",IF(COUNTIF(Asta!$P$4:$P$47,'_Supporto Listone'!B363)&gt;0,"Lore",IF(COUNTIF(Asta!$R$4:$R$47,'_Supporto Listone'!B363)&gt;0,"Robbo",IF(COUNTIF(Asta!$T$4:$T$47,'_Supporto Listone'!B363)&gt;0,"Ale",""))))))))))</x:f>
      </x:c>
      <x:c r="K363" s="495" t="str">
        <x:f>IF(COUNTIF(Asta!$B$4:$B$47,'_Supporto Listone'!B363)&gt;0,INDEX(Asta!$C$4:$C$47,MATCH('_Supporto Listone'!B363,Asta!$B$4:$B$47,0)),IF(COUNTIF(Asta!$D$4:$D$47,'_Supporto Listone'!B363)&gt;0,INDEX(Asta!$E$4:$E$47,MATCH('_Supporto Listone'!B363,Asta!$D$4:$D$47,0)),IF(COUNTIF(Asta!$F$4:$F$47,'_Supporto Listone'!B363)&gt;0,INDEX(Asta!$G$4:$G$47,MATCH('_Supporto Listone'!B363,Asta!$F$4:$F$47,0)),IF(COUNTIF(Asta!$H$4:$H$47,'_Supporto Listone'!B363)&gt;0,INDEX(Asta!$I$4:$I$47,MATCH('_Supporto Listone'!B363,Asta!$H$4:$H$47,0)),IF(COUNTIF(Asta!$J$4:$J$47,'_Supporto Listone'!B363)&gt;0,INDEX(Asta!$K$4:$K$47,MATCH('_Supporto Listone'!B363,Asta!$J$4:$J$47,0)),IF(COUNTIF(Asta!$L$4:$L$47,'_Supporto Listone'!B363)&gt;0,INDEX(Asta!$M$4:$M$47,MATCH('_Supporto Listone'!B363,Asta!$L$4:$L$47,0)),IF(COUNTIF(Asta!$N$4:$N$47,'_Supporto Listone'!B363)&gt;0,INDEX(Asta!$O$4:$O$47,MATCH('_Supporto Listone'!B363,Asta!$N$4:$N$47,0)),IF(COUNTIF(Asta!$P$4:$P$47,'_Supporto Listone'!B363)&gt;0,INDEX(Asta!$Q$4:$Q$47,MATCH('_Supporto Listone'!B363,Asta!$P$4:$P$47,0)),IF(COUNTIF(Asta!$R$4:$R$47,'_Supporto Listone'!B363)&gt;0,INDEX(Asta!$S$4:$S$47,MATCH('_Supporto Listone'!B363,Asta!$R$4:$R$47,0)),IF(COUNTIF(Asta!$T$4:$T$47,'_Supporto Listone'!B363)&gt;0,INDEX(Asta!$U$4:$U$47,MATCH('_Supporto Listone'!B363,Asta!$T$4:$T$47,0)),""))))))))))</x:f>
      </x:c>
    </x:row>
    <x:row r="364">
      <x:c r="A364" s="440" t="str">
        <x:f>IF($J364&lt;&gt;"",REGEXREPLACE(TO_TEXT('_Supporto Listone'!A364),"(.)","$1"&amp;UNICHAR(822)),'_Supporto Listone'!A364)</x:f>
        <x:v>C</x:v>
      </x:c>
      <x:c r="B364" s="441" t="str">
        <x:f>IF($J364&lt;&gt;"",REGEXREPLACE(TO_TEXT('_Supporto Listone'!B364),"(.)","$1"&amp;UNICHAR(822)),'_Supporto Listone'!B364)</x:f>
        <x:v>Douglas Luiz</x:v>
      </x:c>
      <x:c r="C364" s="441" t="str">
        <x:f>IF($J364&lt;&gt;"",REGEXREPLACE(TO_TEXT('_Supporto Listone'!C364),"(.)","$1"&amp;UNICHAR(822)),'_Supporto Listone'!C364)</x:f>
        <x:v>Juventus</x:v>
      </x:c>
      <x:c r="D364" s="441" t="str">
        <x:f>IF($J364&lt;&gt;"",REGEXREPLACE(TO_TEXT('_Supporto Listone'!D364),"(.)","$1"&amp;UNICHAR(822)),'_Supporto Listone'!D364)</x:f>
        <x:v>C</x:v>
      </x:c>
      <x:c r="E364" s="441" t="str">
        <x:f>IF($J364&lt;&gt;"",REGEXREPLACE(TO_TEXT('_Supporto Listone'!E364),"(.)","$1"&amp;UNICHAR(822)),'_Supporto Listone'!E364)</x:f>
        <x:v>Ballottaggio</x:v>
      </x:c>
      <x:c r="F364" s="464" t="n">
        <x:f>IF($J364&lt;&gt;"",REGEXREPLACE(TO_TEXT('_Supporto Listone'!F364),"(.)","$1"&amp;UNICHAR(822)),'_Supporto Listone'!F364)</x:f>
        <x:v>4</x:v>
      </x:c>
      <x:c r="G364" s="464" t="n">
        <x:f>IF($J364&lt;&gt;"",REGEXREPLACE(TO_TEXT('_Supporto Listone'!G364),"(.)","$1"&amp;UNICHAR(822)),'_Supporto Listone'!G364)</x:f>
        <x:v>12</x:v>
      </x:c>
      <x:c r="H364" s="464" t="n">
        <x:f>IF($J364&lt;&gt;"",REGEXREPLACE(TO_TEXT('_Supporto Listone'!H364),"(.)","$1"&amp;UNICHAR(822)),'_Supporto Listone'!H364)</x:f>
        <x:v>6</x:v>
      </x:c>
      <x:c r="I364" s="442" t="str">
        <x:f>IF($J364&lt;&gt;"",REGEXREPLACE(TO_TEXT('_Supporto Listone'!I364),"(.)","$1"&amp;UNICHAR(822)),'_Supporto Listone'!I364)</x:f>
        <x:v>Piazzati</x:v>
      </x:c>
      <x:c r="J364" s="441" t="str">
        <x:f>IF(COUNTIF(Asta!$B$4:$B$47,'_Supporto Listone'!B364)&gt;0,"Simone",IF(COUNTIF(Asta!$D$4:$D$47,'_Supporto Listone'!B364)&gt;0,"Giacomo",IF(COUNTIF(Asta!$F$4:$F$47,'_Supporto Listone'!B364)&gt;0,"Niko",IF(COUNTIF(Asta!$H$4:$H$47,'_Supporto Listone'!B364)&gt;0,"Quici",IF(COUNTIF(Asta!$J$4:$J$47,'_Supporto Listone'!B364)&gt;0,"Fratello Quici",IF(COUNTIF(Asta!$L$4:$L$47,'_Supporto Listone'!B364)&gt;0,"Nicolò",IF(COUNTIF(Asta!$N$4:$N$47,'_Supporto Listone'!B364)&gt;0,"Vi",IF(COUNTIF(Asta!$P$4:$P$47,'_Supporto Listone'!B364)&gt;0,"Lore",IF(COUNTIF(Asta!$R$4:$R$47,'_Supporto Listone'!B364)&gt;0,"Robbo",IF(COUNTIF(Asta!$T$4:$T$47,'_Supporto Listone'!B364)&gt;0,"Ale",""))))))))))</x:f>
      </x:c>
      <x:c r="K364" s="495" t="str">
        <x:f>IF(COUNTIF(Asta!$B$4:$B$47,'_Supporto Listone'!B364)&gt;0,INDEX(Asta!$C$4:$C$47,MATCH('_Supporto Listone'!B364,Asta!$B$4:$B$47,0)),IF(COUNTIF(Asta!$D$4:$D$47,'_Supporto Listone'!B364)&gt;0,INDEX(Asta!$E$4:$E$47,MATCH('_Supporto Listone'!B364,Asta!$D$4:$D$47,0)),IF(COUNTIF(Asta!$F$4:$F$47,'_Supporto Listone'!B364)&gt;0,INDEX(Asta!$G$4:$G$47,MATCH('_Supporto Listone'!B364,Asta!$F$4:$F$47,0)),IF(COUNTIF(Asta!$H$4:$H$47,'_Supporto Listone'!B364)&gt;0,INDEX(Asta!$I$4:$I$47,MATCH('_Supporto Listone'!B364,Asta!$H$4:$H$47,0)),IF(COUNTIF(Asta!$J$4:$J$47,'_Supporto Listone'!B364)&gt;0,INDEX(Asta!$K$4:$K$47,MATCH('_Supporto Listone'!B364,Asta!$J$4:$J$47,0)),IF(COUNTIF(Asta!$L$4:$L$47,'_Supporto Listone'!B364)&gt;0,INDEX(Asta!$M$4:$M$47,MATCH('_Supporto Listone'!B364,Asta!$L$4:$L$47,0)),IF(COUNTIF(Asta!$N$4:$N$47,'_Supporto Listone'!B364)&gt;0,INDEX(Asta!$O$4:$O$47,MATCH('_Supporto Listone'!B364,Asta!$N$4:$N$47,0)),IF(COUNTIF(Asta!$P$4:$P$47,'_Supporto Listone'!B364)&gt;0,INDEX(Asta!$Q$4:$Q$47,MATCH('_Supporto Listone'!B364,Asta!$P$4:$P$47,0)),IF(COUNTIF(Asta!$R$4:$R$47,'_Supporto Listone'!B364)&gt;0,INDEX(Asta!$S$4:$S$47,MATCH('_Supporto Listone'!B364,Asta!$R$4:$R$47,0)),IF(COUNTIF(Asta!$T$4:$T$47,'_Supporto Listone'!B364)&gt;0,INDEX(Asta!$U$4:$U$47,MATCH('_Supporto Listone'!B364,Asta!$T$4:$T$47,0)),""))))))))))</x:f>
      </x:c>
    </x:row>
    <x:row r="365">
      <x:c r="A365" s="440" t="str">
        <x:f>IF($J365&lt;&gt;"",REGEXREPLACE(TO_TEXT('_Supporto Listone'!A365),"(.)","$1"&amp;UNICHAR(822)),'_Supporto Listone'!A365)</x:f>
        <x:v>C</x:v>
      </x:c>
      <x:c r="B365" s="441" t="str">
        <x:f>IF($J365&lt;&gt;"",REGEXREPLACE(TO_TEXT('_Supporto Listone'!B365),"(.)","$1"&amp;UNICHAR(822)),'_Supporto Listone'!B365)</x:f>
        <x:v>Cataldi</x:v>
      </x:c>
      <x:c r="C365" s="441" t="str">
        <x:f>IF($J365&lt;&gt;"",REGEXREPLACE(TO_TEXT('_Supporto Listone'!C365),"(.)","$1"&amp;UNICHAR(822)),'_Supporto Listone'!C365)</x:f>
        <x:v>Lazio</x:v>
      </x:c>
      <x:c r="D365" s="441" t="str">
        <x:f>IF($J365&lt;&gt;"",REGEXREPLACE(TO_TEXT('_Supporto Listone'!D365),"(.)","$1"&amp;UNICHAR(822)),'_Supporto Listone'!D365)</x:f>
        <x:v>M;C</x:v>
      </x:c>
      <x:c r="E365" s="441" t="str">
        <x:f>IF($J365&lt;&gt;"",REGEXREPLACE(TO_TEXT('_Supporto Listone'!E365),"(.)","$1"&amp;UNICHAR(822)),'_Supporto Listone'!E365)</x:f>
        <x:v>Riserva / rotazione</x:v>
      </x:c>
      <x:c r="F365" s="464" t="n">
        <x:f>IF($J365&lt;&gt;"",REGEXREPLACE(TO_TEXT('_Supporto Listone'!F365),"(.)","$1"&amp;UNICHAR(822)),'_Supporto Listone'!F365)</x:f>
        <x:v>4</x:v>
      </x:c>
      <x:c r="G365" s="464" t="n">
        <x:f>IF($J365&lt;&gt;"",REGEXREPLACE(TO_TEXT('_Supporto Listone'!G365),"(.)","$1"&amp;UNICHAR(822)),'_Supporto Listone'!G365)</x:f>
        <x:v>12</x:v>
      </x:c>
      <x:c r="H365" s="464" t="n">
        <x:f>IF($J365&lt;&gt;"",REGEXREPLACE(TO_TEXT('_Supporto Listone'!H365),"(.)","$1"&amp;UNICHAR(822)),'_Supporto Listone'!H365)</x:f>
        <x:v>6</x:v>
      </x:c>
      <x:c r="I365" s="442"/>
      <x:c r="J365" s="441" t="str">
        <x:f>IF(COUNTIF(Asta!$B$4:$B$47,'_Supporto Listone'!B365)&gt;0,"Simone",IF(COUNTIF(Asta!$D$4:$D$47,'_Supporto Listone'!B365)&gt;0,"Giacomo",IF(COUNTIF(Asta!$F$4:$F$47,'_Supporto Listone'!B365)&gt;0,"Niko",IF(COUNTIF(Asta!$H$4:$H$47,'_Supporto Listone'!B365)&gt;0,"Quici",IF(COUNTIF(Asta!$J$4:$J$47,'_Supporto Listone'!B365)&gt;0,"Fratello Quici",IF(COUNTIF(Asta!$L$4:$L$47,'_Supporto Listone'!B365)&gt;0,"Nicolò",IF(COUNTIF(Asta!$N$4:$N$47,'_Supporto Listone'!B365)&gt;0,"Vi",IF(COUNTIF(Asta!$P$4:$P$47,'_Supporto Listone'!B365)&gt;0,"Lore",IF(COUNTIF(Asta!$R$4:$R$47,'_Supporto Listone'!B365)&gt;0,"Robbo",IF(COUNTIF(Asta!$T$4:$T$47,'_Supporto Listone'!B365)&gt;0,"Ale",""))))))))))</x:f>
      </x:c>
      <x:c r="K365" s="495" t="str">
        <x:f>IF(COUNTIF(Asta!$B$4:$B$47,'_Supporto Listone'!B365)&gt;0,INDEX(Asta!$C$4:$C$47,MATCH('_Supporto Listone'!B365,Asta!$B$4:$B$47,0)),IF(COUNTIF(Asta!$D$4:$D$47,'_Supporto Listone'!B365)&gt;0,INDEX(Asta!$E$4:$E$47,MATCH('_Supporto Listone'!B365,Asta!$D$4:$D$47,0)),IF(COUNTIF(Asta!$F$4:$F$47,'_Supporto Listone'!B365)&gt;0,INDEX(Asta!$G$4:$G$47,MATCH('_Supporto Listone'!B365,Asta!$F$4:$F$47,0)),IF(COUNTIF(Asta!$H$4:$H$47,'_Supporto Listone'!B365)&gt;0,INDEX(Asta!$I$4:$I$47,MATCH('_Supporto Listone'!B365,Asta!$H$4:$H$47,0)),IF(COUNTIF(Asta!$J$4:$J$47,'_Supporto Listone'!B365)&gt;0,INDEX(Asta!$K$4:$K$47,MATCH('_Supporto Listone'!B365,Asta!$J$4:$J$47,0)),IF(COUNTIF(Asta!$L$4:$L$47,'_Supporto Listone'!B365)&gt;0,INDEX(Asta!$M$4:$M$47,MATCH('_Supporto Listone'!B365,Asta!$L$4:$L$47,0)),IF(COUNTIF(Asta!$N$4:$N$47,'_Supporto Listone'!B365)&gt;0,INDEX(Asta!$O$4:$O$47,MATCH('_Supporto Listone'!B365,Asta!$N$4:$N$47,0)),IF(COUNTIF(Asta!$P$4:$P$47,'_Supporto Listone'!B365)&gt;0,INDEX(Asta!$Q$4:$Q$47,MATCH('_Supporto Listone'!B365,Asta!$P$4:$P$47,0)),IF(COUNTIF(Asta!$R$4:$R$47,'_Supporto Listone'!B365)&gt;0,INDEX(Asta!$S$4:$S$47,MATCH('_Supporto Listone'!B365,Asta!$R$4:$R$47,0)),IF(COUNTIF(Asta!$T$4:$T$47,'_Supporto Listone'!B365)&gt;0,INDEX(Asta!$U$4:$U$47,MATCH('_Supporto Listone'!B365,Asta!$T$4:$T$47,0)),""))))))))))</x:f>
      </x:c>
    </x:row>
    <x:row r="366">
      <x:c r="A366" s="440" t="str">
        <x:f>IF($J366&lt;&gt;"",REGEXREPLACE(TO_TEXT('_Supporto Listone'!A366),"(.)","$1"&amp;UNICHAR(822)),'_Supporto Listone'!A366)</x:f>
        <x:v>C</x:v>
      </x:c>
      <x:c r="B366" s="441" t="str">
        <x:f>IF($J366&lt;&gt;"",REGEXREPLACE(TO_TEXT('_Supporto Listone'!B366),"(.)","$1"&amp;UNICHAR(822)),'_Supporto Listone'!B366)</x:f>
        <x:v>Ngom</x:v>
      </x:c>
      <x:c r="C366" s="441" t="str">
        <x:f>IF($J366&lt;&gt;"",REGEXREPLACE(TO_TEXT('_Supporto Listone'!C366),"(.)","$1"&amp;UNICHAR(822)),'_Supporto Listone'!C366)</x:f>
        <x:v>Lecce</x:v>
      </x:c>
      <x:c r="D366" s="441" t="str">
        <x:f>IF($J366&lt;&gt;"",REGEXREPLACE(TO_TEXT('_Supporto Listone'!D366),"(.)","$1"&amp;UNICHAR(822)),'_Supporto Listone'!D366)</x:f>
        <x:v>M;C</x:v>
      </x:c>
      <x:c r="E366" s="441" t="str">
        <x:f>IF($J366&lt;&gt;"",REGEXREPLACE(TO_TEXT('_Supporto Listone'!E366),"(.)","$1"&amp;UNICHAR(822)),'_Supporto Listone'!E366)</x:f>
        <x:v>Ballottaggio</x:v>
      </x:c>
      <x:c r="F366" s="464" t="n">
        <x:f>IF($J366&lt;&gt;"",REGEXREPLACE(TO_TEXT('_Supporto Listone'!F366),"(.)","$1"&amp;UNICHAR(822)),'_Supporto Listone'!F366)</x:f>
        <x:v>4</x:v>
      </x:c>
      <x:c r="G366" s="464" t="n">
        <x:f>IF($J366&lt;&gt;"",REGEXREPLACE(TO_TEXT('_Supporto Listone'!G366),"(.)","$1"&amp;UNICHAR(822)),'_Supporto Listone'!G366)</x:f>
        <x:v>11</x:v>
      </x:c>
      <x:c r="H366" s="464" t="n">
        <x:f>IF($J366&lt;&gt;"",REGEXREPLACE(TO_TEXT('_Supporto Listone'!H366),"(.)","$1"&amp;UNICHAR(822)),'_Supporto Listone'!H366)</x:f>
        <x:v>6</x:v>
      </x:c>
      <x:c r="I366" s="442"/>
      <x:c r="J366" s="441" t="str">
        <x:f>IF(COUNTIF(Asta!$B$4:$B$47,'_Supporto Listone'!B366)&gt;0,"Simone",IF(COUNTIF(Asta!$D$4:$D$47,'_Supporto Listone'!B366)&gt;0,"Giacomo",IF(COUNTIF(Asta!$F$4:$F$47,'_Supporto Listone'!B366)&gt;0,"Niko",IF(COUNTIF(Asta!$H$4:$H$47,'_Supporto Listone'!B366)&gt;0,"Quici",IF(COUNTIF(Asta!$J$4:$J$47,'_Supporto Listone'!B366)&gt;0,"Fratello Quici",IF(COUNTIF(Asta!$L$4:$L$47,'_Supporto Listone'!B366)&gt;0,"Nicolò",IF(COUNTIF(Asta!$N$4:$N$47,'_Supporto Listone'!B366)&gt;0,"Vi",IF(COUNTIF(Asta!$P$4:$P$47,'_Supporto Listone'!B366)&gt;0,"Lore",IF(COUNTIF(Asta!$R$4:$R$47,'_Supporto Listone'!B366)&gt;0,"Robbo",IF(COUNTIF(Asta!$T$4:$T$47,'_Supporto Listone'!B366)&gt;0,"Ale",""))))))))))</x:f>
      </x:c>
      <x:c r="K366" s="495" t="str">
        <x:f>IF(COUNTIF(Asta!$B$4:$B$47,'_Supporto Listone'!B366)&gt;0,INDEX(Asta!$C$4:$C$47,MATCH('_Supporto Listone'!B366,Asta!$B$4:$B$47,0)),IF(COUNTIF(Asta!$D$4:$D$47,'_Supporto Listone'!B366)&gt;0,INDEX(Asta!$E$4:$E$47,MATCH('_Supporto Listone'!B366,Asta!$D$4:$D$47,0)),IF(COUNTIF(Asta!$F$4:$F$47,'_Supporto Listone'!B366)&gt;0,INDEX(Asta!$G$4:$G$47,MATCH('_Supporto Listone'!B366,Asta!$F$4:$F$47,0)),IF(COUNTIF(Asta!$H$4:$H$47,'_Supporto Listone'!B366)&gt;0,INDEX(Asta!$I$4:$I$47,MATCH('_Supporto Listone'!B366,Asta!$H$4:$H$47,0)),IF(COUNTIF(Asta!$J$4:$J$47,'_Supporto Listone'!B366)&gt;0,INDEX(Asta!$K$4:$K$47,MATCH('_Supporto Listone'!B366,Asta!$J$4:$J$47,0)),IF(COUNTIF(Asta!$L$4:$L$47,'_Supporto Listone'!B366)&gt;0,INDEX(Asta!$M$4:$M$47,MATCH('_Supporto Listone'!B366,Asta!$L$4:$L$47,0)),IF(COUNTIF(Asta!$N$4:$N$47,'_Supporto Listone'!B366)&gt;0,INDEX(Asta!$O$4:$O$47,MATCH('_Supporto Listone'!B366,Asta!$N$4:$N$47,0)),IF(COUNTIF(Asta!$P$4:$P$47,'_Supporto Listone'!B366)&gt;0,INDEX(Asta!$Q$4:$Q$47,MATCH('_Supporto Listone'!B366,Asta!$P$4:$P$47,0)),IF(COUNTIF(Asta!$R$4:$R$47,'_Supporto Listone'!B366)&gt;0,INDEX(Asta!$S$4:$S$47,MATCH('_Supporto Listone'!B366,Asta!$R$4:$R$47,0)),IF(COUNTIF(Asta!$T$4:$T$47,'_Supporto Listone'!B366)&gt;0,INDEX(Asta!$U$4:$U$47,MATCH('_Supporto Listone'!B366,Asta!$T$4:$T$47,0)),""))))))))))</x:f>
      </x:c>
    </x:row>
    <x:row r="367">
      <x:c r="A367" s="440" t="str">
        <x:f>IF($J367&lt;&gt;"",REGEXREPLACE(TO_TEXT('_Supporto Listone'!A367),"(.)","$1"&amp;UNICHAR(822)),'_Supporto Listone'!A367)</x:f>
        <x:v>C</x:v>
      </x:c>
      <x:c r="B367" s="441" t="str">
        <x:f>IF($J367&lt;&gt;"",REGEXREPLACE(TO_TEXT('_Supporto Listone'!B367),"(.)","$1"&amp;UNICHAR(822)),'_Supporto Listone'!B367)</x:f>
        <x:v>Jashari</x:v>
      </x:c>
      <x:c r="C367" s="441" t="str">
        <x:f>IF($J367&lt;&gt;"",REGEXREPLACE(TO_TEXT('_Supporto Listone'!C367),"(.)","$1"&amp;UNICHAR(822)),'_Supporto Listone'!C367)</x:f>
        <x:v>Milan</x:v>
      </x:c>
      <x:c r="D367" s="441" t="str">
        <x:f>IF($J367&lt;&gt;"",REGEXREPLACE(TO_TEXT('_Supporto Listone'!D367),"(.)","$1"&amp;UNICHAR(822)),'_Supporto Listone'!D367)</x:f>
        <x:v>C</x:v>
      </x:c>
      <x:c r="E367" s="441" t="str">
        <x:f>IF($J367&lt;&gt;"",REGEXREPLACE(TO_TEXT('_Supporto Listone'!E367),"(.)","$1"&amp;UNICHAR(822)),'_Supporto Listone'!E367)</x:f>
        <x:v>Riserva / rotazione</x:v>
      </x:c>
      <x:c r="F367" s="464" t="n">
        <x:f>IF($J367&lt;&gt;"",REGEXREPLACE(TO_TEXT('_Supporto Listone'!F367),"(.)","$1"&amp;UNICHAR(822)),'_Supporto Listone'!F367)</x:f>
        <x:v>4</x:v>
      </x:c>
      <x:c r="G367" s="464" t="n">
        <x:f>IF($J367&lt;&gt;"",REGEXREPLACE(TO_TEXT('_Supporto Listone'!G367),"(.)","$1"&amp;UNICHAR(822)),'_Supporto Listone'!G367)</x:f>
        <x:v>11</x:v>
      </x:c>
      <x:c r="H367" s="464" t="n">
        <x:f>IF($J367&lt;&gt;"",REGEXREPLACE(TO_TEXT('_Supporto Listone'!H367),"(.)","$1"&amp;UNICHAR(822)),'_Supporto Listone'!H367)</x:f>
        <x:v>6</x:v>
      </x:c>
      <x:c r="I367" s="442"/>
      <x:c r="J367" s="441" t="str">
        <x:f>IF(COUNTIF(Asta!$B$4:$B$47,'_Supporto Listone'!B367)&gt;0,"Simone",IF(COUNTIF(Asta!$D$4:$D$47,'_Supporto Listone'!B367)&gt;0,"Giacomo",IF(COUNTIF(Asta!$F$4:$F$47,'_Supporto Listone'!B367)&gt;0,"Niko",IF(COUNTIF(Asta!$H$4:$H$47,'_Supporto Listone'!B367)&gt;0,"Quici",IF(COUNTIF(Asta!$J$4:$J$47,'_Supporto Listone'!B367)&gt;0,"Fratello Quici",IF(COUNTIF(Asta!$L$4:$L$47,'_Supporto Listone'!B367)&gt;0,"Nicolò",IF(COUNTIF(Asta!$N$4:$N$47,'_Supporto Listone'!B367)&gt;0,"Vi",IF(COUNTIF(Asta!$P$4:$P$47,'_Supporto Listone'!B367)&gt;0,"Lore",IF(COUNTIF(Asta!$R$4:$R$47,'_Supporto Listone'!B367)&gt;0,"Robbo",IF(COUNTIF(Asta!$T$4:$T$47,'_Supporto Listone'!B367)&gt;0,"Ale",""))))))))))</x:f>
      </x:c>
      <x:c r="K367" s="495" t="str">
        <x:f>IF(COUNTIF(Asta!$B$4:$B$47,'_Supporto Listone'!B367)&gt;0,INDEX(Asta!$C$4:$C$47,MATCH('_Supporto Listone'!B367,Asta!$B$4:$B$47,0)),IF(COUNTIF(Asta!$D$4:$D$47,'_Supporto Listone'!B367)&gt;0,INDEX(Asta!$E$4:$E$47,MATCH('_Supporto Listone'!B367,Asta!$D$4:$D$47,0)),IF(COUNTIF(Asta!$F$4:$F$47,'_Supporto Listone'!B367)&gt;0,INDEX(Asta!$G$4:$G$47,MATCH('_Supporto Listone'!B367,Asta!$F$4:$F$47,0)),IF(COUNTIF(Asta!$H$4:$H$47,'_Supporto Listone'!B367)&gt;0,INDEX(Asta!$I$4:$I$47,MATCH('_Supporto Listone'!B367,Asta!$H$4:$H$47,0)),IF(COUNTIF(Asta!$J$4:$J$47,'_Supporto Listone'!B367)&gt;0,INDEX(Asta!$K$4:$K$47,MATCH('_Supporto Listone'!B367,Asta!$J$4:$J$47,0)),IF(COUNTIF(Asta!$L$4:$L$47,'_Supporto Listone'!B367)&gt;0,INDEX(Asta!$M$4:$M$47,MATCH('_Supporto Listone'!B367,Asta!$L$4:$L$47,0)),IF(COUNTIF(Asta!$N$4:$N$47,'_Supporto Listone'!B367)&gt;0,INDEX(Asta!$O$4:$O$47,MATCH('_Supporto Listone'!B367,Asta!$N$4:$N$47,0)),IF(COUNTIF(Asta!$P$4:$P$47,'_Supporto Listone'!B367)&gt;0,INDEX(Asta!$Q$4:$Q$47,MATCH('_Supporto Listone'!B367,Asta!$P$4:$P$47,0)),IF(COUNTIF(Asta!$R$4:$R$47,'_Supporto Listone'!B367)&gt;0,INDEX(Asta!$S$4:$S$47,MATCH('_Supporto Listone'!B367,Asta!$R$4:$R$47,0)),IF(COUNTIF(Asta!$T$4:$T$47,'_Supporto Listone'!B367)&gt;0,INDEX(Asta!$U$4:$U$47,MATCH('_Supporto Listone'!B367,Asta!$T$4:$T$47,0)),""))))))))))</x:f>
      </x:c>
    </x:row>
    <x:row r="368">
      <x:c r="A368" s="440" t="str">
        <x:f>IF($J368&lt;&gt;"",REGEXREPLACE(TO_TEXT('_Supporto Listone'!A368),"(.)","$1"&amp;UNICHAR(822)),'_Supporto Listone'!A368)</x:f>
        <x:v>C</x:v>
      </x:c>
      <x:c r="B368" s="441" t="str">
        <x:f>IF($J368&lt;&gt;"",REGEXREPLACE(TO_TEXT('_Supporto Listone'!B368),"(.)","$1"&amp;UNICHAR(822)),'_Supporto Listone'!B368)</x:f>
        <x:v>Loftus-Cheek</x:v>
      </x:c>
      <x:c r="C368" s="441" t="str">
        <x:f>IF($J368&lt;&gt;"",REGEXREPLACE(TO_TEXT('_Supporto Listone'!C368),"(.)","$1"&amp;UNICHAR(822)),'_Supporto Listone'!C368)</x:f>
        <x:v>Milan</x:v>
      </x:c>
      <x:c r="D368" s="441" t="str">
        <x:f>IF($J368&lt;&gt;"",REGEXREPLACE(TO_TEXT('_Supporto Listone'!D368),"(.)","$1"&amp;UNICHAR(822)),'_Supporto Listone'!D368)</x:f>
        <x:v>C;T</x:v>
      </x:c>
      <x:c r="E368" s="441" t="str">
        <x:f>IF($J368&lt;&gt;"",REGEXREPLACE(TO_TEXT('_Supporto Listone'!E368),"(.)","$1"&amp;UNICHAR(822)),'_Supporto Listone'!E368)</x:f>
        <x:v>Ballottaggio</x:v>
      </x:c>
      <x:c r="F368" s="464" t="n">
        <x:f>IF($J368&lt;&gt;"",REGEXREPLACE(TO_TEXT('_Supporto Listone'!F368),"(.)","$1"&amp;UNICHAR(822)),'_Supporto Listone'!F368)</x:f>
        <x:v>4</x:v>
      </x:c>
      <x:c r="G368" s="464" t="n">
        <x:f>IF($J368&lt;&gt;"",REGEXREPLACE(TO_TEXT('_Supporto Listone'!G368),"(.)","$1"&amp;UNICHAR(822)),'_Supporto Listone'!G368)</x:f>
        <x:v>11</x:v>
      </x:c>
      <x:c r="H368" s="464" t="n">
        <x:f>IF($J368&lt;&gt;"",REGEXREPLACE(TO_TEXT('_Supporto Listone'!H368),"(.)","$1"&amp;UNICHAR(822)),'_Supporto Listone'!H368)</x:f>
        <x:v>6</x:v>
      </x:c>
      <x:c r="I368" s="442"/>
      <x:c r="J368" s="441" t="str">
        <x:f>IF(COUNTIF(Asta!$B$4:$B$47,'_Supporto Listone'!B368)&gt;0,"Simone",IF(COUNTIF(Asta!$D$4:$D$47,'_Supporto Listone'!B368)&gt;0,"Giacomo",IF(COUNTIF(Asta!$F$4:$F$47,'_Supporto Listone'!B368)&gt;0,"Niko",IF(COUNTIF(Asta!$H$4:$H$47,'_Supporto Listone'!B368)&gt;0,"Quici",IF(COUNTIF(Asta!$J$4:$J$47,'_Supporto Listone'!B368)&gt;0,"Fratello Quici",IF(COUNTIF(Asta!$L$4:$L$47,'_Supporto Listone'!B368)&gt;0,"Nicolò",IF(COUNTIF(Asta!$N$4:$N$47,'_Supporto Listone'!B368)&gt;0,"Vi",IF(COUNTIF(Asta!$P$4:$P$47,'_Supporto Listone'!B368)&gt;0,"Lore",IF(COUNTIF(Asta!$R$4:$R$47,'_Supporto Listone'!B368)&gt;0,"Robbo",IF(COUNTIF(Asta!$T$4:$T$47,'_Supporto Listone'!B368)&gt;0,"Ale",""))))))))))</x:f>
      </x:c>
      <x:c r="K368" s="495" t="str">
        <x:f>IF(COUNTIF(Asta!$B$4:$B$47,'_Supporto Listone'!B368)&gt;0,INDEX(Asta!$C$4:$C$47,MATCH('_Supporto Listone'!B368,Asta!$B$4:$B$47,0)),IF(COUNTIF(Asta!$D$4:$D$47,'_Supporto Listone'!B368)&gt;0,INDEX(Asta!$E$4:$E$47,MATCH('_Supporto Listone'!B368,Asta!$D$4:$D$47,0)),IF(COUNTIF(Asta!$F$4:$F$47,'_Supporto Listone'!B368)&gt;0,INDEX(Asta!$G$4:$G$47,MATCH('_Supporto Listone'!B368,Asta!$F$4:$F$47,0)),IF(COUNTIF(Asta!$H$4:$H$47,'_Supporto Listone'!B368)&gt;0,INDEX(Asta!$I$4:$I$47,MATCH('_Supporto Listone'!B368,Asta!$H$4:$H$47,0)),IF(COUNTIF(Asta!$J$4:$J$47,'_Supporto Listone'!B368)&gt;0,INDEX(Asta!$K$4:$K$47,MATCH('_Supporto Listone'!B368,Asta!$J$4:$J$47,0)),IF(COUNTIF(Asta!$L$4:$L$47,'_Supporto Listone'!B368)&gt;0,INDEX(Asta!$M$4:$M$47,MATCH('_Supporto Listone'!B368,Asta!$L$4:$L$47,0)),IF(COUNTIF(Asta!$N$4:$N$47,'_Supporto Listone'!B368)&gt;0,INDEX(Asta!$O$4:$O$47,MATCH('_Supporto Listone'!B368,Asta!$N$4:$N$47,0)),IF(COUNTIF(Asta!$P$4:$P$47,'_Supporto Listone'!B368)&gt;0,INDEX(Asta!$Q$4:$Q$47,MATCH('_Supporto Listone'!B368,Asta!$P$4:$P$47,0)),IF(COUNTIF(Asta!$R$4:$R$47,'_Supporto Listone'!B368)&gt;0,INDEX(Asta!$S$4:$S$47,MATCH('_Supporto Listone'!B368,Asta!$R$4:$R$47,0)),IF(COUNTIF(Asta!$T$4:$T$47,'_Supporto Listone'!B368)&gt;0,INDEX(Asta!$U$4:$U$47,MATCH('_Supporto Listone'!B368,Asta!$T$4:$T$47,0)),""))))))))))</x:f>
      </x:c>
    </x:row>
    <x:row r="369">
      <x:c r="A369" s="440" t="str">
        <x:f>IF($J369&lt;&gt;"",REGEXREPLACE(TO_TEXT('_Supporto Listone'!A369),"(.)","$1"&amp;UNICHAR(822)),'_Supporto Listone'!A369)</x:f>
        <x:v>C</x:v>
      </x:c>
      <x:c r="B369" s="441" t="str">
        <x:f>IF($J369&lt;&gt;"",REGEXREPLACE(TO_TEXT('_Supporto Listone'!B369),"(.)","$1"&amp;UNICHAR(822)),'_Supporto Listone'!B369)</x:f>
        <x:v>Ricci S.</x:v>
      </x:c>
      <x:c r="C369" s="441" t="str">
        <x:f>IF($J369&lt;&gt;"",REGEXREPLACE(TO_TEXT('_Supporto Listone'!C369),"(.)","$1"&amp;UNICHAR(822)),'_Supporto Listone'!C369)</x:f>
        <x:v>Milan</x:v>
      </x:c>
      <x:c r="D369" s="441" t="str">
        <x:f>IF($J369&lt;&gt;"",REGEXREPLACE(TO_TEXT('_Supporto Listone'!D369),"(.)","$1"&amp;UNICHAR(822)),'_Supporto Listone'!D369)</x:f>
        <x:v>M;C</x:v>
      </x:c>
      <x:c r="E369" s="441" t="str">
        <x:f>IF($J369&lt;&gt;"",REGEXREPLACE(TO_TEXT('_Supporto Listone'!E369),"(.)","$1"&amp;UNICHAR(822)),'_Supporto Listone'!E369)</x:f>
        <x:v>Riserva / rotazione</x:v>
      </x:c>
      <x:c r="F369" s="464" t="n">
        <x:f>IF($J369&lt;&gt;"",REGEXREPLACE(TO_TEXT('_Supporto Listone'!F369),"(.)","$1"&amp;UNICHAR(822)),'_Supporto Listone'!F369)</x:f>
        <x:v>4</x:v>
      </x:c>
      <x:c r="G369" s="464" t="n">
        <x:f>IF($J369&lt;&gt;"",REGEXREPLACE(TO_TEXT('_Supporto Listone'!G369),"(.)","$1"&amp;UNICHAR(822)),'_Supporto Listone'!G369)</x:f>
        <x:v>11</x:v>
      </x:c>
      <x:c r="H369" s="464" t="n">
        <x:f>IF($J369&lt;&gt;"",REGEXREPLACE(TO_TEXT('_Supporto Listone'!H369),"(.)","$1"&amp;UNICHAR(822)),'_Supporto Listone'!H369)</x:f>
        <x:v>6</x:v>
      </x:c>
      <x:c r="I369" s="442"/>
      <x:c r="J369" s="441" t="str">
        <x:f>IF(COUNTIF(Asta!$B$4:$B$47,'_Supporto Listone'!B369)&gt;0,"Simone",IF(COUNTIF(Asta!$D$4:$D$47,'_Supporto Listone'!B369)&gt;0,"Giacomo",IF(COUNTIF(Asta!$F$4:$F$47,'_Supporto Listone'!B369)&gt;0,"Niko",IF(COUNTIF(Asta!$H$4:$H$47,'_Supporto Listone'!B369)&gt;0,"Quici",IF(COUNTIF(Asta!$J$4:$J$47,'_Supporto Listone'!B369)&gt;0,"Fratello Quici",IF(COUNTIF(Asta!$L$4:$L$47,'_Supporto Listone'!B369)&gt;0,"Nicolò",IF(COUNTIF(Asta!$N$4:$N$47,'_Supporto Listone'!B369)&gt;0,"Vi",IF(COUNTIF(Asta!$P$4:$P$47,'_Supporto Listone'!B369)&gt;0,"Lore",IF(COUNTIF(Asta!$R$4:$R$47,'_Supporto Listone'!B369)&gt;0,"Robbo",IF(COUNTIF(Asta!$T$4:$T$47,'_Supporto Listone'!B369)&gt;0,"Ale",""))))))))))</x:f>
      </x:c>
      <x:c r="K369" s="495" t="str">
        <x:f>IF(COUNTIF(Asta!$B$4:$B$47,'_Supporto Listone'!B369)&gt;0,INDEX(Asta!$C$4:$C$47,MATCH('_Supporto Listone'!B369,Asta!$B$4:$B$47,0)),IF(COUNTIF(Asta!$D$4:$D$47,'_Supporto Listone'!B369)&gt;0,INDEX(Asta!$E$4:$E$47,MATCH('_Supporto Listone'!B369,Asta!$D$4:$D$47,0)),IF(COUNTIF(Asta!$F$4:$F$47,'_Supporto Listone'!B369)&gt;0,INDEX(Asta!$G$4:$G$47,MATCH('_Supporto Listone'!B369,Asta!$F$4:$F$47,0)),IF(COUNTIF(Asta!$H$4:$H$47,'_Supporto Listone'!B369)&gt;0,INDEX(Asta!$I$4:$I$47,MATCH('_Supporto Listone'!B369,Asta!$H$4:$H$47,0)),IF(COUNTIF(Asta!$J$4:$J$47,'_Supporto Listone'!B369)&gt;0,INDEX(Asta!$K$4:$K$47,MATCH('_Supporto Listone'!B369,Asta!$J$4:$J$47,0)),IF(COUNTIF(Asta!$L$4:$L$47,'_Supporto Listone'!B369)&gt;0,INDEX(Asta!$M$4:$M$47,MATCH('_Supporto Listone'!B369,Asta!$L$4:$L$47,0)),IF(COUNTIF(Asta!$N$4:$N$47,'_Supporto Listone'!B369)&gt;0,INDEX(Asta!$O$4:$O$47,MATCH('_Supporto Listone'!B369,Asta!$N$4:$N$47,0)),IF(COUNTIF(Asta!$P$4:$P$47,'_Supporto Listone'!B369)&gt;0,INDEX(Asta!$Q$4:$Q$47,MATCH('_Supporto Listone'!B369,Asta!$P$4:$P$47,0)),IF(COUNTIF(Asta!$R$4:$R$47,'_Supporto Listone'!B369)&gt;0,INDEX(Asta!$S$4:$S$47,MATCH('_Supporto Listone'!B369,Asta!$R$4:$R$47,0)),IF(COUNTIF(Asta!$T$4:$T$47,'_Supporto Listone'!B369)&gt;0,INDEX(Asta!$U$4:$U$47,MATCH('_Supporto Listone'!B369,Asta!$T$4:$T$47,0)),""))))))))))</x:f>
      </x:c>
    </x:row>
    <x:row r="370">
      <x:c r="A370" s="440" t="str">
        <x:f>IF($J370&lt;&gt;"",REGEXREPLACE(TO_TEXT('_Supporto Listone'!A370),"(.)","$1"&amp;UNICHAR(822)),'_Supporto Listone'!A370)</x:f>
        <x:v>C</x:v>
      </x:c>
      <x:c r="B370" s="441" t="str">
        <x:f>IF($J370&lt;&gt;"",REGEXREPLACE(TO_TEXT('_Supporto Listone'!B370),"(.)","$1"&amp;UNICHAR(822)),'_Supporto Listone'!B370)</x:f>
        <x:v>Folorunsho</x:v>
      </x:c>
      <x:c r="C370" s="441" t="str">
        <x:f>IF($J370&lt;&gt;"",REGEXREPLACE(TO_TEXT('_Supporto Listone'!C370),"(.)","$1"&amp;UNICHAR(822)),'_Supporto Listone'!C370)</x:f>
        <x:v>Napoli</x:v>
      </x:c>
      <x:c r="D370" s="441" t="str">
        <x:f>IF($J370&lt;&gt;"",REGEXREPLACE(TO_TEXT('_Supporto Listone'!D370),"(.)","$1"&amp;UNICHAR(822)),'_Supporto Listone'!D370)</x:f>
        <x:v>C;T</x:v>
      </x:c>
      <x:c r="E370" s="441" t="str">
        <x:f>IF($J370&lt;&gt;"",REGEXREPLACE(TO_TEXT('_Supporto Listone'!E370),"(.)","$1"&amp;UNICHAR(822)),'_Supporto Listone'!E370)</x:f>
        <x:v>Riserva / rotazione</x:v>
      </x:c>
      <x:c r="F370" s="464" t="n">
        <x:f>IF($J370&lt;&gt;"",REGEXREPLACE(TO_TEXT('_Supporto Listone'!F370),"(.)","$1"&amp;UNICHAR(822)),'_Supporto Listone'!F370)</x:f>
        <x:v>4</x:v>
      </x:c>
      <x:c r="G370" s="464" t="n">
        <x:f>IF($J370&lt;&gt;"",REGEXREPLACE(TO_TEXT('_Supporto Listone'!G370),"(.)","$1"&amp;UNICHAR(822)),'_Supporto Listone'!G370)</x:f>
        <x:v>10</x:v>
      </x:c>
      <x:c r="H370" s="464" t="n">
        <x:f>IF($J370&lt;&gt;"",REGEXREPLACE(TO_TEXT('_Supporto Listone'!H370),"(.)","$1"&amp;UNICHAR(822)),'_Supporto Listone'!H370)</x:f>
        <x:v>5</x:v>
      </x:c>
      <x:c r="I370" s="442"/>
      <x:c r="J370" s="441" t="str">
        <x:f>IF(COUNTIF(Asta!$B$4:$B$47,'_Supporto Listone'!B370)&gt;0,"Simone",IF(COUNTIF(Asta!$D$4:$D$47,'_Supporto Listone'!B370)&gt;0,"Giacomo",IF(COUNTIF(Asta!$F$4:$F$47,'_Supporto Listone'!B370)&gt;0,"Niko",IF(COUNTIF(Asta!$H$4:$H$47,'_Supporto Listone'!B370)&gt;0,"Quici",IF(COUNTIF(Asta!$J$4:$J$47,'_Supporto Listone'!B370)&gt;0,"Fratello Quici",IF(COUNTIF(Asta!$L$4:$L$47,'_Supporto Listone'!B370)&gt;0,"Nicolò",IF(COUNTIF(Asta!$N$4:$N$47,'_Supporto Listone'!B370)&gt;0,"Vi",IF(COUNTIF(Asta!$P$4:$P$47,'_Supporto Listone'!B370)&gt;0,"Lore",IF(COUNTIF(Asta!$R$4:$R$47,'_Supporto Listone'!B370)&gt;0,"Robbo",IF(COUNTIF(Asta!$T$4:$T$47,'_Supporto Listone'!B370)&gt;0,"Ale",""))))))))))</x:f>
      </x:c>
      <x:c r="K370" s="495" t="str">
        <x:f>IF(COUNTIF(Asta!$B$4:$B$47,'_Supporto Listone'!B370)&gt;0,INDEX(Asta!$C$4:$C$47,MATCH('_Supporto Listone'!B370,Asta!$B$4:$B$47,0)),IF(COUNTIF(Asta!$D$4:$D$47,'_Supporto Listone'!B370)&gt;0,INDEX(Asta!$E$4:$E$47,MATCH('_Supporto Listone'!B370,Asta!$D$4:$D$47,0)),IF(COUNTIF(Asta!$F$4:$F$47,'_Supporto Listone'!B370)&gt;0,INDEX(Asta!$G$4:$G$47,MATCH('_Supporto Listone'!B370,Asta!$F$4:$F$47,0)),IF(COUNTIF(Asta!$H$4:$H$47,'_Supporto Listone'!B370)&gt;0,INDEX(Asta!$I$4:$I$47,MATCH('_Supporto Listone'!B370,Asta!$H$4:$H$47,0)),IF(COUNTIF(Asta!$J$4:$J$47,'_Supporto Listone'!B370)&gt;0,INDEX(Asta!$K$4:$K$47,MATCH('_Supporto Listone'!B370,Asta!$J$4:$J$47,0)),IF(COUNTIF(Asta!$L$4:$L$47,'_Supporto Listone'!B370)&gt;0,INDEX(Asta!$M$4:$M$47,MATCH('_Supporto Listone'!B370,Asta!$L$4:$L$47,0)),IF(COUNTIF(Asta!$N$4:$N$47,'_Supporto Listone'!B370)&gt;0,INDEX(Asta!$O$4:$O$47,MATCH('_Supporto Listone'!B370,Asta!$N$4:$N$47,0)),IF(COUNTIF(Asta!$P$4:$P$47,'_Supporto Listone'!B370)&gt;0,INDEX(Asta!$Q$4:$Q$47,MATCH('_Supporto Listone'!B370,Asta!$P$4:$P$47,0)),IF(COUNTIF(Asta!$R$4:$R$47,'_Supporto Listone'!B370)&gt;0,INDEX(Asta!$S$4:$S$47,MATCH('_Supporto Listone'!B370,Asta!$R$4:$R$47,0)),IF(COUNTIF(Asta!$T$4:$T$47,'_Supporto Listone'!B370)&gt;0,INDEX(Asta!$U$4:$U$47,MATCH('_Supporto Listone'!B370,Asta!$T$4:$T$47,0)),""))))))))))</x:f>
      </x:c>
    </x:row>
    <x:row r="371">
      <x:c r="A371" s="440" t="str">
        <x:f>IF($J371&lt;&gt;"",REGEXREPLACE(TO_TEXT('_Supporto Listone'!A371),"(.)","$1"&amp;UNICHAR(822)),'_Supporto Listone'!A371)</x:f>
        <x:v>C</x:v>
      </x:c>
      <x:c r="B371" s="441" t="str">
        <x:f>IF($J371&lt;&gt;"",REGEXREPLACE(TO_TEXT('_Supporto Listone'!B371),"(.)","$1"&amp;UNICHAR(822)),'_Supporto Listone'!B371)</x:f>
        <x:v>Almqvist</x:v>
      </x:c>
      <x:c r="C371" s="441" t="str">
        <x:f>IF($J371&lt;&gt;"",REGEXREPLACE(TO_TEXT('_Supporto Listone'!C371),"(.)","$1"&amp;UNICHAR(822)),'_Supporto Listone'!C371)</x:f>
        <x:v>Parma</x:v>
      </x:c>
      <x:c r="D371" s="441" t="str">
        <x:f>IF($J371&lt;&gt;"",REGEXREPLACE(TO_TEXT('_Supporto Listone'!D371),"(.)","$1"&amp;UNICHAR(822)),'_Supporto Listone'!D371)</x:f>
        <x:v>W;A</x:v>
      </x:c>
      <x:c r="E371" s="441" t="str">
        <x:f>IF($J371&lt;&gt;"",REGEXREPLACE(TO_TEXT('_Supporto Listone'!E371),"(.)","$1"&amp;UNICHAR(822)),'_Supporto Listone'!E371)</x:f>
        <x:v>Riserva / rotazione</x:v>
      </x:c>
      <x:c r="F371" s="464" t="n">
        <x:f>IF($J371&lt;&gt;"",REGEXREPLACE(TO_TEXT('_Supporto Listone'!F371),"(.)","$1"&amp;UNICHAR(822)),'_Supporto Listone'!F371)</x:f>
        <x:v>4</x:v>
      </x:c>
      <x:c r="G371" s="464" t="n">
        <x:f>IF($J371&lt;&gt;"",REGEXREPLACE(TO_TEXT('_Supporto Listone'!G371),"(.)","$1"&amp;UNICHAR(822)),'_Supporto Listone'!G371)</x:f>
        <x:v>14</x:v>
      </x:c>
      <x:c r="H371" s="464" t="n">
        <x:f>IF($J371&lt;&gt;"",REGEXREPLACE(TO_TEXT('_Supporto Listone'!H371),"(.)","$1"&amp;UNICHAR(822)),'_Supporto Listone'!H371)</x:f>
        <x:v>7</x:v>
      </x:c>
      <x:c r="I371" s="442"/>
      <x:c r="J371" s="441" t="str">
        <x:f>IF(COUNTIF(Asta!$B$4:$B$47,'_Supporto Listone'!B371)&gt;0,"Simone",IF(COUNTIF(Asta!$D$4:$D$47,'_Supporto Listone'!B371)&gt;0,"Giacomo",IF(COUNTIF(Asta!$F$4:$F$47,'_Supporto Listone'!B371)&gt;0,"Niko",IF(COUNTIF(Asta!$H$4:$H$47,'_Supporto Listone'!B371)&gt;0,"Quici",IF(COUNTIF(Asta!$J$4:$J$47,'_Supporto Listone'!B371)&gt;0,"Fratello Quici",IF(COUNTIF(Asta!$L$4:$L$47,'_Supporto Listone'!B371)&gt;0,"Nicolò",IF(COUNTIF(Asta!$N$4:$N$47,'_Supporto Listone'!B371)&gt;0,"Vi",IF(COUNTIF(Asta!$P$4:$P$47,'_Supporto Listone'!B371)&gt;0,"Lore",IF(COUNTIF(Asta!$R$4:$R$47,'_Supporto Listone'!B371)&gt;0,"Robbo",IF(COUNTIF(Asta!$T$4:$T$47,'_Supporto Listone'!B371)&gt;0,"Ale",""))))))))))</x:f>
      </x:c>
      <x:c r="K371" s="495" t="str">
        <x:f>IF(COUNTIF(Asta!$B$4:$B$47,'_Supporto Listone'!B371)&gt;0,INDEX(Asta!$C$4:$C$47,MATCH('_Supporto Listone'!B371,Asta!$B$4:$B$47,0)),IF(COUNTIF(Asta!$D$4:$D$47,'_Supporto Listone'!B371)&gt;0,INDEX(Asta!$E$4:$E$47,MATCH('_Supporto Listone'!B371,Asta!$D$4:$D$47,0)),IF(COUNTIF(Asta!$F$4:$F$47,'_Supporto Listone'!B371)&gt;0,INDEX(Asta!$G$4:$G$47,MATCH('_Supporto Listone'!B371,Asta!$F$4:$F$47,0)),IF(COUNTIF(Asta!$H$4:$H$47,'_Supporto Listone'!B371)&gt;0,INDEX(Asta!$I$4:$I$47,MATCH('_Supporto Listone'!B371,Asta!$H$4:$H$47,0)),IF(COUNTIF(Asta!$J$4:$J$47,'_Supporto Listone'!B371)&gt;0,INDEX(Asta!$K$4:$K$47,MATCH('_Supporto Listone'!B371,Asta!$J$4:$J$47,0)),IF(COUNTIF(Asta!$L$4:$L$47,'_Supporto Listone'!B371)&gt;0,INDEX(Asta!$M$4:$M$47,MATCH('_Supporto Listone'!B371,Asta!$L$4:$L$47,0)),IF(COUNTIF(Asta!$N$4:$N$47,'_Supporto Listone'!B371)&gt;0,INDEX(Asta!$O$4:$O$47,MATCH('_Supporto Listone'!B371,Asta!$N$4:$N$47,0)),IF(COUNTIF(Asta!$P$4:$P$47,'_Supporto Listone'!B371)&gt;0,INDEX(Asta!$Q$4:$Q$47,MATCH('_Supporto Listone'!B371,Asta!$P$4:$P$47,0)),IF(COUNTIF(Asta!$R$4:$R$47,'_Supporto Listone'!B371)&gt;0,INDEX(Asta!$S$4:$S$47,MATCH('_Supporto Listone'!B371,Asta!$R$4:$R$47,0)),IF(COUNTIF(Asta!$T$4:$T$47,'_Supporto Listone'!B371)&gt;0,INDEX(Asta!$U$4:$U$47,MATCH('_Supporto Listone'!B371,Asta!$T$4:$T$47,0)),""))))))))))</x:f>
      </x:c>
    </x:row>
    <x:row r="372">
      <x:c r="A372" s="440" t="str">
        <x:f>IF($J372&lt;&gt;"",REGEXREPLACE(TO_TEXT('_Supporto Listone'!A372),"(.)","$1"&amp;UNICHAR(822)),'_Supporto Listone'!A372)</x:f>
        <x:v>C</x:v>
      </x:c>
      <x:c r="B372" s="441" t="str">
        <x:f>IF($J372&lt;&gt;"",REGEXREPLACE(TO_TEXT('_Supporto Listone'!B372),"(.)","$1"&amp;UNICHAR(822)),'_Supporto Listone'!B372)</x:f>
        <x:v>El Aynaoui</x:v>
      </x:c>
      <x:c r="C372" s="441" t="str">
        <x:f>IF($J372&lt;&gt;"",REGEXREPLACE(TO_TEXT('_Supporto Listone'!C372),"(.)","$1"&amp;UNICHAR(822)),'_Supporto Listone'!C372)</x:f>
        <x:v>Roma</x:v>
      </x:c>
      <x:c r="D372" s="441" t="str">
        <x:f>IF($J372&lt;&gt;"",REGEXREPLACE(TO_TEXT('_Supporto Listone'!D372),"(.)","$1"&amp;UNICHAR(822)),'_Supporto Listone'!D372)</x:f>
        <x:v>M;C</x:v>
      </x:c>
      <x:c r="E372" s="441" t="str">
        <x:f>IF($J372&lt;&gt;"",REGEXREPLACE(TO_TEXT('_Supporto Listone'!E372),"(.)","$1"&amp;UNICHAR(822)),'_Supporto Listone'!E372)</x:f>
        <x:v>Riserva / rotazione</x:v>
      </x:c>
      <x:c r="F372" s="464" t="n">
        <x:f>IF($J372&lt;&gt;"",REGEXREPLACE(TO_TEXT('_Supporto Listone'!F372),"(.)","$1"&amp;UNICHAR(822)),'_Supporto Listone'!F372)</x:f>
        <x:v>4</x:v>
      </x:c>
      <x:c r="G372" s="464" t="n">
        <x:f>IF($J372&lt;&gt;"",REGEXREPLACE(TO_TEXT('_Supporto Listone'!G372),"(.)","$1"&amp;UNICHAR(822)),'_Supporto Listone'!G372)</x:f>
        <x:v>18</x:v>
      </x:c>
      <x:c r="H372" s="464" t="n">
        <x:f>IF($J372&lt;&gt;"",REGEXREPLACE(TO_TEXT('_Supporto Listone'!H372),"(.)","$1"&amp;UNICHAR(822)),'_Supporto Listone'!H372)</x:f>
        <x:v>9</x:v>
      </x:c>
      <x:c r="I372" s="442"/>
      <x:c r="J372" s="441" t="str">
        <x:f>IF(COUNTIF(Asta!$B$4:$B$47,'_Supporto Listone'!B372)&gt;0,"Simone",IF(COUNTIF(Asta!$D$4:$D$47,'_Supporto Listone'!B372)&gt;0,"Giacomo",IF(COUNTIF(Asta!$F$4:$F$47,'_Supporto Listone'!B372)&gt;0,"Niko",IF(COUNTIF(Asta!$H$4:$H$47,'_Supporto Listone'!B372)&gt;0,"Quici",IF(COUNTIF(Asta!$J$4:$J$47,'_Supporto Listone'!B372)&gt;0,"Fratello Quici",IF(COUNTIF(Asta!$L$4:$L$47,'_Supporto Listone'!B372)&gt;0,"Nicolò",IF(COUNTIF(Asta!$N$4:$N$47,'_Supporto Listone'!B372)&gt;0,"Vi",IF(COUNTIF(Asta!$P$4:$P$47,'_Supporto Listone'!B372)&gt;0,"Lore",IF(COUNTIF(Asta!$R$4:$R$47,'_Supporto Listone'!B372)&gt;0,"Robbo",IF(COUNTIF(Asta!$T$4:$T$47,'_Supporto Listone'!B372)&gt;0,"Ale",""))))))))))</x:f>
      </x:c>
      <x:c r="K372" s="495" t="str">
        <x:f>IF(COUNTIF(Asta!$B$4:$B$47,'_Supporto Listone'!B372)&gt;0,INDEX(Asta!$C$4:$C$47,MATCH('_Supporto Listone'!B372,Asta!$B$4:$B$47,0)),IF(COUNTIF(Asta!$D$4:$D$47,'_Supporto Listone'!B372)&gt;0,INDEX(Asta!$E$4:$E$47,MATCH('_Supporto Listone'!B372,Asta!$D$4:$D$47,0)),IF(COUNTIF(Asta!$F$4:$F$47,'_Supporto Listone'!B372)&gt;0,INDEX(Asta!$G$4:$G$47,MATCH('_Supporto Listone'!B372,Asta!$F$4:$F$47,0)),IF(COUNTIF(Asta!$H$4:$H$47,'_Supporto Listone'!B372)&gt;0,INDEX(Asta!$I$4:$I$47,MATCH('_Supporto Listone'!B372,Asta!$H$4:$H$47,0)),IF(COUNTIF(Asta!$J$4:$J$47,'_Supporto Listone'!B372)&gt;0,INDEX(Asta!$K$4:$K$47,MATCH('_Supporto Listone'!B372,Asta!$J$4:$J$47,0)),IF(COUNTIF(Asta!$L$4:$L$47,'_Supporto Listone'!B372)&gt;0,INDEX(Asta!$M$4:$M$47,MATCH('_Supporto Listone'!B372,Asta!$L$4:$L$47,0)),IF(COUNTIF(Asta!$N$4:$N$47,'_Supporto Listone'!B372)&gt;0,INDEX(Asta!$O$4:$O$47,MATCH('_Supporto Listone'!B372,Asta!$N$4:$N$47,0)),IF(COUNTIF(Asta!$P$4:$P$47,'_Supporto Listone'!B372)&gt;0,INDEX(Asta!$Q$4:$Q$47,MATCH('_Supporto Listone'!B372,Asta!$P$4:$P$47,0)),IF(COUNTIF(Asta!$R$4:$R$47,'_Supporto Listone'!B372)&gt;0,INDEX(Asta!$S$4:$S$47,MATCH('_Supporto Listone'!B372,Asta!$R$4:$R$47,0)),IF(COUNTIF(Asta!$T$4:$T$47,'_Supporto Listone'!B372)&gt;0,INDEX(Asta!$U$4:$U$47,MATCH('_Supporto Listone'!B372,Asta!$T$4:$T$47,0)),""))))))))))</x:f>
      </x:c>
    </x:row>
    <x:row r="373">
      <x:c r="A373" s="440" t="str">
        <x:f>IF($J373&lt;&gt;"",REGEXREPLACE(TO_TEXT('_Supporto Listone'!A373),"(.)","$1"&amp;UNICHAR(822)),'_Supporto Listone'!A373)</x:f>
        <x:v>C</x:v>
      </x:c>
      <x:c r="B373" s="441" t="str">
        <x:f>IF($J373&lt;&gt;"",REGEXREPLACE(TO_TEXT('_Supporto Listone'!B373),"(.)","$1"&amp;UNICHAR(822)),'_Supporto Listone'!B373)</x:f>
        <x:v>Fitz-Jim</x:v>
      </x:c>
      <x:c r="C373" s="441" t="str">
        <x:f>IF($J373&lt;&gt;"",REGEXREPLACE(TO_TEXT('_Supporto Listone'!C373),"(.)","$1"&amp;UNICHAR(822)),'_Supporto Listone'!C373)</x:f>
        <x:v>Torino</x:v>
      </x:c>
      <x:c r="D373" s="441" t="str">
        <x:f>IF($J373&lt;&gt;"",REGEXREPLACE(TO_TEXT('_Supporto Listone'!D373),"(.)","$1"&amp;UNICHAR(822)),'_Supporto Listone'!D373)</x:f>
        <x:v>M;C</x:v>
      </x:c>
      <x:c r="E373" s="441" t="str">
        <x:f>IF($J373&lt;&gt;"",REGEXREPLACE(TO_TEXT('_Supporto Listone'!E373),"(.)","$1"&amp;UNICHAR(822)),'_Supporto Listone'!E373)</x:f>
        <x:v>Titolare</x:v>
      </x:c>
      <x:c r="F373" s="464" t="n">
        <x:f>IF($J373&lt;&gt;"",REGEXREPLACE(TO_TEXT('_Supporto Listone'!F373),"(.)","$1"&amp;UNICHAR(822)),'_Supporto Listone'!F373)</x:f>
        <x:v>4</x:v>
      </x:c>
      <x:c r="G373" s="464" t="n">
        <x:f>IF($J373&lt;&gt;"",REGEXREPLACE(TO_TEXT('_Supporto Listone'!G373),"(.)","$1"&amp;UNICHAR(822)),'_Supporto Listone'!G373)</x:f>
        <x:v>13</x:v>
      </x:c>
      <x:c r="H373" s="464" t="n">
        <x:f>IF($J373&lt;&gt;"",REGEXREPLACE(TO_TEXT('_Supporto Listone'!H373),"(.)","$1"&amp;UNICHAR(822)),'_Supporto Listone'!H373)</x:f>
        <x:v>7</x:v>
      </x:c>
      <x:c r="I373" s="442"/>
      <x:c r="J373" s="441" t="str">
        <x:f>IF(COUNTIF(Asta!$B$4:$B$47,'_Supporto Listone'!B373)&gt;0,"Simone",IF(COUNTIF(Asta!$D$4:$D$47,'_Supporto Listone'!B373)&gt;0,"Giacomo",IF(COUNTIF(Asta!$F$4:$F$47,'_Supporto Listone'!B373)&gt;0,"Niko",IF(COUNTIF(Asta!$H$4:$H$47,'_Supporto Listone'!B373)&gt;0,"Quici",IF(COUNTIF(Asta!$J$4:$J$47,'_Supporto Listone'!B373)&gt;0,"Fratello Quici",IF(COUNTIF(Asta!$L$4:$L$47,'_Supporto Listone'!B373)&gt;0,"Nicolò",IF(COUNTIF(Asta!$N$4:$N$47,'_Supporto Listone'!B373)&gt;0,"Vi",IF(COUNTIF(Asta!$P$4:$P$47,'_Supporto Listone'!B373)&gt;0,"Lore",IF(COUNTIF(Asta!$R$4:$R$47,'_Supporto Listone'!B373)&gt;0,"Robbo",IF(COUNTIF(Asta!$T$4:$T$47,'_Supporto Listone'!B373)&gt;0,"Ale",""))))))))))</x:f>
      </x:c>
      <x:c r="K373" s="495" t="str">
        <x:f>IF(COUNTIF(Asta!$B$4:$B$47,'_Supporto Listone'!B373)&gt;0,INDEX(Asta!$C$4:$C$47,MATCH('_Supporto Listone'!B373,Asta!$B$4:$B$47,0)),IF(COUNTIF(Asta!$D$4:$D$47,'_Supporto Listone'!B373)&gt;0,INDEX(Asta!$E$4:$E$47,MATCH('_Supporto Listone'!B373,Asta!$D$4:$D$47,0)),IF(COUNTIF(Asta!$F$4:$F$47,'_Supporto Listone'!B373)&gt;0,INDEX(Asta!$G$4:$G$47,MATCH('_Supporto Listone'!B373,Asta!$F$4:$F$47,0)),IF(COUNTIF(Asta!$H$4:$H$47,'_Supporto Listone'!B373)&gt;0,INDEX(Asta!$I$4:$I$47,MATCH('_Supporto Listone'!B373,Asta!$H$4:$H$47,0)),IF(COUNTIF(Asta!$J$4:$J$47,'_Supporto Listone'!B373)&gt;0,INDEX(Asta!$K$4:$K$47,MATCH('_Supporto Listone'!B373,Asta!$J$4:$J$47,0)),IF(COUNTIF(Asta!$L$4:$L$47,'_Supporto Listone'!B373)&gt;0,INDEX(Asta!$M$4:$M$47,MATCH('_Supporto Listone'!B373,Asta!$L$4:$L$47,0)),IF(COUNTIF(Asta!$N$4:$N$47,'_Supporto Listone'!B373)&gt;0,INDEX(Asta!$O$4:$O$47,MATCH('_Supporto Listone'!B373,Asta!$N$4:$N$47,0)),IF(COUNTIF(Asta!$P$4:$P$47,'_Supporto Listone'!B373)&gt;0,INDEX(Asta!$Q$4:$Q$47,MATCH('_Supporto Listone'!B373,Asta!$P$4:$P$47,0)),IF(COUNTIF(Asta!$R$4:$R$47,'_Supporto Listone'!B373)&gt;0,INDEX(Asta!$S$4:$S$47,MATCH('_Supporto Listone'!B373,Asta!$R$4:$R$47,0)),IF(COUNTIF(Asta!$T$4:$T$47,'_Supporto Listone'!B373)&gt;0,INDEX(Asta!$U$4:$U$47,MATCH('_Supporto Listone'!B373,Asta!$T$4:$T$47,0)),""))))))))))</x:f>
      </x:c>
    </x:row>
    <x:row r="374">
      <x:c r="A374" s="440" t="str">
        <x:f>IF($J374&lt;&gt;"",REGEXREPLACE(TO_TEXT('_Supporto Listone'!A374),"(.)","$1"&amp;UNICHAR(822)),'_Supporto Listone'!A374)</x:f>
        <x:v>C</x:v>
      </x:c>
      <x:c r="B374" s="441" t="str">
        <x:f>IF($J374&lt;&gt;"",REGEXREPLACE(TO_TEXT('_Supporto Listone'!B374),"(.)","$1"&amp;UNICHAR(822)),'_Supporto Listone'!B374)</x:f>
        <x:v>Ilkhan</x:v>
      </x:c>
      <x:c r="C374" s="441" t="str">
        <x:f>IF($J374&lt;&gt;"",REGEXREPLACE(TO_TEXT('_Supporto Listone'!C374),"(.)","$1"&amp;UNICHAR(822)),'_Supporto Listone'!C374)</x:f>
        <x:v>Torino</x:v>
      </x:c>
      <x:c r="D374" s="441" t="str">
        <x:f>IF($J374&lt;&gt;"",REGEXREPLACE(TO_TEXT('_Supporto Listone'!D374),"(.)","$1"&amp;UNICHAR(822)),'_Supporto Listone'!D374)</x:f>
        <x:v>M;C</x:v>
      </x:c>
      <x:c r="E374" s="441" t="str">
        <x:f>IF($J374&lt;&gt;"",REGEXREPLACE(TO_TEXT('_Supporto Listone'!E374),"(.)","$1"&amp;UNICHAR(822)),'_Supporto Listone'!E374)</x:f>
        <x:v>Riserva / rotazione</x:v>
      </x:c>
      <x:c r="F374" s="464" t="n">
        <x:f>IF($J374&lt;&gt;"",REGEXREPLACE(TO_TEXT('_Supporto Listone'!F374),"(.)","$1"&amp;UNICHAR(822)),'_Supporto Listone'!F374)</x:f>
        <x:v>4</x:v>
      </x:c>
      <x:c r="G374" s="464" t="n">
        <x:f>IF($J374&lt;&gt;"",REGEXREPLACE(TO_TEXT('_Supporto Listone'!G374),"(.)","$1"&amp;UNICHAR(822)),'_Supporto Listone'!G374)</x:f>
        <x:v>10</x:v>
      </x:c>
      <x:c r="H374" s="464" t="n">
        <x:f>IF($J374&lt;&gt;"",REGEXREPLACE(TO_TEXT('_Supporto Listone'!H374),"(.)","$1"&amp;UNICHAR(822)),'_Supporto Listone'!H374)</x:f>
        <x:v>5</x:v>
      </x:c>
      <x:c r="I374" s="442"/>
      <x:c r="J374" s="441" t="str">
        <x:f>IF(COUNTIF(Asta!$B$4:$B$47,'_Supporto Listone'!B374)&gt;0,"Simone",IF(COUNTIF(Asta!$D$4:$D$47,'_Supporto Listone'!B374)&gt;0,"Giacomo",IF(COUNTIF(Asta!$F$4:$F$47,'_Supporto Listone'!B374)&gt;0,"Niko",IF(COUNTIF(Asta!$H$4:$H$47,'_Supporto Listone'!B374)&gt;0,"Quici",IF(COUNTIF(Asta!$J$4:$J$47,'_Supporto Listone'!B374)&gt;0,"Fratello Quici",IF(COUNTIF(Asta!$L$4:$L$47,'_Supporto Listone'!B374)&gt;0,"Nicolò",IF(COUNTIF(Asta!$N$4:$N$47,'_Supporto Listone'!B374)&gt;0,"Vi",IF(COUNTIF(Asta!$P$4:$P$47,'_Supporto Listone'!B374)&gt;0,"Lore",IF(COUNTIF(Asta!$R$4:$R$47,'_Supporto Listone'!B374)&gt;0,"Robbo",IF(COUNTIF(Asta!$T$4:$T$47,'_Supporto Listone'!B374)&gt;0,"Ale",""))))))))))</x:f>
      </x:c>
      <x:c r="K374" s="495" t="str">
        <x:f>IF(COUNTIF(Asta!$B$4:$B$47,'_Supporto Listone'!B374)&gt;0,INDEX(Asta!$C$4:$C$47,MATCH('_Supporto Listone'!B374,Asta!$B$4:$B$47,0)),IF(COUNTIF(Asta!$D$4:$D$47,'_Supporto Listone'!B374)&gt;0,INDEX(Asta!$E$4:$E$47,MATCH('_Supporto Listone'!B374,Asta!$D$4:$D$47,0)),IF(COUNTIF(Asta!$F$4:$F$47,'_Supporto Listone'!B374)&gt;0,INDEX(Asta!$G$4:$G$47,MATCH('_Supporto Listone'!B374,Asta!$F$4:$F$47,0)),IF(COUNTIF(Asta!$H$4:$H$47,'_Supporto Listone'!B374)&gt;0,INDEX(Asta!$I$4:$I$47,MATCH('_Supporto Listone'!B374,Asta!$H$4:$H$47,0)),IF(COUNTIF(Asta!$J$4:$J$47,'_Supporto Listone'!B374)&gt;0,INDEX(Asta!$K$4:$K$47,MATCH('_Supporto Listone'!B374,Asta!$J$4:$J$47,0)),IF(COUNTIF(Asta!$L$4:$L$47,'_Supporto Listone'!B374)&gt;0,INDEX(Asta!$M$4:$M$47,MATCH('_Supporto Listone'!B374,Asta!$L$4:$L$47,0)),IF(COUNTIF(Asta!$N$4:$N$47,'_Supporto Listone'!B374)&gt;0,INDEX(Asta!$O$4:$O$47,MATCH('_Supporto Listone'!B374,Asta!$N$4:$N$47,0)),IF(COUNTIF(Asta!$P$4:$P$47,'_Supporto Listone'!B374)&gt;0,INDEX(Asta!$Q$4:$Q$47,MATCH('_Supporto Listone'!B374,Asta!$P$4:$P$47,0)),IF(COUNTIF(Asta!$R$4:$R$47,'_Supporto Listone'!B374)&gt;0,INDEX(Asta!$S$4:$S$47,MATCH('_Supporto Listone'!B374,Asta!$R$4:$R$47,0)),IF(COUNTIF(Asta!$T$4:$T$47,'_Supporto Listone'!B374)&gt;0,INDEX(Asta!$U$4:$U$47,MATCH('_Supporto Listone'!B374,Asta!$T$4:$T$47,0)),""))))))))))</x:f>
      </x:c>
    </x:row>
    <x:row r="375">
      <x:c r="A375" s="440" t="str">
        <x:f>IF($J375&lt;&gt;"",REGEXREPLACE(TO_TEXT('_Supporto Listone'!A375),"(.)","$1"&amp;UNICHAR(822)),'_Supporto Listone'!A375)</x:f>
        <x:v>C</x:v>
      </x:c>
      <x:c r="B375" s="441" t="str">
        <x:f>IF($J375&lt;&gt;"",REGEXREPLACE(TO_TEXT('_Supporto Listone'!B375),"(.)","$1"&amp;UNICHAR(822)),'_Supporto Listone'!B375)</x:f>
        <x:v>Njie</x:v>
      </x:c>
      <x:c r="C375" s="441" t="str">
        <x:f>IF($J375&lt;&gt;"",REGEXREPLACE(TO_TEXT('_Supporto Listone'!C375),"(.)","$1"&amp;UNICHAR(822)),'_Supporto Listone'!C375)</x:f>
        <x:v>Torino</x:v>
      </x:c>
      <x:c r="D375" s="441" t="str">
        <x:f>IF($J375&lt;&gt;"",REGEXREPLACE(TO_TEXT('_Supporto Listone'!D375),"(.)","$1"&amp;UNICHAR(822)),'_Supporto Listone'!D375)</x:f>
        <x:v>W;A</x:v>
      </x:c>
      <x:c r="E375" s="441" t="str">
        <x:f>IF($J375&lt;&gt;"",REGEXREPLACE(TO_TEXT('_Supporto Listone'!E375),"(.)","$1"&amp;UNICHAR(822)),'_Supporto Listone'!E375)</x:f>
        <x:v>Riserva / rotazione</x:v>
      </x:c>
      <x:c r="F375" s="464" t="n">
        <x:f>IF($J375&lt;&gt;"",REGEXREPLACE(TO_TEXT('_Supporto Listone'!F375),"(.)","$1"&amp;UNICHAR(822)),'_Supporto Listone'!F375)</x:f>
        <x:v>4</x:v>
      </x:c>
      <x:c r="G375" s="464" t="n">
        <x:f>IF($J375&lt;&gt;"",REGEXREPLACE(TO_TEXT('_Supporto Listone'!G375),"(.)","$1"&amp;UNICHAR(822)),'_Supporto Listone'!G375)</x:f>
        <x:v>12</x:v>
      </x:c>
      <x:c r="H375" s="464" t="n">
        <x:f>IF($J375&lt;&gt;"",REGEXREPLACE(TO_TEXT('_Supporto Listone'!H375),"(.)","$1"&amp;UNICHAR(822)),'_Supporto Listone'!H375)</x:f>
        <x:v>6</x:v>
      </x:c>
      <x:c r="I375" s="442"/>
      <x:c r="J375" s="441" t="str">
        <x:f>IF(COUNTIF(Asta!$B$4:$B$47,'_Supporto Listone'!B375)&gt;0,"Simone",IF(COUNTIF(Asta!$D$4:$D$47,'_Supporto Listone'!B375)&gt;0,"Giacomo",IF(COUNTIF(Asta!$F$4:$F$47,'_Supporto Listone'!B375)&gt;0,"Niko",IF(COUNTIF(Asta!$H$4:$H$47,'_Supporto Listone'!B375)&gt;0,"Quici",IF(COUNTIF(Asta!$J$4:$J$47,'_Supporto Listone'!B375)&gt;0,"Fratello Quici",IF(COUNTIF(Asta!$L$4:$L$47,'_Supporto Listone'!B375)&gt;0,"Nicolò",IF(COUNTIF(Asta!$N$4:$N$47,'_Supporto Listone'!B375)&gt;0,"Vi",IF(COUNTIF(Asta!$P$4:$P$47,'_Supporto Listone'!B375)&gt;0,"Lore",IF(COUNTIF(Asta!$R$4:$R$47,'_Supporto Listone'!B375)&gt;0,"Robbo",IF(COUNTIF(Asta!$T$4:$T$47,'_Supporto Listone'!B375)&gt;0,"Ale",""))))))))))</x:f>
      </x:c>
      <x:c r="K375" s="495" t="str">
        <x:f>IF(COUNTIF(Asta!$B$4:$B$47,'_Supporto Listone'!B375)&gt;0,INDEX(Asta!$C$4:$C$47,MATCH('_Supporto Listone'!B375,Asta!$B$4:$B$47,0)),IF(COUNTIF(Asta!$D$4:$D$47,'_Supporto Listone'!B375)&gt;0,INDEX(Asta!$E$4:$E$47,MATCH('_Supporto Listone'!B375,Asta!$D$4:$D$47,0)),IF(COUNTIF(Asta!$F$4:$F$47,'_Supporto Listone'!B375)&gt;0,INDEX(Asta!$G$4:$G$47,MATCH('_Supporto Listone'!B375,Asta!$F$4:$F$47,0)),IF(COUNTIF(Asta!$H$4:$H$47,'_Supporto Listone'!B375)&gt;0,INDEX(Asta!$I$4:$I$47,MATCH('_Supporto Listone'!B375,Asta!$H$4:$H$47,0)),IF(COUNTIF(Asta!$J$4:$J$47,'_Supporto Listone'!B375)&gt;0,INDEX(Asta!$K$4:$K$47,MATCH('_Supporto Listone'!B375,Asta!$J$4:$J$47,0)),IF(COUNTIF(Asta!$L$4:$L$47,'_Supporto Listone'!B375)&gt;0,INDEX(Asta!$M$4:$M$47,MATCH('_Supporto Listone'!B375,Asta!$L$4:$L$47,0)),IF(COUNTIF(Asta!$N$4:$N$47,'_Supporto Listone'!B375)&gt;0,INDEX(Asta!$O$4:$O$47,MATCH('_Supporto Listone'!B375,Asta!$N$4:$N$47,0)),IF(COUNTIF(Asta!$P$4:$P$47,'_Supporto Listone'!B375)&gt;0,INDEX(Asta!$Q$4:$Q$47,MATCH('_Supporto Listone'!B375,Asta!$P$4:$P$47,0)),IF(COUNTIF(Asta!$R$4:$R$47,'_Supporto Listone'!B375)&gt;0,INDEX(Asta!$S$4:$S$47,MATCH('_Supporto Listone'!B375,Asta!$R$4:$R$47,0)),IF(COUNTIF(Asta!$T$4:$T$47,'_Supporto Listone'!B375)&gt;0,INDEX(Asta!$U$4:$U$47,MATCH('_Supporto Listone'!B375,Asta!$T$4:$T$47,0)),""))))))))))</x:f>
      </x:c>
    </x:row>
    <x:row r="376">
      <x:c r="A376" s="440" t="str">
        <x:f>IF($J376&lt;&gt;"",REGEXREPLACE(TO_TEXT('_Supporto Listone'!A376),"(.)","$1"&amp;UNICHAR(822)),'_Supporto Listone'!A376)</x:f>
        <x:v>C</x:v>
      </x:c>
      <x:c r="B376" s="441" t="str">
        <x:f>IF($J376&lt;&gt;"",REGEXREPLACE(TO_TEXT('_Supporto Listone'!B376),"(.)","$1"&amp;UNICHAR(822)),'_Supporto Listone'!B376)</x:f>
        <x:v>Sulemana I.</x:v>
      </x:c>
      <x:c r="C376" s="441" t="str">
        <x:f>IF($J376&lt;&gt;"",REGEXREPLACE(TO_TEXT('_Supporto Listone'!C376),"(.)","$1"&amp;UNICHAR(822)),'_Supporto Listone'!C376)</x:f>
        <x:v>Atalanta</x:v>
      </x:c>
      <x:c r="D376" s="441" t="str">
        <x:f>IF($J376&lt;&gt;"",REGEXREPLACE(TO_TEXT('_Supporto Listone'!D376),"(.)","$1"&amp;UNICHAR(822)),'_Supporto Listone'!D376)</x:f>
        <x:v>M;C</x:v>
      </x:c>
      <x:c r="E376" s="441" t="str">
        <x:f>IF($J376&lt;&gt;"",REGEXREPLACE(TO_TEXT('_Supporto Listone'!E376),"(.)","$1"&amp;UNICHAR(822)),'_Supporto Listone'!E376)</x:f>
        <x:v>Riserva / rotazione</x:v>
      </x:c>
      <x:c r="F376" s="464" t="n">
        <x:f>IF($J376&lt;&gt;"",REGEXREPLACE(TO_TEXT('_Supporto Listone'!F376),"(.)","$1"&amp;UNICHAR(822)),'_Supporto Listone'!F376)</x:f>
        <x:v>3</x:v>
      </x:c>
      <x:c r="G376" s="464" t="n">
        <x:f>IF($J376&lt;&gt;"",REGEXREPLACE(TO_TEXT('_Supporto Listone'!G376),"(.)","$1"&amp;UNICHAR(822)),'_Supporto Listone'!G376)</x:f>
        <x:v>7</x:v>
      </x:c>
      <x:c r="H376" s="464" t="n">
        <x:f>IF($J376&lt;&gt;"",REGEXREPLACE(TO_TEXT('_Supporto Listone'!H376),"(.)","$1"&amp;UNICHAR(822)),'_Supporto Listone'!H376)</x:f>
        <x:v>4</x:v>
      </x:c>
      <x:c r="I376" s="442"/>
      <x:c r="J376" s="441" t="str">
        <x:f>IF(COUNTIF(Asta!$B$4:$B$47,'_Supporto Listone'!B376)&gt;0,"Simone",IF(COUNTIF(Asta!$D$4:$D$47,'_Supporto Listone'!B376)&gt;0,"Giacomo",IF(COUNTIF(Asta!$F$4:$F$47,'_Supporto Listone'!B376)&gt;0,"Niko",IF(COUNTIF(Asta!$H$4:$H$47,'_Supporto Listone'!B376)&gt;0,"Quici",IF(COUNTIF(Asta!$J$4:$J$47,'_Supporto Listone'!B376)&gt;0,"Fratello Quici",IF(COUNTIF(Asta!$L$4:$L$47,'_Supporto Listone'!B376)&gt;0,"Nicolò",IF(COUNTIF(Asta!$N$4:$N$47,'_Supporto Listone'!B376)&gt;0,"Vi",IF(COUNTIF(Asta!$P$4:$P$47,'_Supporto Listone'!B376)&gt;0,"Lore",IF(COUNTIF(Asta!$R$4:$R$47,'_Supporto Listone'!B376)&gt;0,"Robbo",IF(COUNTIF(Asta!$T$4:$T$47,'_Supporto Listone'!B376)&gt;0,"Ale",""))))))))))</x:f>
      </x:c>
      <x:c r="K376" s="495" t="str">
        <x:f>IF(COUNTIF(Asta!$B$4:$B$47,'_Supporto Listone'!B376)&gt;0,INDEX(Asta!$C$4:$C$47,MATCH('_Supporto Listone'!B376,Asta!$B$4:$B$47,0)),IF(COUNTIF(Asta!$D$4:$D$47,'_Supporto Listone'!B376)&gt;0,INDEX(Asta!$E$4:$E$47,MATCH('_Supporto Listone'!B376,Asta!$D$4:$D$47,0)),IF(COUNTIF(Asta!$F$4:$F$47,'_Supporto Listone'!B376)&gt;0,INDEX(Asta!$G$4:$G$47,MATCH('_Supporto Listone'!B376,Asta!$F$4:$F$47,0)),IF(COUNTIF(Asta!$H$4:$H$47,'_Supporto Listone'!B376)&gt;0,INDEX(Asta!$I$4:$I$47,MATCH('_Supporto Listone'!B376,Asta!$H$4:$H$47,0)),IF(COUNTIF(Asta!$J$4:$J$47,'_Supporto Listone'!B376)&gt;0,INDEX(Asta!$K$4:$K$47,MATCH('_Supporto Listone'!B376,Asta!$J$4:$J$47,0)),IF(COUNTIF(Asta!$L$4:$L$47,'_Supporto Listone'!B376)&gt;0,INDEX(Asta!$M$4:$M$47,MATCH('_Supporto Listone'!B376,Asta!$L$4:$L$47,0)),IF(COUNTIF(Asta!$N$4:$N$47,'_Supporto Listone'!B376)&gt;0,INDEX(Asta!$O$4:$O$47,MATCH('_Supporto Listone'!B376,Asta!$N$4:$N$47,0)),IF(COUNTIF(Asta!$P$4:$P$47,'_Supporto Listone'!B376)&gt;0,INDEX(Asta!$Q$4:$Q$47,MATCH('_Supporto Listone'!B376,Asta!$P$4:$P$47,0)),IF(COUNTIF(Asta!$R$4:$R$47,'_Supporto Listone'!B376)&gt;0,INDEX(Asta!$S$4:$S$47,MATCH('_Supporto Listone'!B376,Asta!$R$4:$R$47,0)),IF(COUNTIF(Asta!$T$4:$T$47,'_Supporto Listone'!B376)&gt;0,INDEX(Asta!$U$4:$U$47,MATCH('_Supporto Listone'!B376,Asta!$T$4:$T$47,0)),""))))))))))</x:f>
      </x:c>
    </x:row>
    <x:row r="377">
      <x:c r="A377" s="440" t="str">
        <x:f>IF($J377&lt;&gt;"",REGEXREPLACE(TO_TEXT('_Supporto Listone'!A377),"(.)","$1"&amp;UNICHAR(822)),'_Supporto Listone'!A377)</x:f>
        <x:v>C</x:v>
      </x:c>
      <x:c r="B377" s="441" t="str">
        <x:f>IF($J377&lt;&gt;"",REGEXREPLACE(TO_TEXT('_Supporto Listone'!B377),"(.)","$1"&amp;UNICHAR(822)),'_Supporto Listone'!B377)</x:f>
        <x:v>Dominguez B.</x:v>
      </x:c>
      <x:c r="C377" s="441" t="str">
        <x:f>IF($J377&lt;&gt;"",REGEXREPLACE(TO_TEXT('_Supporto Listone'!C377),"(.)","$1"&amp;UNICHAR(822)),'_Supporto Listone'!C377)</x:f>
        <x:v>Bologna</x:v>
      </x:c>
      <x:c r="D377" s="441" t="str">
        <x:f>IF($J377&lt;&gt;"",REGEXREPLACE(TO_TEXT('_Supporto Listone'!D377),"(.)","$1"&amp;UNICHAR(822)),'_Supporto Listone'!D377)</x:f>
        <x:v>W;A</x:v>
      </x:c>
      <x:c r="E377" s="441" t="str">
        <x:f>IF($J377&lt;&gt;"",REGEXREPLACE(TO_TEXT('_Supporto Listone'!E377),"(.)","$1"&amp;UNICHAR(822)),'_Supporto Listone'!E377)</x:f>
        <x:v>Riserva / rotazione</x:v>
      </x:c>
      <x:c r="F377" s="464" t="n">
        <x:f>IF($J377&lt;&gt;"",REGEXREPLACE(TO_TEXT('_Supporto Listone'!F377),"(.)","$1"&amp;UNICHAR(822)),'_Supporto Listone'!F377)</x:f>
        <x:v>3</x:v>
      </x:c>
      <x:c r="G377" s="464" t="n">
        <x:f>IF($J377&lt;&gt;"",REGEXREPLACE(TO_TEXT('_Supporto Listone'!G377),"(.)","$1"&amp;UNICHAR(822)),'_Supporto Listone'!G377)</x:f>
        <x:v>8</x:v>
      </x:c>
      <x:c r="H377" s="464" t="n">
        <x:f>IF($J377&lt;&gt;"",REGEXREPLACE(TO_TEXT('_Supporto Listone'!H377),"(.)","$1"&amp;UNICHAR(822)),'_Supporto Listone'!H377)</x:f>
        <x:v>4</x:v>
      </x:c>
      <x:c r="I377" s="442"/>
      <x:c r="J377" s="441" t="str">
        <x:f>IF(COUNTIF(Asta!$B$4:$B$47,'_Supporto Listone'!B377)&gt;0,"Simone",IF(COUNTIF(Asta!$D$4:$D$47,'_Supporto Listone'!B377)&gt;0,"Giacomo",IF(COUNTIF(Asta!$F$4:$F$47,'_Supporto Listone'!B377)&gt;0,"Niko",IF(COUNTIF(Asta!$H$4:$H$47,'_Supporto Listone'!B377)&gt;0,"Quici",IF(COUNTIF(Asta!$J$4:$J$47,'_Supporto Listone'!B377)&gt;0,"Fratello Quici",IF(COUNTIF(Asta!$L$4:$L$47,'_Supporto Listone'!B377)&gt;0,"Nicolò",IF(COUNTIF(Asta!$N$4:$N$47,'_Supporto Listone'!B377)&gt;0,"Vi",IF(COUNTIF(Asta!$P$4:$P$47,'_Supporto Listone'!B377)&gt;0,"Lore",IF(COUNTIF(Asta!$R$4:$R$47,'_Supporto Listone'!B377)&gt;0,"Robbo",IF(COUNTIF(Asta!$T$4:$T$47,'_Supporto Listone'!B377)&gt;0,"Ale",""))))))))))</x:f>
      </x:c>
      <x:c r="K377" s="495" t="str">
        <x:f>IF(COUNTIF(Asta!$B$4:$B$47,'_Supporto Listone'!B377)&gt;0,INDEX(Asta!$C$4:$C$47,MATCH('_Supporto Listone'!B377,Asta!$B$4:$B$47,0)),IF(COUNTIF(Asta!$D$4:$D$47,'_Supporto Listone'!B377)&gt;0,INDEX(Asta!$E$4:$E$47,MATCH('_Supporto Listone'!B377,Asta!$D$4:$D$47,0)),IF(COUNTIF(Asta!$F$4:$F$47,'_Supporto Listone'!B377)&gt;0,INDEX(Asta!$G$4:$G$47,MATCH('_Supporto Listone'!B377,Asta!$F$4:$F$47,0)),IF(COUNTIF(Asta!$H$4:$H$47,'_Supporto Listone'!B377)&gt;0,INDEX(Asta!$I$4:$I$47,MATCH('_Supporto Listone'!B377,Asta!$H$4:$H$47,0)),IF(COUNTIF(Asta!$J$4:$J$47,'_Supporto Listone'!B377)&gt;0,INDEX(Asta!$K$4:$K$47,MATCH('_Supporto Listone'!B377,Asta!$J$4:$J$47,0)),IF(COUNTIF(Asta!$L$4:$L$47,'_Supporto Listone'!B377)&gt;0,INDEX(Asta!$M$4:$M$47,MATCH('_Supporto Listone'!B377,Asta!$L$4:$L$47,0)),IF(COUNTIF(Asta!$N$4:$N$47,'_Supporto Listone'!B377)&gt;0,INDEX(Asta!$O$4:$O$47,MATCH('_Supporto Listone'!B377,Asta!$N$4:$N$47,0)),IF(COUNTIF(Asta!$P$4:$P$47,'_Supporto Listone'!B377)&gt;0,INDEX(Asta!$Q$4:$Q$47,MATCH('_Supporto Listone'!B377,Asta!$P$4:$P$47,0)),IF(COUNTIF(Asta!$R$4:$R$47,'_Supporto Listone'!B377)&gt;0,INDEX(Asta!$S$4:$S$47,MATCH('_Supporto Listone'!B377,Asta!$R$4:$R$47,0)),IF(COUNTIF(Asta!$T$4:$T$47,'_Supporto Listone'!B377)&gt;0,INDEX(Asta!$U$4:$U$47,MATCH('_Supporto Listone'!B377,Asta!$T$4:$T$47,0)),""))))))))))</x:f>
      </x:c>
    </x:row>
    <x:row r="378">
      <x:c r="A378" s="440" t="str">
        <x:f>IF($J378&lt;&gt;"",REGEXREPLACE(TO_TEXT('_Supporto Listone'!A378),"(.)","$1"&amp;UNICHAR(822)),'_Supporto Listone'!A378)</x:f>
        <x:v>C</x:v>
      </x:c>
      <x:c r="B378" s="441" t="str">
        <x:f>IF($J378&lt;&gt;"",REGEXREPLACE(TO_TEXT('_Supporto Listone'!B378),"(.)","$1"&amp;UNICHAR(822)),'_Supporto Listone'!B378)</x:f>
        <x:v>Deiola</x:v>
      </x:c>
      <x:c r="C378" s="441" t="str">
        <x:f>IF($J378&lt;&gt;"",REGEXREPLACE(TO_TEXT('_Supporto Listone'!C378),"(.)","$1"&amp;UNICHAR(822)),'_Supporto Listone'!C378)</x:f>
        <x:v>Cagliari</x:v>
      </x:c>
      <x:c r="D378" s="441" t="str">
        <x:f>IF($J378&lt;&gt;"",REGEXREPLACE(TO_TEXT('_Supporto Listone'!D378),"(.)","$1"&amp;UNICHAR(822)),'_Supporto Listone'!D378)</x:f>
        <x:v>M;C</x:v>
      </x:c>
      <x:c r="E378" s="441" t="str">
        <x:f>IF($J378&lt;&gt;"",REGEXREPLACE(TO_TEXT('_Supporto Listone'!E378),"(.)","$1"&amp;UNICHAR(822)),'_Supporto Listone'!E378)</x:f>
        <x:v>Riserva / rotazione</x:v>
      </x:c>
      <x:c r="F378" s="464" t="n">
        <x:f>IF($J378&lt;&gt;"",REGEXREPLACE(TO_TEXT('_Supporto Listone'!F378),"(.)","$1"&amp;UNICHAR(822)),'_Supporto Listone'!F378)</x:f>
        <x:v>3</x:v>
      </x:c>
      <x:c r="G378" s="464" t="n">
        <x:f>IF($J378&lt;&gt;"",REGEXREPLACE(TO_TEXT('_Supporto Listone'!G378),"(.)","$1"&amp;UNICHAR(822)),'_Supporto Listone'!G378)</x:f>
        <x:v>8</x:v>
      </x:c>
      <x:c r="H378" s="464" t="n">
        <x:f>IF($J378&lt;&gt;"",REGEXREPLACE(TO_TEXT('_Supporto Listone'!H378),"(.)","$1"&amp;UNICHAR(822)),'_Supporto Listone'!H378)</x:f>
        <x:v>4</x:v>
      </x:c>
      <x:c r="I378" s="442"/>
      <x:c r="J378" s="441" t="str">
        <x:f>IF(COUNTIF(Asta!$B$4:$B$47,'_Supporto Listone'!B378)&gt;0,"Simone",IF(COUNTIF(Asta!$D$4:$D$47,'_Supporto Listone'!B378)&gt;0,"Giacomo",IF(COUNTIF(Asta!$F$4:$F$47,'_Supporto Listone'!B378)&gt;0,"Niko",IF(COUNTIF(Asta!$H$4:$H$47,'_Supporto Listone'!B378)&gt;0,"Quici",IF(COUNTIF(Asta!$J$4:$J$47,'_Supporto Listone'!B378)&gt;0,"Fratello Quici",IF(COUNTIF(Asta!$L$4:$L$47,'_Supporto Listone'!B378)&gt;0,"Nicolò",IF(COUNTIF(Asta!$N$4:$N$47,'_Supporto Listone'!B378)&gt;0,"Vi",IF(COUNTIF(Asta!$P$4:$P$47,'_Supporto Listone'!B378)&gt;0,"Lore",IF(COUNTIF(Asta!$R$4:$R$47,'_Supporto Listone'!B378)&gt;0,"Robbo",IF(COUNTIF(Asta!$T$4:$T$47,'_Supporto Listone'!B378)&gt;0,"Ale",""))))))))))</x:f>
      </x:c>
      <x:c r="K378" s="495" t="str">
        <x:f>IF(COUNTIF(Asta!$B$4:$B$47,'_Supporto Listone'!B378)&gt;0,INDEX(Asta!$C$4:$C$47,MATCH('_Supporto Listone'!B378,Asta!$B$4:$B$47,0)),IF(COUNTIF(Asta!$D$4:$D$47,'_Supporto Listone'!B378)&gt;0,INDEX(Asta!$E$4:$E$47,MATCH('_Supporto Listone'!B378,Asta!$D$4:$D$47,0)),IF(COUNTIF(Asta!$F$4:$F$47,'_Supporto Listone'!B378)&gt;0,INDEX(Asta!$G$4:$G$47,MATCH('_Supporto Listone'!B378,Asta!$F$4:$F$47,0)),IF(COUNTIF(Asta!$H$4:$H$47,'_Supporto Listone'!B378)&gt;0,INDEX(Asta!$I$4:$I$47,MATCH('_Supporto Listone'!B378,Asta!$H$4:$H$47,0)),IF(COUNTIF(Asta!$J$4:$J$47,'_Supporto Listone'!B378)&gt;0,INDEX(Asta!$K$4:$K$47,MATCH('_Supporto Listone'!B378,Asta!$J$4:$J$47,0)),IF(COUNTIF(Asta!$L$4:$L$47,'_Supporto Listone'!B378)&gt;0,INDEX(Asta!$M$4:$M$47,MATCH('_Supporto Listone'!B378,Asta!$L$4:$L$47,0)),IF(COUNTIF(Asta!$N$4:$N$47,'_Supporto Listone'!B378)&gt;0,INDEX(Asta!$O$4:$O$47,MATCH('_Supporto Listone'!B378,Asta!$N$4:$N$47,0)),IF(COUNTIF(Asta!$P$4:$P$47,'_Supporto Listone'!B378)&gt;0,INDEX(Asta!$Q$4:$Q$47,MATCH('_Supporto Listone'!B378,Asta!$P$4:$P$47,0)),IF(COUNTIF(Asta!$R$4:$R$47,'_Supporto Listone'!B378)&gt;0,INDEX(Asta!$S$4:$S$47,MATCH('_Supporto Listone'!B378,Asta!$R$4:$R$47,0)),IF(COUNTIF(Asta!$T$4:$T$47,'_Supporto Listone'!B378)&gt;0,INDEX(Asta!$U$4:$U$47,MATCH('_Supporto Listone'!B378,Asta!$T$4:$T$47,0)),""))))))))))</x:f>
      </x:c>
    </x:row>
    <x:row r="379">
      <x:c r="A379" s="440" t="str">
        <x:f>IF($J379&lt;&gt;"",REGEXREPLACE(TO_TEXT('_Supporto Listone'!A379),"(.)","$1"&amp;UNICHAR(822)),'_Supporto Listone'!A379)</x:f>
        <x:v>C</x:v>
      </x:c>
      <x:c r="B379" s="441" t="str">
        <x:f>IF($J379&lt;&gt;"",REGEXREPLACE(TO_TEXT('_Supporto Listone'!B379),"(.)","$1"&amp;UNICHAR(822)),'_Supporto Listone'!B379)</x:f>
        <x:v>Brescianini</x:v>
      </x:c>
      <x:c r="C379" s="441" t="str">
        <x:f>IF($J379&lt;&gt;"",REGEXREPLACE(TO_TEXT('_Supporto Listone'!C379),"(.)","$1"&amp;UNICHAR(822)),'_Supporto Listone'!C379)</x:f>
        <x:v>Fiorentina</x:v>
      </x:c>
      <x:c r="D379" s="441" t="str">
        <x:f>IF($J379&lt;&gt;"",REGEXREPLACE(TO_TEXT('_Supporto Listone'!D379),"(.)","$1"&amp;UNICHAR(822)),'_Supporto Listone'!D379)</x:f>
        <x:v>C;T</x:v>
      </x:c>
      <x:c r="E379" s="441" t="str">
        <x:f>IF($J379&lt;&gt;"",REGEXREPLACE(TO_TEXT('_Supporto Listone'!E379),"(.)","$1"&amp;UNICHAR(822)),'_Supporto Listone'!E379)</x:f>
        <x:v>Riserva / rotazione</x:v>
      </x:c>
      <x:c r="F379" s="464" t="n">
        <x:f>IF($J379&lt;&gt;"",REGEXREPLACE(TO_TEXT('_Supporto Listone'!F379),"(.)","$1"&amp;UNICHAR(822)),'_Supporto Listone'!F379)</x:f>
        <x:v>3</x:v>
      </x:c>
      <x:c r="G379" s="464" t="n">
        <x:f>IF($J379&lt;&gt;"",REGEXREPLACE(TO_TEXT('_Supporto Listone'!G379),"(.)","$1"&amp;UNICHAR(822)),'_Supporto Listone'!G379)</x:f>
        <x:v>7</x:v>
      </x:c>
      <x:c r="H379" s="464" t="n">
        <x:f>IF($J379&lt;&gt;"",REGEXREPLACE(TO_TEXT('_Supporto Listone'!H379),"(.)","$1"&amp;UNICHAR(822)),'_Supporto Listone'!H379)</x:f>
        <x:v>4</x:v>
      </x:c>
      <x:c r="I379" s="442"/>
      <x:c r="J379" s="441" t="str">
        <x:f>IF(COUNTIF(Asta!$B$4:$B$47,'_Supporto Listone'!B379)&gt;0,"Simone",IF(COUNTIF(Asta!$D$4:$D$47,'_Supporto Listone'!B379)&gt;0,"Giacomo",IF(COUNTIF(Asta!$F$4:$F$47,'_Supporto Listone'!B379)&gt;0,"Niko",IF(COUNTIF(Asta!$H$4:$H$47,'_Supporto Listone'!B379)&gt;0,"Quici",IF(COUNTIF(Asta!$J$4:$J$47,'_Supporto Listone'!B379)&gt;0,"Fratello Quici",IF(COUNTIF(Asta!$L$4:$L$47,'_Supporto Listone'!B379)&gt;0,"Nicolò",IF(COUNTIF(Asta!$N$4:$N$47,'_Supporto Listone'!B379)&gt;0,"Vi",IF(COUNTIF(Asta!$P$4:$P$47,'_Supporto Listone'!B379)&gt;0,"Lore",IF(COUNTIF(Asta!$R$4:$R$47,'_Supporto Listone'!B379)&gt;0,"Robbo",IF(COUNTIF(Asta!$T$4:$T$47,'_Supporto Listone'!B379)&gt;0,"Ale",""))))))))))</x:f>
      </x:c>
      <x:c r="K379" s="495" t="str">
        <x:f>IF(COUNTIF(Asta!$B$4:$B$47,'_Supporto Listone'!B379)&gt;0,INDEX(Asta!$C$4:$C$47,MATCH('_Supporto Listone'!B379,Asta!$B$4:$B$47,0)),IF(COUNTIF(Asta!$D$4:$D$47,'_Supporto Listone'!B379)&gt;0,INDEX(Asta!$E$4:$E$47,MATCH('_Supporto Listone'!B379,Asta!$D$4:$D$47,0)),IF(COUNTIF(Asta!$F$4:$F$47,'_Supporto Listone'!B379)&gt;0,INDEX(Asta!$G$4:$G$47,MATCH('_Supporto Listone'!B379,Asta!$F$4:$F$47,0)),IF(COUNTIF(Asta!$H$4:$H$47,'_Supporto Listone'!B379)&gt;0,INDEX(Asta!$I$4:$I$47,MATCH('_Supporto Listone'!B379,Asta!$H$4:$H$47,0)),IF(COUNTIF(Asta!$J$4:$J$47,'_Supporto Listone'!B379)&gt;0,INDEX(Asta!$K$4:$K$47,MATCH('_Supporto Listone'!B379,Asta!$J$4:$J$47,0)),IF(COUNTIF(Asta!$L$4:$L$47,'_Supporto Listone'!B379)&gt;0,INDEX(Asta!$M$4:$M$47,MATCH('_Supporto Listone'!B379,Asta!$L$4:$L$47,0)),IF(COUNTIF(Asta!$N$4:$N$47,'_Supporto Listone'!B379)&gt;0,INDEX(Asta!$O$4:$O$47,MATCH('_Supporto Listone'!B379,Asta!$N$4:$N$47,0)),IF(COUNTIF(Asta!$P$4:$P$47,'_Supporto Listone'!B379)&gt;0,INDEX(Asta!$Q$4:$Q$47,MATCH('_Supporto Listone'!B379,Asta!$P$4:$P$47,0)),IF(COUNTIF(Asta!$R$4:$R$47,'_Supporto Listone'!B379)&gt;0,INDEX(Asta!$S$4:$S$47,MATCH('_Supporto Listone'!B379,Asta!$R$4:$R$47,0)),IF(COUNTIF(Asta!$T$4:$T$47,'_Supporto Listone'!B379)&gt;0,INDEX(Asta!$U$4:$U$47,MATCH('_Supporto Listone'!B379,Asta!$T$4:$T$47,0)),""))))))))))</x:f>
      </x:c>
    </x:row>
    <x:row r="380">
      <x:c r="A380" s="440" t="str">
        <x:f>IF($J380&lt;&gt;"",REGEXREPLACE(TO_TEXT('_Supporto Listone'!A380),"(.)","$1"&amp;UNICHAR(822)),'_Supporto Listone'!A380)</x:f>
        <x:v>C</x:v>
      </x:c>
      <x:c r="B380" s="441" t="str">
        <x:f>IF($J380&lt;&gt;"",REGEXREPLACE(TO_TEXT('_Supporto Listone'!B380),"(.)","$1"&amp;UNICHAR(822)),'_Supporto Listone'!B380)</x:f>
        <x:v>Fini</x:v>
      </x:c>
      <x:c r="C380" s="441" t="str">
        <x:f>IF($J380&lt;&gt;"",REGEXREPLACE(TO_TEXT('_Supporto Listone'!C380),"(.)","$1"&amp;UNICHAR(822)),'_Supporto Listone'!C380)</x:f>
        <x:v>Frosinone</x:v>
      </x:c>
      <x:c r="D380" s="441" t="str">
        <x:f>IF($J380&lt;&gt;"",REGEXREPLACE(TO_TEXT('_Supporto Listone'!D380),"(.)","$1"&amp;UNICHAR(822)),'_Supporto Listone'!D380)</x:f>
        <x:v>W</x:v>
      </x:c>
      <x:c r="E380" s="441" t="str">
        <x:f>IF($J380&lt;&gt;"",REGEXREPLACE(TO_TEXT('_Supporto Listone'!E380),"(.)","$1"&amp;UNICHAR(822)),'_Supporto Listone'!E380)</x:f>
        <x:v>Riserva / rotazione</x:v>
      </x:c>
      <x:c r="F380" s="464" t="n">
        <x:f>IF($J380&lt;&gt;"",REGEXREPLACE(TO_TEXT('_Supporto Listone'!F380),"(.)","$1"&amp;UNICHAR(822)),'_Supporto Listone'!F380)</x:f>
        <x:v>3</x:v>
      </x:c>
      <x:c r="G380" s="464" t="n">
        <x:f>IF($J380&lt;&gt;"",REGEXREPLACE(TO_TEXT('_Supporto Listone'!G380),"(.)","$1"&amp;UNICHAR(822)),'_Supporto Listone'!G380)</x:f>
        <x:v>9</x:v>
      </x:c>
      <x:c r="H380" s="464" t="n">
        <x:f>IF($J380&lt;&gt;"",REGEXREPLACE(TO_TEXT('_Supporto Listone'!H380),"(.)","$1"&amp;UNICHAR(822)),'_Supporto Listone'!H380)</x:f>
        <x:v>5</x:v>
      </x:c>
      <x:c r="I380" s="442"/>
      <x:c r="J380" s="441" t="str">
        <x:f>IF(COUNTIF(Asta!$B$4:$B$47,'_Supporto Listone'!B380)&gt;0,"Simone",IF(COUNTIF(Asta!$D$4:$D$47,'_Supporto Listone'!B380)&gt;0,"Giacomo",IF(COUNTIF(Asta!$F$4:$F$47,'_Supporto Listone'!B380)&gt;0,"Niko",IF(COUNTIF(Asta!$H$4:$H$47,'_Supporto Listone'!B380)&gt;0,"Quici",IF(COUNTIF(Asta!$J$4:$J$47,'_Supporto Listone'!B380)&gt;0,"Fratello Quici",IF(COUNTIF(Asta!$L$4:$L$47,'_Supporto Listone'!B380)&gt;0,"Nicolò",IF(COUNTIF(Asta!$N$4:$N$47,'_Supporto Listone'!B380)&gt;0,"Vi",IF(COUNTIF(Asta!$P$4:$P$47,'_Supporto Listone'!B380)&gt;0,"Lore",IF(COUNTIF(Asta!$R$4:$R$47,'_Supporto Listone'!B380)&gt;0,"Robbo",IF(COUNTIF(Asta!$T$4:$T$47,'_Supporto Listone'!B380)&gt;0,"Ale",""))))))))))</x:f>
      </x:c>
      <x:c r="K380" s="495" t="str">
        <x:f>IF(COUNTIF(Asta!$B$4:$B$47,'_Supporto Listone'!B380)&gt;0,INDEX(Asta!$C$4:$C$47,MATCH('_Supporto Listone'!B380,Asta!$B$4:$B$47,0)),IF(COUNTIF(Asta!$D$4:$D$47,'_Supporto Listone'!B380)&gt;0,INDEX(Asta!$E$4:$E$47,MATCH('_Supporto Listone'!B380,Asta!$D$4:$D$47,0)),IF(COUNTIF(Asta!$F$4:$F$47,'_Supporto Listone'!B380)&gt;0,INDEX(Asta!$G$4:$G$47,MATCH('_Supporto Listone'!B380,Asta!$F$4:$F$47,0)),IF(COUNTIF(Asta!$H$4:$H$47,'_Supporto Listone'!B380)&gt;0,INDEX(Asta!$I$4:$I$47,MATCH('_Supporto Listone'!B380,Asta!$H$4:$H$47,0)),IF(COUNTIF(Asta!$J$4:$J$47,'_Supporto Listone'!B380)&gt;0,INDEX(Asta!$K$4:$K$47,MATCH('_Supporto Listone'!B380,Asta!$J$4:$J$47,0)),IF(COUNTIF(Asta!$L$4:$L$47,'_Supporto Listone'!B380)&gt;0,INDEX(Asta!$M$4:$M$47,MATCH('_Supporto Listone'!B380,Asta!$L$4:$L$47,0)),IF(COUNTIF(Asta!$N$4:$N$47,'_Supporto Listone'!B380)&gt;0,INDEX(Asta!$O$4:$O$47,MATCH('_Supporto Listone'!B380,Asta!$N$4:$N$47,0)),IF(COUNTIF(Asta!$P$4:$P$47,'_Supporto Listone'!B380)&gt;0,INDEX(Asta!$Q$4:$Q$47,MATCH('_Supporto Listone'!B380,Asta!$P$4:$P$47,0)),IF(COUNTIF(Asta!$R$4:$R$47,'_Supporto Listone'!B380)&gt;0,INDEX(Asta!$S$4:$S$47,MATCH('_Supporto Listone'!B380,Asta!$R$4:$R$47,0)),IF(COUNTIF(Asta!$T$4:$T$47,'_Supporto Listone'!B380)&gt;0,INDEX(Asta!$U$4:$U$47,MATCH('_Supporto Listone'!B380,Asta!$T$4:$T$47,0)),""))))))))))</x:f>
      </x:c>
    </x:row>
    <x:row r="381">
      <x:c r="A381" s="440" t="str">
        <x:f>IF($J381&lt;&gt;"",REGEXREPLACE(TO_TEXT('_Supporto Listone'!A381),"(.)","$1"&amp;UNICHAR(822)),'_Supporto Listone'!A381)</x:f>
        <x:v>C</x:v>
      </x:c>
      <x:c r="B381" s="441" t="str">
        <x:f>IF($J381&lt;&gt;"",REGEXREPLACE(TO_TEXT('_Supporto Listone'!B381),"(.)","$1"&amp;UNICHAR(822)),'_Supporto Listone'!B381)</x:f>
        <x:v>Gelli F.</x:v>
      </x:c>
      <x:c r="C381" s="441" t="str">
        <x:f>IF($J381&lt;&gt;"",REGEXREPLACE(TO_TEXT('_Supporto Listone'!C381),"(.)","$1"&amp;UNICHAR(822)),'_Supporto Listone'!C381)</x:f>
        <x:v>Frosinone</x:v>
      </x:c>
      <x:c r="D381" s="441" t="str">
        <x:f>IF($J381&lt;&gt;"",REGEXREPLACE(TO_TEXT('_Supporto Listone'!D381),"(.)","$1"&amp;UNICHAR(822)),'_Supporto Listone'!D381)</x:f>
        <x:v>C;T</x:v>
      </x:c>
      <x:c r="E381" s="441" t="str">
        <x:f>IF($J381&lt;&gt;"",REGEXREPLACE(TO_TEXT('_Supporto Listone'!E381),"(.)","$1"&amp;UNICHAR(822)),'_Supporto Listone'!E381)</x:f>
        <x:v>Riserva / rotazione</x:v>
      </x:c>
      <x:c r="F381" s="464" t="n">
        <x:f>IF($J381&lt;&gt;"",REGEXREPLACE(TO_TEXT('_Supporto Listone'!F381),"(.)","$1"&amp;UNICHAR(822)),'_Supporto Listone'!F381)</x:f>
        <x:v>3</x:v>
      </x:c>
      <x:c r="G381" s="464" t="n">
        <x:f>IF($J381&lt;&gt;"",REGEXREPLACE(TO_TEXT('_Supporto Listone'!G381),"(.)","$1"&amp;UNICHAR(822)),'_Supporto Listone'!G381)</x:f>
        <x:v>8</x:v>
      </x:c>
      <x:c r="H381" s="464" t="n">
        <x:f>IF($J381&lt;&gt;"",REGEXREPLACE(TO_TEXT('_Supporto Listone'!H381),"(.)","$1"&amp;UNICHAR(822)),'_Supporto Listone'!H381)</x:f>
        <x:v>4</x:v>
      </x:c>
      <x:c r="I381" s="442"/>
      <x:c r="J381" s="441" t="str">
        <x:f>IF(COUNTIF(Asta!$B$4:$B$47,'_Supporto Listone'!B381)&gt;0,"Simone",IF(COUNTIF(Asta!$D$4:$D$47,'_Supporto Listone'!B381)&gt;0,"Giacomo",IF(COUNTIF(Asta!$F$4:$F$47,'_Supporto Listone'!B381)&gt;0,"Niko",IF(COUNTIF(Asta!$H$4:$H$47,'_Supporto Listone'!B381)&gt;0,"Quici",IF(COUNTIF(Asta!$J$4:$J$47,'_Supporto Listone'!B381)&gt;0,"Fratello Quici",IF(COUNTIF(Asta!$L$4:$L$47,'_Supporto Listone'!B381)&gt;0,"Nicolò",IF(COUNTIF(Asta!$N$4:$N$47,'_Supporto Listone'!B381)&gt;0,"Vi",IF(COUNTIF(Asta!$P$4:$P$47,'_Supporto Listone'!B381)&gt;0,"Lore",IF(COUNTIF(Asta!$R$4:$R$47,'_Supporto Listone'!B381)&gt;0,"Robbo",IF(COUNTIF(Asta!$T$4:$T$47,'_Supporto Listone'!B381)&gt;0,"Ale",""))))))))))</x:f>
      </x:c>
      <x:c r="K381" s="495" t="str">
        <x:f>IF(COUNTIF(Asta!$B$4:$B$47,'_Supporto Listone'!B381)&gt;0,INDEX(Asta!$C$4:$C$47,MATCH('_Supporto Listone'!B381,Asta!$B$4:$B$47,0)),IF(COUNTIF(Asta!$D$4:$D$47,'_Supporto Listone'!B381)&gt;0,INDEX(Asta!$E$4:$E$47,MATCH('_Supporto Listone'!B381,Asta!$D$4:$D$47,0)),IF(COUNTIF(Asta!$F$4:$F$47,'_Supporto Listone'!B381)&gt;0,INDEX(Asta!$G$4:$G$47,MATCH('_Supporto Listone'!B381,Asta!$F$4:$F$47,0)),IF(COUNTIF(Asta!$H$4:$H$47,'_Supporto Listone'!B381)&gt;0,INDEX(Asta!$I$4:$I$47,MATCH('_Supporto Listone'!B381,Asta!$H$4:$H$47,0)),IF(COUNTIF(Asta!$J$4:$J$47,'_Supporto Listone'!B381)&gt;0,INDEX(Asta!$K$4:$K$47,MATCH('_Supporto Listone'!B381,Asta!$J$4:$J$47,0)),IF(COUNTIF(Asta!$L$4:$L$47,'_Supporto Listone'!B381)&gt;0,INDEX(Asta!$M$4:$M$47,MATCH('_Supporto Listone'!B381,Asta!$L$4:$L$47,0)),IF(COUNTIF(Asta!$N$4:$N$47,'_Supporto Listone'!B381)&gt;0,INDEX(Asta!$O$4:$O$47,MATCH('_Supporto Listone'!B381,Asta!$N$4:$N$47,0)),IF(COUNTIF(Asta!$P$4:$P$47,'_Supporto Listone'!B381)&gt;0,INDEX(Asta!$Q$4:$Q$47,MATCH('_Supporto Listone'!B381,Asta!$P$4:$P$47,0)),IF(COUNTIF(Asta!$R$4:$R$47,'_Supporto Listone'!B381)&gt;0,INDEX(Asta!$S$4:$S$47,MATCH('_Supporto Listone'!B381,Asta!$R$4:$R$47,0)),IF(COUNTIF(Asta!$T$4:$T$47,'_Supporto Listone'!B381)&gt;0,INDEX(Asta!$U$4:$U$47,MATCH('_Supporto Listone'!B381,Asta!$T$4:$T$47,0)),""))))))))))</x:f>
      </x:c>
    </x:row>
    <x:row r="382">
      <x:c r="A382" s="440" t="str">
        <x:f>IF($J382&lt;&gt;"",REGEXREPLACE(TO_TEXT('_Supporto Listone'!A382),"(.)","$1"&amp;UNICHAR(822)),'_Supporto Listone'!A382)</x:f>
        <x:v>C</x:v>
      </x:c>
      <x:c r="B382" s="441" t="str">
        <x:f>IF($J382&lt;&gt;"",REGEXREPLACE(TO_TEXT('_Supporto Listone'!B382),"(.)","$1"&amp;UNICHAR(822)),'_Supporto Listone'!B382)</x:f>
        <x:v>Messias</x:v>
      </x:c>
      <x:c r="C382" s="441" t="str">
        <x:f>IF($J382&lt;&gt;"",REGEXREPLACE(TO_TEXT('_Supporto Listone'!C382),"(.)","$1"&amp;UNICHAR(822)),'_Supporto Listone'!C382)</x:f>
        <x:v>Genoa</x:v>
      </x:c>
      <x:c r="D382" s="441" t="str">
        <x:f>IF($J382&lt;&gt;"",REGEXREPLACE(TO_TEXT('_Supporto Listone'!D382),"(.)","$1"&amp;UNICHAR(822)),'_Supporto Listone'!D382)</x:f>
        <x:v>W;T</x:v>
      </x:c>
      <x:c r="E382" s="441" t="str">
        <x:f>IF($J382&lt;&gt;"",REGEXREPLACE(TO_TEXT('_Supporto Listone'!E382),"(.)","$1"&amp;UNICHAR(822)),'_Supporto Listone'!E382)</x:f>
        <x:v>Riserva / rotazione</x:v>
      </x:c>
      <x:c r="F382" s="464" t="n">
        <x:f>IF($J382&lt;&gt;"",REGEXREPLACE(TO_TEXT('_Supporto Listone'!F382),"(.)","$1"&amp;UNICHAR(822)),'_Supporto Listone'!F382)</x:f>
        <x:v>3</x:v>
      </x:c>
      <x:c r="G382" s="464" t="n">
        <x:f>IF($J382&lt;&gt;"",REGEXREPLACE(TO_TEXT('_Supporto Listone'!G382),"(.)","$1"&amp;UNICHAR(822)),'_Supporto Listone'!G382)</x:f>
        <x:v>8</x:v>
      </x:c>
      <x:c r="H382" s="464" t="n">
        <x:f>IF($J382&lt;&gt;"",REGEXREPLACE(TO_TEXT('_Supporto Listone'!H382),"(.)","$1"&amp;UNICHAR(822)),'_Supporto Listone'!H382)</x:f>
        <x:v>4</x:v>
      </x:c>
      <x:c r="I382" s="442" t="str">
        <x:f>IF($J382&lt;&gt;"",REGEXREPLACE(TO_TEXT('_Supporto Listone'!I382),"(.)","$1"&amp;UNICHAR(822)),'_Supporto Listone'!I382)</x:f>
        <x:v>Piazzati</x:v>
      </x:c>
      <x:c r="J382" s="441" t="str">
        <x:f>IF(COUNTIF(Asta!$B$4:$B$47,'_Supporto Listone'!B382)&gt;0,"Simone",IF(COUNTIF(Asta!$D$4:$D$47,'_Supporto Listone'!B382)&gt;0,"Giacomo",IF(COUNTIF(Asta!$F$4:$F$47,'_Supporto Listone'!B382)&gt;0,"Niko",IF(COUNTIF(Asta!$H$4:$H$47,'_Supporto Listone'!B382)&gt;0,"Quici",IF(COUNTIF(Asta!$J$4:$J$47,'_Supporto Listone'!B382)&gt;0,"Fratello Quici",IF(COUNTIF(Asta!$L$4:$L$47,'_Supporto Listone'!B382)&gt;0,"Nicolò",IF(COUNTIF(Asta!$N$4:$N$47,'_Supporto Listone'!B382)&gt;0,"Vi",IF(COUNTIF(Asta!$P$4:$P$47,'_Supporto Listone'!B382)&gt;0,"Lore",IF(COUNTIF(Asta!$R$4:$R$47,'_Supporto Listone'!B382)&gt;0,"Robbo",IF(COUNTIF(Asta!$T$4:$T$47,'_Supporto Listone'!B382)&gt;0,"Ale",""))))))))))</x:f>
      </x:c>
      <x:c r="K382" s="495" t="str">
        <x:f>IF(COUNTIF(Asta!$B$4:$B$47,'_Supporto Listone'!B382)&gt;0,INDEX(Asta!$C$4:$C$47,MATCH('_Supporto Listone'!B382,Asta!$B$4:$B$47,0)),IF(COUNTIF(Asta!$D$4:$D$47,'_Supporto Listone'!B382)&gt;0,INDEX(Asta!$E$4:$E$47,MATCH('_Supporto Listone'!B382,Asta!$D$4:$D$47,0)),IF(COUNTIF(Asta!$F$4:$F$47,'_Supporto Listone'!B382)&gt;0,INDEX(Asta!$G$4:$G$47,MATCH('_Supporto Listone'!B382,Asta!$F$4:$F$47,0)),IF(COUNTIF(Asta!$H$4:$H$47,'_Supporto Listone'!B382)&gt;0,INDEX(Asta!$I$4:$I$47,MATCH('_Supporto Listone'!B382,Asta!$H$4:$H$47,0)),IF(COUNTIF(Asta!$J$4:$J$47,'_Supporto Listone'!B382)&gt;0,INDEX(Asta!$K$4:$K$47,MATCH('_Supporto Listone'!B382,Asta!$J$4:$J$47,0)),IF(COUNTIF(Asta!$L$4:$L$47,'_Supporto Listone'!B382)&gt;0,INDEX(Asta!$M$4:$M$47,MATCH('_Supporto Listone'!B382,Asta!$L$4:$L$47,0)),IF(COUNTIF(Asta!$N$4:$N$47,'_Supporto Listone'!B382)&gt;0,INDEX(Asta!$O$4:$O$47,MATCH('_Supporto Listone'!B382,Asta!$N$4:$N$47,0)),IF(COUNTIF(Asta!$P$4:$P$47,'_Supporto Listone'!B382)&gt;0,INDEX(Asta!$Q$4:$Q$47,MATCH('_Supporto Listone'!B382,Asta!$P$4:$P$47,0)),IF(COUNTIF(Asta!$R$4:$R$47,'_Supporto Listone'!B382)&gt;0,INDEX(Asta!$S$4:$S$47,MATCH('_Supporto Listone'!B382,Asta!$R$4:$R$47,0)),IF(COUNTIF(Asta!$T$4:$T$47,'_Supporto Listone'!B382)&gt;0,INDEX(Asta!$U$4:$U$47,MATCH('_Supporto Listone'!B382,Asta!$T$4:$T$47,0)),""))))))))))</x:f>
      </x:c>
    </x:row>
    <x:row r="383">
      <x:c r="A383" s="440" t="str">
        <x:f>IF($J383&lt;&gt;"",REGEXREPLACE(TO_TEXT('_Supporto Listone'!A383),"(.)","$1"&amp;UNICHAR(822)),'_Supporto Listone'!A383)</x:f>
        <x:v>C</x:v>
      </x:c>
      <x:c r="B383" s="441" t="str">
        <x:f>IF($J383&lt;&gt;"",REGEXREPLACE(TO_TEXT('_Supporto Listone'!B383),"(.)","$1"&amp;UNICHAR(822)),'_Supporto Listone'!B383)</x:f>
        <x:v>Stankovic A.</x:v>
      </x:c>
      <x:c r="C383" s="441" t="str">
        <x:f>IF($J383&lt;&gt;"",REGEXREPLACE(TO_TEXT('_Supporto Listone'!C383),"(.)","$1"&amp;UNICHAR(822)),'_Supporto Listone'!C383)</x:f>
        <x:v>Inter</x:v>
      </x:c>
      <x:c r="D383" s="441" t="str">
        <x:f>IF($J383&lt;&gt;"",REGEXREPLACE(TO_TEXT('_Supporto Listone'!D383),"(.)","$1"&amp;UNICHAR(822)),'_Supporto Listone'!D383)</x:f>
        <x:v>M;C</x:v>
      </x:c>
      <x:c r="E383" s="441" t="str">
        <x:f>IF($J383&lt;&gt;"",REGEXREPLACE(TO_TEXT('_Supporto Listone'!E383),"(.)","$1"&amp;UNICHAR(822)),'_Supporto Listone'!E383)</x:f>
        <x:v>Riserva / rotazione</x:v>
      </x:c>
      <x:c r="F383" s="464" t="n">
        <x:f>IF($J383&lt;&gt;"",REGEXREPLACE(TO_TEXT('_Supporto Listone'!F383),"(.)","$1"&amp;UNICHAR(822)),'_Supporto Listone'!F383)</x:f>
        <x:v>3</x:v>
      </x:c>
      <x:c r="G383" s="464" t="n">
        <x:f>IF($J383&lt;&gt;"",REGEXREPLACE(TO_TEXT('_Supporto Listone'!G383),"(.)","$1"&amp;UNICHAR(822)),'_Supporto Listone'!G383)</x:f>
        <x:v>10</x:v>
      </x:c>
      <x:c r="H383" s="464" t="n">
        <x:f>IF($J383&lt;&gt;"",REGEXREPLACE(TO_TEXT('_Supporto Listone'!H383),"(.)","$1"&amp;UNICHAR(822)),'_Supporto Listone'!H383)</x:f>
        <x:v>5</x:v>
      </x:c>
      <x:c r="I383" s="442"/>
      <x:c r="J383" s="441" t="str">
        <x:f>IF(COUNTIF(Asta!$B$4:$B$47,'_Supporto Listone'!B383)&gt;0,"Simone",IF(COUNTIF(Asta!$D$4:$D$47,'_Supporto Listone'!B383)&gt;0,"Giacomo",IF(COUNTIF(Asta!$F$4:$F$47,'_Supporto Listone'!B383)&gt;0,"Niko",IF(COUNTIF(Asta!$H$4:$H$47,'_Supporto Listone'!B383)&gt;0,"Quici",IF(COUNTIF(Asta!$J$4:$J$47,'_Supporto Listone'!B383)&gt;0,"Fratello Quici",IF(COUNTIF(Asta!$L$4:$L$47,'_Supporto Listone'!B383)&gt;0,"Nicolò",IF(COUNTIF(Asta!$N$4:$N$47,'_Supporto Listone'!B383)&gt;0,"Vi",IF(COUNTIF(Asta!$P$4:$P$47,'_Supporto Listone'!B383)&gt;0,"Lore",IF(COUNTIF(Asta!$R$4:$R$47,'_Supporto Listone'!B383)&gt;0,"Robbo",IF(COUNTIF(Asta!$T$4:$T$47,'_Supporto Listone'!B383)&gt;0,"Ale",""))))))))))</x:f>
      </x:c>
      <x:c r="K383" s="495" t="str">
        <x:f>IF(COUNTIF(Asta!$B$4:$B$47,'_Supporto Listone'!B383)&gt;0,INDEX(Asta!$C$4:$C$47,MATCH('_Supporto Listone'!B383,Asta!$B$4:$B$47,0)),IF(COUNTIF(Asta!$D$4:$D$47,'_Supporto Listone'!B383)&gt;0,INDEX(Asta!$E$4:$E$47,MATCH('_Supporto Listone'!B383,Asta!$D$4:$D$47,0)),IF(COUNTIF(Asta!$F$4:$F$47,'_Supporto Listone'!B383)&gt;0,INDEX(Asta!$G$4:$G$47,MATCH('_Supporto Listone'!B383,Asta!$F$4:$F$47,0)),IF(COUNTIF(Asta!$H$4:$H$47,'_Supporto Listone'!B383)&gt;0,INDEX(Asta!$I$4:$I$47,MATCH('_Supporto Listone'!B383,Asta!$H$4:$H$47,0)),IF(COUNTIF(Asta!$J$4:$J$47,'_Supporto Listone'!B383)&gt;0,INDEX(Asta!$K$4:$K$47,MATCH('_Supporto Listone'!B383,Asta!$J$4:$J$47,0)),IF(COUNTIF(Asta!$L$4:$L$47,'_Supporto Listone'!B383)&gt;0,INDEX(Asta!$M$4:$M$47,MATCH('_Supporto Listone'!B383,Asta!$L$4:$L$47,0)),IF(COUNTIF(Asta!$N$4:$N$47,'_Supporto Listone'!B383)&gt;0,INDEX(Asta!$O$4:$O$47,MATCH('_Supporto Listone'!B383,Asta!$N$4:$N$47,0)),IF(COUNTIF(Asta!$P$4:$P$47,'_Supporto Listone'!B383)&gt;0,INDEX(Asta!$Q$4:$Q$47,MATCH('_Supporto Listone'!B383,Asta!$P$4:$P$47,0)),IF(COUNTIF(Asta!$R$4:$R$47,'_Supporto Listone'!B383)&gt;0,INDEX(Asta!$S$4:$S$47,MATCH('_Supporto Listone'!B383,Asta!$R$4:$R$47,0)),IF(COUNTIF(Asta!$T$4:$T$47,'_Supporto Listone'!B383)&gt;0,INDEX(Asta!$U$4:$U$47,MATCH('_Supporto Listone'!B383,Asta!$T$4:$T$47,0)),""))))))))))</x:f>
      </x:c>
    </x:row>
    <x:row r="384">
      <x:c r="A384" s="440" t="str">
        <x:f>IF($J384&lt;&gt;"",REGEXREPLACE(TO_TEXT('_Supporto Listone'!A384),"(.)","$1"&amp;UNICHAR(822)),'_Supporto Listone'!A384)</x:f>
        <x:v>C</x:v>
      </x:c>
      <x:c r="B384" s="441" t="str">
        <x:f>IF($J384&lt;&gt;"",REGEXREPLACE(TO_TEXT('_Supporto Listone'!B384),"(.)","$1"&amp;UNICHAR(822)),'_Supporto Listone'!B384)</x:f>
        <x:v>Miretti</x:v>
      </x:c>
      <x:c r="C384" s="441" t="str">
        <x:f>IF($J384&lt;&gt;"",REGEXREPLACE(TO_TEXT('_Supporto Listone'!C384),"(.)","$1"&amp;UNICHAR(822)),'_Supporto Listone'!C384)</x:f>
        <x:v>Juventus</x:v>
      </x:c>
      <x:c r="D384" s="441" t="str">
        <x:f>IF($J384&lt;&gt;"",REGEXREPLACE(TO_TEXT('_Supporto Listone'!D384),"(.)","$1"&amp;UNICHAR(822)),'_Supporto Listone'!D384)</x:f>
        <x:v>C;T</x:v>
      </x:c>
      <x:c r="E384" s="441" t="str">
        <x:f>IF($J384&lt;&gt;"",REGEXREPLACE(TO_TEXT('_Supporto Listone'!E384),"(.)","$1"&amp;UNICHAR(822)),'_Supporto Listone'!E384)</x:f>
        <x:v>Riserva / rotazione</x:v>
      </x:c>
      <x:c r="F384" s="464" t="n">
        <x:f>IF($J384&lt;&gt;"",REGEXREPLACE(TO_TEXT('_Supporto Listone'!F384),"(.)","$1"&amp;UNICHAR(822)),'_Supporto Listone'!F384)</x:f>
        <x:v>3</x:v>
      </x:c>
      <x:c r="G384" s="464" t="n">
        <x:f>IF($J384&lt;&gt;"",REGEXREPLACE(TO_TEXT('_Supporto Listone'!G384),"(.)","$1"&amp;UNICHAR(822)),'_Supporto Listone'!G384)</x:f>
        <x:v>11</x:v>
      </x:c>
      <x:c r="H384" s="464" t="n">
        <x:f>IF($J384&lt;&gt;"",REGEXREPLACE(TO_TEXT('_Supporto Listone'!H384),"(.)","$1"&amp;UNICHAR(822)),'_Supporto Listone'!H384)</x:f>
        <x:v>6</x:v>
      </x:c>
      <x:c r="I384" s="442"/>
      <x:c r="J384" s="441" t="str">
        <x:f>IF(COUNTIF(Asta!$B$4:$B$47,'_Supporto Listone'!B384)&gt;0,"Simone",IF(COUNTIF(Asta!$D$4:$D$47,'_Supporto Listone'!B384)&gt;0,"Giacomo",IF(COUNTIF(Asta!$F$4:$F$47,'_Supporto Listone'!B384)&gt;0,"Niko",IF(COUNTIF(Asta!$H$4:$H$47,'_Supporto Listone'!B384)&gt;0,"Quici",IF(COUNTIF(Asta!$J$4:$J$47,'_Supporto Listone'!B384)&gt;0,"Fratello Quici",IF(COUNTIF(Asta!$L$4:$L$47,'_Supporto Listone'!B384)&gt;0,"Nicolò",IF(COUNTIF(Asta!$N$4:$N$47,'_Supporto Listone'!B384)&gt;0,"Vi",IF(COUNTIF(Asta!$P$4:$P$47,'_Supporto Listone'!B384)&gt;0,"Lore",IF(COUNTIF(Asta!$R$4:$R$47,'_Supporto Listone'!B384)&gt;0,"Robbo",IF(COUNTIF(Asta!$T$4:$T$47,'_Supporto Listone'!B384)&gt;0,"Ale",""))))))))))</x:f>
      </x:c>
      <x:c r="K384" s="495" t="str">
        <x:f>IF(COUNTIF(Asta!$B$4:$B$47,'_Supporto Listone'!B384)&gt;0,INDEX(Asta!$C$4:$C$47,MATCH('_Supporto Listone'!B384,Asta!$B$4:$B$47,0)),IF(COUNTIF(Asta!$D$4:$D$47,'_Supporto Listone'!B384)&gt;0,INDEX(Asta!$E$4:$E$47,MATCH('_Supporto Listone'!B384,Asta!$D$4:$D$47,0)),IF(COUNTIF(Asta!$F$4:$F$47,'_Supporto Listone'!B384)&gt;0,INDEX(Asta!$G$4:$G$47,MATCH('_Supporto Listone'!B384,Asta!$F$4:$F$47,0)),IF(COUNTIF(Asta!$H$4:$H$47,'_Supporto Listone'!B384)&gt;0,INDEX(Asta!$I$4:$I$47,MATCH('_Supporto Listone'!B384,Asta!$H$4:$H$47,0)),IF(COUNTIF(Asta!$J$4:$J$47,'_Supporto Listone'!B384)&gt;0,INDEX(Asta!$K$4:$K$47,MATCH('_Supporto Listone'!B384,Asta!$J$4:$J$47,0)),IF(COUNTIF(Asta!$L$4:$L$47,'_Supporto Listone'!B384)&gt;0,INDEX(Asta!$M$4:$M$47,MATCH('_Supporto Listone'!B384,Asta!$L$4:$L$47,0)),IF(COUNTIF(Asta!$N$4:$N$47,'_Supporto Listone'!B384)&gt;0,INDEX(Asta!$O$4:$O$47,MATCH('_Supporto Listone'!B384,Asta!$N$4:$N$47,0)),IF(COUNTIF(Asta!$P$4:$P$47,'_Supporto Listone'!B384)&gt;0,INDEX(Asta!$Q$4:$Q$47,MATCH('_Supporto Listone'!B384,Asta!$P$4:$P$47,0)),IF(COUNTIF(Asta!$R$4:$R$47,'_Supporto Listone'!B384)&gt;0,INDEX(Asta!$S$4:$S$47,MATCH('_Supporto Listone'!B384,Asta!$R$4:$R$47,0)),IF(COUNTIF(Asta!$T$4:$T$47,'_Supporto Listone'!B384)&gt;0,INDEX(Asta!$U$4:$U$47,MATCH('_Supporto Listone'!B384,Asta!$T$4:$T$47,0)),""))))))))))</x:f>
      </x:c>
    </x:row>
    <x:row r="385">
      <x:c r="A385" s="440" t="str">
        <x:f>IF($J385&lt;&gt;"",REGEXREPLACE(TO_TEXT('_Supporto Listone'!A385),"(.)","$1"&amp;UNICHAR(822)),'_Supporto Listone'!A385)</x:f>
        <x:v>C</x:v>
      </x:c>
      <x:c r="B385" s="441" t="str">
        <x:f>IF($J385&lt;&gt;"",REGEXREPLACE(TO_TEXT('_Supporto Listone'!B385),"(.)","$1"&amp;UNICHAR(822)),'_Supporto Listone'!B385)</x:f>
        <x:v>Colombo L.</x:v>
      </x:c>
      <x:c r="C385" s="441" t="str">
        <x:f>IF($J385&lt;&gt;"",REGEXREPLACE(TO_TEXT('_Supporto Listone'!C385),"(.)","$1"&amp;UNICHAR(822)),'_Supporto Listone'!C385)</x:f>
        <x:v>Monza</x:v>
      </x:c>
      <x:c r="D385" s="441" t="str">
        <x:f>IF($J385&lt;&gt;"",REGEXREPLACE(TO_TEXT('_Supporto Listone'!D385),"(.)","$1"&amp;UNICHAR(822)),'_Supporto Listone'!D385)</x:f>
        <x:v>M;C</x:v>
      </x:c>
      <x:c r="E385" s="441" t="str">
        <x:f>IF($J385&lt;&gt;"",REGEXREPLACE(TO_TEXT('_Supporto Listone'!E385),"(.)","$1"&amp;UNICHAR(822)),'_Supporto Listone'!E385)</x:f>
        <x:v>Riserva / rotazione</x:v>
      </x:c>
      <x:c r="F385" s="464" t="n">
        <x:f>IF($J385&lt;&gt;"",REGEXREPLACE(TO_TEXT('_Supporto Listone'!F385),"(.)","$1"&amp;UNICHAR(822)),'_Supporto Listone'!F385)</x:f>
        <x:v>3</x:v>
      </x:c>
      <x:c r="G385" s="464" t="n">
        <x:f>IF($J385&lt;&gt;"",REGEXREPLACE(TO_TEXT('_Supporto Listone'!G385),"(.)","$1"&amp;UNICHAR(822)),'_Supporto Listone'!G385)</x:f>
        <x:v>7</x:v>
      </x:c>
      <x:c r="H385" s="464" t="n">
        <x:f>IF($J385&lt;&gt;"",REGEXREPLACE(TO_TEXT('_Supporto Listone'!H385),"(.)","$1"&amp;UNICHAR(822)),'_Supporto Listone'!H385)</x:f>
        <x:v>4</x:v>
      </x:c>
      <x:c r="I385" s="442"/>
      <x:c r="J385" s="441" t="str">
        <x:f>IF(COUNTIF(Asta!$B$4:$B$47,'_Supporto Listone'!B385)&gt;0,"Simone",IF(COUNTIF(Asta!$D$4:$D$47,'_Supporto Listone'!B385)&gt;0,"Giacomo",IF(COUNTIF(Asta!$F$4:$F$47,'_Supporto Listone'!B385)&gt;0,"Niko",IF(COUNTIF(Asta!$H$4:$H$47,'_Supporto Listone'!B385)&gt;0,"Quici",IF(COUNTIF(Asta!$J$4:$J$47,'_Supporto Listone'!B385)&gt;0,"Fratello Quici",IF(COUNTIF(Asta!$L$4:$L$47,'_Supporto Listone'!B385)&gt;0,"Nicolò",IF(COUNTIF(Asta!$N$4:$N$47,'_Supporto Listone'!B385)&gt;0,"Vi",IF(COUNTIF(Asta!$P$4:$P$47,'_Supporto Listone'!B385)&gt;0,"Lore",IF(COUNTIF(Asta!$R$4:$R$47,'_Supporto Listone'!B385)&gt;0,"Robbo",IF(COUNTIF(Asta!$T$4:$T$47,'_Supporto Listone'!B385)&gt;0,"Ale",""))))))))))</x:f>
      </x:c>
      <x:c r="K385" s="495" t="str">
        <x:f>IF(COUNTIF(Asta!$B$4:$B$47,'_Supporto Listone'!B385)&gt;0,INDEX(Asta!$C$4:$C$47,MATCH('_Supporto Listone'!B385,Asta!$B$4:$B$47,0)),IF(COUNTIF(Asta!$D$4:$D$47,'_Supporto Listone'!B385)&gt;0,INDEX(Asta!$E$4:$E$47,MATCH('_Supporto Listone'!B385,Asta!$D$4:$D$47,0)),IF(COUNTIF(Asta!$F$4:$F$47,'_Supporto Listone'!B385)&gt;0,INDEX(Asta!$G$4:$G$47,MATCH('_Supporto Listone'!B385,Asta!$F$4:$F$47,0)),IF(COUNTIF(Asta!$H$4:$H$47,'_Supporto Listone'!B385)&gt;0,INDEX(Asta!$I$4:$I$47,MATCH('_Supporto Listone'!B385,Asta!$H$4:$H$47,0)),IF(COUNTIF(Asta!$J$4:$J$47,'_Supporto Listone'!B385)&gt;0,INDEX(Asta!$K$4:$K$47,MATCH('_Supporto Listone'!B385,Asta!$J$4:$J$47,0)),IF(COUNTIF(Asta!$L$4:$L$47,'_Supporto Listone'!B385)&gt;0,INDEX(Asta!$M$4:$M$47,MATCH('_Supporto Listone'!B385,Asta!$L$4:$L$47,0)),IF(COUNTIF(Asta!$N$4:$N$47,'_Supporto Listone'!B385)&gt;0,INDEX(Asta!$O$4:$O$47,MATCH('_Supporto Listone'!B385,Asta!$N$4:$N$47,0)),IF(COUNTIF(Asta!$P$4:$P$47,'_Supporto Listone'!B385)&gt;0,INDEX(Asta!$Q$4:$Q$47,MATCH('_Supporto Listone'!B385,Asta!$P$4:$P$47,0)),IF(COUNTIF(Asta!$R$4:$R$47,'_Supporto Listone'!B385)&gt;0,INDEX(Asta!$S$4:$S$47,MATCH('_Supporto Listone'!B385,Asta!$R$4:$R$47,0)),IF(COUNTIF(Asta!$T$4:$T$47,'_Supporto Listone'!B385)&gt;0,INDEX(Asta!$U$4:$U$47,MATCH('_Supporto Listone'!B385,Asta!$T$4:$T$47,0)),""))))))))))</x:f>
      </x:c>
    </x:row>
    <x:row r="386">
      <x:c r="A386" s="440" t="str">
        <x:f>IF($J386&lt;&gt;"",REGEXREPLACE(TO_TEXT('_Supporto Listone'!A386),"(.)","$1"&amp;UNICHAR(822)),'_Supporto Listone'!A386)</x:f>
        <x:v>C</x:v>
      </x:c>
      <x:c r="B386" s="441" t="str">
        <x:f>IF($J386&lt;&gt;"",REGEXREPLACE(TO_TEXT('_Supporto Listone'!B386),"(.)","$1"&amp;UNICHAR(822)),'_Supporto Listone'!B386)</x:f>
        <x:v>Gilmour</x:v>
      </x:c>
      <x:c r="C386" s="441" t="str">
        <x:f>IF($J386&lt;&gt;"",REGEXREPLACE(TO_TEXT('_Supporto Listone'!C386),"(.)","$1"&amp;UNICHAR(822)),'_Supporto Listone'!C386)</x:f>
        <x:v>Napoli</x:v>
      </x:c>
      <x:c r="D386" s="441" t="str">
        <x:f>IF($J386&lt;&gt;"",REGEXREPLACE(TO_TEXT('_Supporto Listone'!D386),"(.)","$1"&amp;UNICHAR(822)),'_Supporto Listone'!D386)</x:f>
        <x:v>M;C</x:v>
      </x:c>
      <x:c r="E386" s="441" t="str">
        <x:f>IF($J386&lt;&gt;"",REGEXREPLACE(TO_TEXT('_Supporto Listone'!E386),"(.)","$1"&amp;UNICHAR(822)),'_Supporto Listone'!E386)</x:f>
        <x:v>Riserva / rotazione</x:v>
      </x:c>
      <x:c r="F386" s="464" t="n">
        <x:f>IF($J386&lt;&gt;"",REGEXREPLACE(TO_TEXT('_Supporto Listone'!F386),"(.)","$1"&amp;UNICHAR(822)),'_Supporto Listone'!F386)</x:f>
        <x:v>3</x:v>
      </x:c>
      <x:c r="G386" s="464" t="n">
        <x:f>IF($J386&lt;&gt;"",REGEXREPLACE(TO_TEXT('_Supporto Listone'!G386),"(.)","$1"&amp;UNICHAR(822)),'_Supporto Listone'!G386)</x:f>
        <x:v>9</x:v>
      </x:c>
      <x:c r="H386" s="464" t="n">
        <x:f>IF($J386&lt;&gt;"",REGEXREPLACE(TO_TEXT('_Supporto Listone'!H386),"(.)","$1"&amp;UNICHAR(822)),'_Supporto Listone'!H386)</x:f>
        <x:v>5</x:v>
      </x:c>
      <x:c r="I386" s="442"/>
      <x:c r="J386" s="441" t="str">
        <x:f>IF(COUNTIF(Asta!$B$4:$B$47,'_Supporto Listone'!B386)&gt;0,"Simone",IF(COUNTIF(Asta!$D$4:$D$47,'_Supporto Listone'!B386)&gt;0,"Giacomo",IF(COUNTIF(Asta!$F$4:$F$47,'_Supporto Listone'!B386)&gt;0,"Niko",IF(COUNTIF(Asta!$H$4:$H$47,'_Supporto Listone'!B386)&gt;0,"Quici",IF(COUNTIF(Asta!$J$4:$J$47,'_Supporto Listone'!B386)&gt;0,"Fratello Quici",IF(COUNTIF(Asta!$L$4:$L$47,'_Supporto Listone'!B386)&gt;0,"Nicolò",IF(COUNTIF(Asta!$N$4:$N$47,'_Supporto Listone'!B386)&gt;0,"Vi",IF(COUNTIF(Asta!$P$4:$P$47,'_Supporto Listone'!B386)&gt;0,"Lore",IF(COUNTIF(Asta!$R$4:$R$47,'_Supporto Listone'!B386)&gt;0,"Robbo",IF(COUNTIF(Asta!$T$4:$T$47,'_Supporto Listone'!B386)&gt;0,"Ale",""))))))))))</x:f>
      </x:c>
      <x:c r="K386" s="495" t="str">
        <x:f>IF(COUNTIF(Asta!$B$4:$B$47,'_Supporto Listone'!B386)&gt;0,INDEX(Asta!$C$4:$C$47,MATCH('_Supporto Listone'!B386,Asta!$B$4:$B$47,0)),IF(COUNTIF(Asta!$D$4:$D$47,'_Supporto Listone'!B386)&gt;0,INDEX(Asta!$E$4:$E$47,MATCH('_Supporto Listone'!B386,Asta!$D$4:$D$47,0)),IF(COUNTIF(Asta!$F$4:$F$47,'_Supporto Listone'!B386)&gt;0,INDEX(Asta!$G$4:$G$47,MATCH('_Supporto Listone'!B386,Asta!$F$4:$F$47,0)),IF(COUNTIF(Asta!$H$4:$H$47,'_Supporto Listone'!B386)&gt;0,INDEX(Asta!$I$4:$I$47,MATCH('_Supporto Listone'!B386,Asta!$H$4:$H$47,0)),IF(COUNTIF(Asta!$J$4:$J$47,'_Supporto Listone'!B386)&gt;0,INDEX(Asta!$K$4:$K$47,MATCH('_Supporto Listone'!B386,Asta!$J$4:$J$47,0)),IF(COUNTIF(Asta!$L$4:$L$47,'_Supporto Listone'!B386)&gt;0,INDEX(Asta!$M$4:$M$47,MATCH('_Supporto Listone'!B386,Asta!$L$4:$L$47,0)),IF(COUNTIF(Asta!$N$4:$N$47,'_Supporto Listone'!B386)&gt;0,INDEX(Asta!$O$4:$O$47,MATCH('_Supporto Listone'!B386,Asta!$N$4:$N$47,0)),IF(COUNTIF(Asta!$P$4:$P$47,'_Supporto Listone'!B386)&gt;0,INDEX(Asta!$Q$4:$Q$47,MATCH('_Supporto Listone'!B386,Asta!$P$4:$P$47,0)),IF(COUNTIF(Asta!$R$4:$R$47,'_Supporto Listone'!B386)&gt;0,INDEX(Asta!$S$4:$S$47,MATCH('_Supporto Listone'!B386,Asta!$R$4:$R$47,0)),IF(COUNTIF(Asta!$T$4:$T$47,'_Supporto Listone'!B386)&gt;0,INDEX(Asta!$U$4:$U$47,MATCH('_Supporto Listone'!B386,Asta!$T$4:$T$47,0)),""))))))))))</x:f>
      </x:c>
    </x:row>
    <x:row r="387">
      <x:c r="A387" s="440" t="str">
        <x:f>IF($J387&lt;&gt;"",REGEXREPLACE(TO_TEXT('_Supporto Listone'!A387),"(.)","$1"&amp;UNICHAR(822)),'_Supporto Listone'!A387)</x:f>
        <x:v>C</x:v>
      </x:c>
      <x:c r="B387" s="441" t="str">
        <x:f>IF($J387&lt;&gt;"",REGEXREPLACE(TO_TEXT('_Supporto Listone'!B387),"(.)","$1"&amp;UNICHAR(822)),'_Supporto Listone'!B387)</x:f>
        <x:v>Diallo O.</x:v>
      </x:c>
      <x:c r="C387" s="441" t="str">
        <x:f>IF($J387&lt;&gt;"",REGEXREPLACE(TO_TEXT('_Supporto Listone'!C387),"(.)","$1"&amp;UNICHAR(822)),'_Supporto Listone'!C387)</x:f>
        <x:v>Parma</x:v>
      </x:c>
      <x:c r="D387" s="441" t="str">
        <x:f>IF($J387&lt;&gt;"",REGEXREPLACE(TO_TEXT('_Supporto Listone'!D387),"(.)","$1"&amp;UNICHAR(822)),'_Supporto Listone'!D387)</x:f>
        <x:v>W;A</x:v>
      </x:c>
      <x:c r="E387" s="441" t="str">
        <x:f>IF($J387&lt;&gt;"",REGEXREPLACE(TO_TEXT('_Supporto Listone'!E387),"(.)","$1"&amp;UNICHAR(822)),'_Supporto Listone'!E387)</x:f>
        <x:v>Riserva / rotazione</x:v>
      </x:c>
      <x:c r="F387" s="464" t="n">
        <x:f>IF($J387&lt;&gt;"",REGEXREPLACE(TO_TEXT('_Supporto Listone'!F387),"(.)","$1"&amp;UNICHAR(822)),'_Supporto Listone'!F387)</x:f>
        <x:v>3</x:v>
      </x:c>
      <x:c r="G387" s="464" t="n">
        <x:f>IF($J387&lt;&gt;"",REGEXREPLACE(TO_TEXT('_Supporto Listone'!G387),"(.)","$1"&amp;UNICHAR(822)),'_Supporto Listone'!G387)</x:f>
        <x:v>12</x:v>
      </x:c>
      <x:c r="H387" s="464" t="n">
        <x:f>IF($J387&lt;&gt;"",REGEXREPLACE(TO_TEXT('_Supporto Listone'!H387),"(.)","$1"&amp;UNICHAR(822)),'_Supporto Listone'!H387)</x:f>
        <x:v>6</x:v>
      </x:c>
      <x:c r="I387" s="442"/>
      <x:c r="J387" s="441" t="str">
        <x:f>IF(COUNTIF(Asta!$B$4:$B$47,'_Supporto Listone'!B387)&gt;0,"Simone",IF(COUNTIF(Asta!$D$4:$D$47,'_Supporto Listone'!B387)&gt;0,"Giacomo",IF(COUNTIF(Asta!$F$4:$F$47,'_Supporto Listone'!B387)&gt;0,"Niko",IF(COUNTIF(Asta!$H$4:$H$47,'_Supporto Listone'!B387)&gt;0,"Quici",IF(COUNTIF(Asta!$J$4:$J$47,'_Supporto Listone'!B387)&gt;0,"Fratello Quici",IF(COUNTIF(Asta!$L$4:$L$47,'_Supporto Listone'!B387)&gt;0,"Nicolò",IF(COUNTIF(Asta!$N$4:$N$47,'_Supporto Listone'!B387)&gt;0,"Vi",IF(COUNTIF(Asta!$P$4:$P$47,'_Supporto Listone'!B387)&gt;0,"Lore",IF(COUNTIF(Asta!$R$4:$R$47,'_Supporto Listone'!B387)&gt;0,"Robbo",IF(COUNTIF(Asta!$T$4:$T$47,'_Supporto Listone'!B387)&gt;0,"Ale",""))))))))))</x:f>
      </x:c>
      <x:c r="K387" s="495" t="str">
        <x:f>IF(COUNTIF(Asta!$B$4:$B$47,'_Supporto Listone'!B387)&gt;0,INDEX(Asta!$C$4:$C$47,MATCH('_Supporto Listone'!B387,Asta!$B$4:$B$47,0)),IF(COUNTIF(Asta!$D$4:$D$47,'_Supporto Listone'!B387)&gt;0,INDEX(Asta!$E$4:$E$47,MATCH('_Supporto Listone'!B387,Asta!$D$4:$D$47,0)),IF(COUNTIF(Asta!$F$4:$F$47,'_Supporto Listone'!B387)&gt;0,INDEX(Asta!$G$4:$G$47,MATCH('_Supporto Listone'!B387,Asta!$F$4:$F$47,0)),IF(COUNTIF(Asta!$H$4:$H$47,'_Supporto Listone'!B387)&gt;0,INDEX(Asta!$I$4:$I$47,MATCH('_Supporto Listone'!B387,Asta!$H$4:$H$47,0)),IF(COUNTIF(Asta!$J$4:$J$47,'_Supporto Listone'!B387)&gt;0,INDEX(Asta!$K$4:$K$47,MATCH('_Supporto Listone'!B387,Asta!$J$4:$J$47,0)),IF(COUNTIF(Asta!$L$4:$L$47,'_Supporto Listone'!B387)&gt;0,INDEX(Asta!$M$4:$M$47,MATCH('_Supporto Listone'!B387,Asta!$L$4:$L$47,0)),IF(COUNTIF(Asta!$N$4:$N$47,'_Supporto Listone'!B387)&gt;0,INDEX(Asta!$O$4:$O$47,MATCH('_Supporto Listone'!B387,Asta!$N$4:$N$47,0)),IF(COUNTIF(Asta!$P$4:$P$47,'_Supporto Listone'!B387)&gt;0,INDEX(Asta!$Q$4:$Q$47,MATCH('_Supporto Listone'!B387,Asta!$P$4:$P$47,0)),IF(COUNTIF(Asta!$R$4:$R$47,'_Supporto Listone'!B387)&gt;0,INDEX(Asta!$S$4:$S$47,MATCH('_Supporto Listone'!B387,Asta!$R$4:$R$47,0)),IF(COUNTIF(Asta!$T$4:$T$47,'_Supporto Listone'!B387)&gt;0,INDEX(Asta!$U$4:$U$47,MATCH('_Supporto Listone'!B387,Asta!$T$4:$T$47,0)),""))))))))))</x:f>
      </x:c>
    </x:row>
    <x:row r="388">
      <x:c r="A388" s="440" t="str">
        <x:f>IF($J388&lt;&gt;"",REGEXREPLACE(TO_TEXT('_Supporto Listone'!A388),"(.)","$1"&amp;UNICHAR(822)),'_Supporto Listone'!A388)</x:f>
        <x:v>C</x:v>
      </x:c>
      <x:c r="B388" s="441" t="str">
        <x:f>IF($J388&lt;&gt;"",REGEXREPLACE(TO_TEXT('_Supporto Listone'!B388),"(.)","$1"&amp;UNICHAR(822)),'_Supporto Listone'!B388)</x:f>
        <x:v>Sorensen O.</x:v>
      </x:c>
      <x:c r="C388" s="441" t="str">
        <x:f>IF($J388&lt;&gt;"",REGEXREPLACE(TO_TEXT('_Supporto Listone'!C388),"(.)","$1"&amp;UNICHAR(822)),'_Supporto Listone'!C388)</x:f>
        <x:v>Parma</x:v>
      </x:c>
      <x:c r="D388" s="441" t="str">
        <x:f>IF($J388&lt;&gt;"",REGEXREPLACE(TO_TEXT('_Supporto Listone'!D388),"(.)","$1"&amp;UNICHAR(822)),'_Supporto Listone'!D388)</x:f>
        <x:v>C</x:v>
      </x:c>
      <x:c r="E388" s="441" t="str">
        <x:f>IF($J388&lt;&gt;"",REGEXREPLACE(TO_TEXT('_Supporto Listone'!E388),"(.)","$1"&amp;UNICHAR(822)),'_Supporto Listone'!E388)</x:f>
        <x:v>Riserva / rotazione</x:v>
      </x:c>
      <x:c r="F388" s="464" t="n">
        <x:f>IF($J388&lt;&gt;"",REGEXREPLACE(TO_TEXT('_Supporto Listone'!F388),"(.)","$1"&amp;UNICHAR(822)),'_Supporto Listone'!F388)</x:f>
        <x:v>3</x:v>
      </x:c>
      <x:c r="G388" s="464" t="n">
        <x:f>IF($J388&lt;&gt;"",REGEXREPLACE(TO_TEXT('_Supporto Listone'!G388),"(.)","$1"&amp;UNICHAR(822)),'_Supporto Listone'!G388)</x:f>
        <x:v>12</x:v>
      </x:c>
      <x:c r="H388" s="464" t="n">
        <x:f>IF($J388&lt;&gt;"",REGEXREPLACE(TO_TEXT('_Supporto Listone'!H388),"(.)","$1"&amp;UNICHAR(822)),'_Supporto Listone'!H388)</x:f>
        <x:v>6</x:v>
      </x:c>
      <x:c r="I388" s="442"/>
      <x:c r="J388" s="441" t="str">
        <x:f>IF(COUNTIF(Asta!$B$4:$B$47,'_Supporto Listone'!B388)&gt;0,"Simone",IF(COUNTIF(Asta!$D$4:$D$47,'_Supporto Listone'!B388)&gt;0,"Giacomo",IF(COUNTIF(Asta!$F$4:$F$47,'_Supporto Listone'!B388)&gt;0,"Niko",IF(COUNTIF(Asta!$H$4:$H$47,'_Supporto Listone'!B388)&gt;0,"Quici",IF(COUNTIF(Asta!$J$4:$J$47,'_Supporto Listone'!B388)&gt;0,"Fratello Quici",IF(COUNTIF(Asta!$L$4:$L$47,'_Supporto Listone'!B388)&gt;0,"Nicolò",IF(COUNTIF(Asta!$N$4:$N$47,'_Supporto Listone'!B388)&gt;0,"Vi",IF(COUNTIF(Asta!$P$4:$P$47,'_Supporto Listone'!B388)&gt;0,"Lore",IF(COUNTIF(Asta!$R$4:$R$47,'_Supporto Listone'!B388)&gt;0,"Robbo",IF(COUNTIF(Asta!$T$4:$T$47,'_Supporto Listone'!B388)&gt;0,"Ale",""))))))))))</x:f>
      </x:c>
      <x:c r="K388" s="495" t="str">
        <x:f>IF(COUNTIF(Asta!$B$4:$B$47,'_Supporto Listone'!B388)&gt;0,INDEX(Asta!$C$4:$C$47,MATCH('_Supporto Listone'!B388,Asta!$B$4:$B$47,0)),IF(COUNTIF(Asta!$D$4:$D$47,'_Supporto Listone'!B388)&gt;0,INDEX(Asta!$E$4:$E$47,MATCH('_Supporto Listone'!B388,Asta!$D$4:$D$47,0)),IF(COUNTIF(Asta!$F$4:$F$47,'_Supporto Listone'!B388)&gt;0,INDEX(Asta!$G$4:$G$47,MATCH('_Supporto Listone'!B388,Asta!$F$4:$F$47,0)),IF(COUNTIF(Asta!$H$4:$H$47,'_Supporto Listone'!B388)&gt;0,INDEX(Asta!$I$4:$I$47,MATCH('_Supporto Listone'!B388,Asta!$H$4:$H$47,0)),IF(COUNTIF(Asta!$J$4:$J$47,'_Supporto Listone'!B388)&gt;0,INDEX(Asta!$K$4:$K$47,MATCH('_Supporto Listone'!B388,Asta!$J$4:$J$47,0)),IF(COUNTIF(Asta!$L$4:$L$47,'_Supporto Listone'!B388)&gt;0,INDEX(Asta!$M$4:$M$47,MATCH('_Supporto Listone'!B388,Asta!$L$4:$L$47,0)),IF(COUNTIF(Asta!$N$4:$N$47,'_Supporto Listone'!B388)&gt;0,INDEX(Asta!$O$4:$O$47,MATCH('_Supporto Listone'!B388,Asta!$N$4:$N$47,0)),IF(COUNTIF(Asta!$P$4:$P$47,'_Supporto Listone'!B388)&gt;0,INDEX(Asta!$Q$4:$Q$47,MATCH('_Supporto Listone'!B388,Asta!$P$4:$P$47,0)),IF(COUNTIF(Asta!$R$4:$R$47,'_Supporto Listone'!B388)&gt;0,INDEX(Asta!$S$4:$S$47,MATCH('_Supporto Listone'!B388,Asta!$R$4:$R$47,0)),IF(COUNTIF(Asta!$T$4:$T$47,'_Supporto Listone'!B388)&gt;0,INDEX(Asta!$U$4:$U$47,MATCH('_Supporto Listone'!B388,Asta!$T$4:$T$47,0)),""))))))))))</x:f>
      </x:c>
    </x:row>
    <x:row r="389">
      <x:c r="A389" s="440" t="str">
        <x:f>IF($J389&lt;&gt;"",REGEXREPLACE(TO_TEXT('_Supporto Listone'!A389),"(.)","$1"&amp;UNICHAR(822)),'_Supporto Listone'!A389)</x:f>
        <x:v>C</x:v>
      </x:c>
      <x:c r="B389" s="441" t="str">
        <x:f>IF($J389&lt;&gt;"",REGEXREPLACE(TO_TEXT('_Supporto Listone'!B389),"(.)","$1"&amp;UNICHAR(822)),'_Supporto Listone'!B389)</x:f>
        <x:v>Aboukhlal</x:v>
      </x:c>
      <x:c r="C389" s="441" t="str">
        <x:f>IF($J389&lt;&gt;"",REGEXREPLACE(TO_TEXT('_Supporto Listone'!C389),"(.)","$1"&amp;UNICHAR(822)),'_Supporto Listone'!C389)</x:f>
        <x:v>Torino</x:v>
      </x:c>
      <x:c r="D389" s="441" t="str">
        <x:f>IF($J389&lt;&gt;"",REGEXREPLACE(TO_TEXT('_Supporto Listone'!D389),"(.)","$1"&amp;UNICHAR(822)),'_Supporto Listone'!D389)</x:f>
        <x:v>W;A</x:v>
      </x:c>
      <x:c r="E389" s="441" t="str">
        <x:f>IF($J389&lt;&gt;"",REGEXREPLACE(TO_TEXT('_Supporto Listone'!E389),"(.)","$1"&amp;UNICHAR(822)),'_Supporto Listone'!E389)</x:f>
        <x:v>Riserva / rotazione</x:v>
      </x:c>
      <x:c r="F389" s="464" t="n">
        <x:f>IF($J389&lt;&gt;"",REGEXREPLACE(TO_TEXT('_Supporto Listone'!F389),"(.)","$1"&amp;UNICHAR(822)),'_Supporto Listone'!F389)</x:f>
        <x:v>3</x:v>
      </x:c>
      <x:c r="G389" s="464" t="n">
        <x:f>IF($J389&lt;&gt;"",REGEXREPLACE(TO_TEXT('_Supporto Listone'!G389),"(.)","$1"&amp;UNICHAR(822)),'_Supporto Listone'!G389)</x:f>
        <x:v>5</x:v>
      </x:c>
      <x:c r="H389" s="464" t="n">
        <x:f>IF($J389&lt;&gt;"",REGEXREPLACE(TO_TEXT('_Supporto Listone'!H389),"(.)","$1"&amp;UNICHAR(822)),'_Supporto Listone'!H389)</x:f>
        <x:v>3</x:v>
      </x:c>
      <x:c r="I389" s="442"/>
      <x:c r="J389" s="441" t="str">
        <x:f>IF(COUNTIF(Asta!$B$4:$B$47,'_Supporto Listone'!B389)&gt;0,"Simone",IF(COUNTIF(Asta!$D$4:$D$47,'_Supporto Listone'!B389)&gt;0,"Giacomo",IF(COUNTIF(Asta!$F$4:$F$47,'_Supporto Listone'!B389)&gt;0,"Niko",IF(COUNTIF(Asta!$H$4:$H$47,'_Supporto Listone'!B389)&gt;0,"Quici",IF(COUNTIF(Asta!$J$4:$J$47,'_Supporto Listone'!B389)&gt;0,"Fratello Quici",IF(COUNTIF(Asta!$L$4:$L$47,'_Supporto Listone'!B389)&gt;0,"Nicolò",IF(COUNTIF(Asta!$N$4:$N$47,'_Supporto Listone'!B389)&gt;0,"Vi",IF(COUNTIF(Asta!$P$4:$P$47,'_Supporto Listone'!B389)&gt;0,"Lore",IF(COUNTIF(Asta!$R$4:$R$47,'_Supporto Listone'!B389)&gt;0,"Robbo",IF(COUNTIF(Asta!$T$4:$T$47,'_Supporto Listone'!B389)&gt;0,"Ale",""))))))))))</x:f>
      </x:c>
      <x:c r="K389" s="495" t="str">
        <x:f>IF(COUNTIF(Asta!$B$4:$B$47,'_Supporto Listone'!B389)&gt;0,INDEX(Asta!$C$4:$C$47,MATCH('_Supporto Listone'!B389,Asta!$B$4:$B$47,0)),IF(COUNTIF(Asta!$D$4:$D$47,'_Supporto Listone'!B389)&gt;0,INDEX(Asta!$E$4:$E$47,MATCH('_Supporto Listone'!B389,Asta!$D$4:$D$47,0)),IF(COUNTIF(Asta!$F$4:$F$47,'_Supporto Listone'!B389)&gt;0,INDEX(Asta!$G$4:$G$47,MATCH('_Supporto Listone'!B389,Asta!$F$4:$F$47,0)),IF(COUNTIF(Asta!$H$4:$H$47,'_Supporto Listone'!B389)&gt;0,INDEX(Asta!$I$4:$I$47,MATCH('_Supporto Listone'!B389,Asta!$H$4:$H$47,0)),IF(COUNTIF(Asta!$J$4:$J$47,'_Supporto Listone'!B389)&gt;0,INDEX(Asta!$K$4:$K$47,MATCH('_Supporto Listone'!B389,Asta!$J$4:$J$47,0)),IF(COUNTIF(Asta!$L$4:$L$47,'_Supporto Listone'!B389)&gt;0,INDEX(Asta!$M$4:$M$47,MATCH('_Supporto Listone'!B389,Asta!$L$4:$L$47,0)),IF(COUNTIF(Asta!$N$4:$N$47,'_Supporto Listone'!B389)&gt;0,INDEX(Asta!$O$4:$O$47,MATCH('_Supporto Listone'!B389,Asta!$N$4:$N$47,0)),IF(COUNTIF(Asta!$P$4:$P$47,'_Supporto Listone'!B389)&gt;0,INDEX(Asta!$Q$4:$Q$47,MATCH('_Supporto Listone'!B389,Asta!$P$4:$P$47,0)),IF(COUNTIF(Asta!$R$4:$R$47,'_Supporto Listone'!B389)&gt;0,INDEX(Asta!$S$4:$S$47,MATCH('_Supporto Listone'!B389,Asta!$R$4:$R$47,0)),IF(COUNTIF(Asta!$T$4:$T$47,'_Supporto Listone'!B389)&gt;0,INDEX(Asta!$U$4:$U$47,MATCH('_Supporto Listone'!B389,Asta!$T$4:$T$47,0)),""))))))))))</x:f>
      </x:c>
    </x:row>
    <x:row r="390">
      <x:c r="A390" s="440" t="str">
        <x:f>IF($J390&lt;&gt;"",REGEXREPLACE(TO_TEXT('_Supporto Listone'!A390),"(.)","$1"&amp;UNICHAR(822)),'_Supporto Listone'!A390)</x:f>
        <x:v>C</x:v>
      </x:c>
      <x:c r="B390" s="441" t="str">
        <x:f>IF($J390&lt;&gt;"",REGEXREPLACE(TO_TEXT('_Supporto Listone'!B390),"(.)","$1"&amp;UNICHAR(822)),'_Supporto Listone'!B390)</x:f>
        <x:v>Miller L.</x:v>
      </x:c>
      <x:c r="C390" s="441" t="str">
        <x:f>IF($J390&lt;&gt;"",REGEXREPLACE(TO_TEXT('_Supporto Listone'!C390),"(.)","$1"&amp;UNICHAR(822)),'_Supporto Listone'!C390)</x:f>
        <x:v>Udinese</x:v>
      </x:c>
      <x:c r="D390" s="441" t="str">
        <x:f>IF($J390&lt;&gt;"",REGEXREPLACE(TO_TEXT('_Supporto Listone'!D390),"(.)","$1"&amp;UNICHAR(822)),'_Supporto Listone'!D390)</x:f>
        <x:v>M;C</x:v>
      </x:c>
      <x:c r="E390" s="441" t="str">
        <x:f>IF($J390&lt;&gt;"",REGEXREPLACE(TO_TEXT('_Supporto Listone'!E390),"(.)","$1"&amp;UNICHAR(822)),'_Supporto Listone'!E390)</x:f>
        <x:v>Ballottaggio</x:v>
      </x:c>
      <x:c r="F390" s="464" t="n">
        <x:f>IF($J390&lt;&gt;"",REGEXREPLACE(TO_TEXT('_Supporto Listone'!F390),"(.)","$1"&amp;UNICHAR(822)),'_Supporto Listone'!F390)</x:f>
        <x:v>3</x:v>
      </x:c>
      <x:c r="G390" s="464" t="n">
        <x:f>IF($J390&lt;&gt;"",REGEXREPLACE(TO_TEXT('_Supporto Listone'!G390),"(.)","$1"&amp;UNICHAR(822)),'_Supporto Listone'!G390)</x:f>
        <x:v>12</x:v>
      </x:c>
      <x:c r="H390" s="464" t="n">
        <x:f>IF($J390&lt;&gt;"",REGEXREPLACE(TO_TEXT('_Supporto Listone'!H390),"(.)","$1"&amp;UNICHAR(822)),'_Supporto Listone'!H390)</x:f>
        <x:v>6</x:v>
      </x:c>
      <x:c r="I390" s="442"/>
      <x:c r="J390" s="441" t="str">
        <x:f>IF(COUNTIF(Asta!$B$4:$B$47,'_Supporto Listone'!B390)&gt;0,"Simone",IF(COUNTIF(Asta!$D$4:$D$47,'_Supporto Listone'!B390)&gt;0,"Giacomo",IF(COUNTIF(Asta!$F$4:$F$47,'_Supporto Listone'!B390)&gt;0,"Niko",IF(COUNTIF(Asta!$H$4:$H$47,'_Supporto Listone'!B390)&gt;0,"Quici",IF(COUNTIF(Asta!$J$4:$J$47,'_Supporto Listone'!B390)&gt;0,"Fratello Quici",IF(COUNTIF(Asta!$L$4:$L$47,'_Supporto Listone'!B390)&gt;0,"Nicolò",IF(COUNTIF(Asta!$N$4:$N$47,'_Supporto Listone'!B390)&gt;0,"Vi",IF(COUNTIF(Asta!$P$4:$P$47,'_Supporto Listone'!B390)&gt;0,"Lore",IF(COUNTIF(Asta!$R$4:$R$47,'_Supporto Listone'!B390)&gt;0,"Robbo",IF(COUNTIF(Asta!$T$4:$T$47,'_Supporto Listone'!B390)&gt;0,"Ale",""))))))))))</x:f>
      </x:c>
      <x:c r="K390" s="495" t="str">
        <x:f>IF(COUNTIF(Asta!$B$4:$B$47,'_Supporto Listone'!B390)&gt;0,INDEX(Asta!$C$4:$C$47,MATCH('_Supporto Listone'!B390,Asta!$B$4:$B$47,0)),IF(COUNTIF(Asta!$D$4:$D$47,'_Supporto Listone'!B390)&gt;0,INDEX(Asta!$E$4:$E$47,MATCH('_Supporto Listone'!B390,Asta!$D$4:$D$47,0)),IF(COUNTIF(Asta!$F$4:$F$47,'_Supporto Listone'!B390)&gt;0,INDEX(Asta!$G$4:$G$47,MATCH('_Supporto Listone'!B390,Asta!$F$4:$F$47,0)),IF(COUNTIF(Asta!$H$4:$H$47,'_Supporto Listone'!B390)&gt;0,INDEX(Asta!$I$4:$I$47,MATCH('_Supporto Listone'!B390,Asta!$H$4:$H$47,0)),IF(COUNTIF(Asta!$J$4:$J$47,'_Supporto Listone'!B390)&gt;0,INDEX(Asta!$K$4:$K$47,MATCH('_Supporto Listone'!B390,Asta!$J$4:$J$47,0)),IF(COUNTIF(Asta!$L$4:$L$47,'_Supporto Listone'!B390)&gt;0,INDEX(Asta!$M$4:$M$47,MATCH('_Supporto Listone'!B390,Asta!$L$4:$L$47,0)),IF(COUNTIF(Asta!$N$4:$N$47,'_Supporto Listone'!B390)&gt;0,INDEX(Asta!$O$4:$O$47,MATCH('_Supporto Listone'!B390,Asta!$N$4:$N$47,0)),IF(COUNTIF(Asta!$P$4:$P$47,'_Supporto Listone'!B390)&gt;0,INDEX(Asta!$Q$4:$Q$47,MATCH('_Supporto Listone'!B390,Asta!$P$4:$P$47,0)),IF(COUNTIF(Asta!$R$4:$R$47,'_Supporto Listone'!B390)&gt;0,INDEX(Asta!$S$4:$S$47,MATCH('_Supporto Listone'!B390,Asta!$R$4:$R$47,0)),IF(COUNTIF(Asta!$T$4:$T$47,'_Supporto Listone'!B390)&gt;0,INDEX(Asta!$U$4:$U$47,MATCH('_Supporto Listone'!B390,Asta!$T$4:$T$47,0)),""))))))))))</x:f>
      </x:c>
    </x:row>
    <x:row r="391">
      <x:c r="A391" s="440" t="str">
        <x:f>IF($J391&lt;&gt;"",REGEXREPLACE(TO_TEXT('_Supporto Listone'!A391),"(.)","$1"&amp;UNICHAR(822)),'_Supporto Listone'!A391)</x:f>
        <x:v>C</x:v>
      </x:c>
      <x:c r="B391" s="441" t="str">
        <x:f>IF($J391&lt;&gt;"",REGEXREPLACE(TO_TEXT('_Supporto Listone'!B391),"(.)","$1"&amp;UNICHAR(822)),'_Supporto Listone'!B391)</x:f>
        <x:v>Helgason</x:v>
      </x:c>
      <x:c r="C391" s="441" t="str">
        <x:f>IF($J391&lt;&gt;"",REGEXREPLACE(TO_TEXT('_Supporto Listone'!C391),"(.)","$1"&amp;UNICHAR(822)),'_Supporto Listone'!C391)</x:f>
        <x:v>Venezia</x:v>
      </x:c>
      <x:c r="D391" s="441" t="str">
        <x:f>IF($J391&lt;&gt;"",REGEXREPLACE(TO_TEXT('_Supporto Listone'!D391),"(.)","$1"&amp;UNICHAR(822)),'_Supporto Listone'!D391)</x:f>
        <x:v>C;T</x:v>
      </x:c>
      <x:c r="E391" s="441" t="str">
        <x:f>IF($J391&lt;&gt;"",REGEXREPLACE(TO_TEXT('_Supporto Listone'!E391),"(.)","$1"&amp;UNICHAR(822)),'_Supporto Listone'!E391)</x:f>
        <x:v>Riserva / rotazione</x:v>
      </x:c>
      <x:c r="F391" s="464" t="n">
        <x:f>IF($J391&lt;&gt;"",REGEXREPLACE(TO_TEXT('_Supporto Listone'!F391),"(.)","$1"&amp;UNICHAR(822)),'_Supporto Listone'!F391)</x:f>
        <x:v>3</x:v>
      </x:c>
      <x:c r="G391" s="464" t="n">
        <x:f>IF($J391&lt;&gt;"",REGEXREPLACE(TO_TEXT('_Supporto Listone'!G391),"(.)","$1"&amp;UNICHAR(822)),'_Supporto Listone'!G391)</x:f>
        <x:v>7</x:v>
      </x:c>
      <x:c r="H391" s="464" t="n">
        <x:f>IF($J391&lt;&gt;"",REGEXREPLACE(TO_TEXT('_Supporto Listone'!H391),"(.)","$1"&amp;UNICHAR(822)),'_Supporto Listone'!H391)</x:f>
        <x:v>4</x:v>
      </x:c>
      <x:c r="I391" s="442"/>
      <x:c r="J391" s="441" t="str">
        <x:f>IF(COUNTIF(Asta!$B$4:$B$47,'_Supporto Listone'!B391)&gt;0,"Simone",IF(COUNTIF(Asta!$D$4:$D$47,'_Supporto Listone'!B391)&gt;0,"Giacomo",IF(COUNTIF(Asta!$F$4:$F$47,'_Supporto Listone'!B391)&gt;0,"Niko",IF(COUNTIF(Asta!$H$4:$H$47,'_Supporto Listone'!B391)&gt;0,"Quici",IF(COUNTIF(Asta!$J$4:$J$47,'_Supporto Listone'!B391)&gt;0,"Fratello Quici",IF(COUNTIF(Asta!$L$4:$L$47,'_Supporto Listone'!B391)&gt;0,"Nicolò",IF(COUNTIF(Asta!$N$4:$N$47,'_Supporto Listone'!B391)&gt;0,"Vi",IF(COUNTIF(Asta!$P$4:$P$47,'_Supporto Listone'!B391)&gt;0,"Lore",IF(COUNTIF(Asta!$R$4:$R$47,'_Supporto Listone'!B391)&gt;0,"Robbo",IF(COUNTIF(Asta!$T$4:$T$47,'_Supporto Listone'!B391)&gt;0,"Ale",""))))))))))</x:f>
      </x:c>
      <x:c r="K391" s="495" t="str">
        <x:f>IF(COUNTIF(Asta!$B$4:$B$47,'_Supporto Listone'!B391)&gt;0,INDEX(Asta!$C$4:$C$47,MATCH('_Supporto Listone'!B391,Asta!$B$4:$B$47,0)),IF(COUNTIF(Asta!$D$4:$D$47,'_Supporto Listone'!B391)&gt;0,INDEX(Asta!$E$4:$E$47,MATCH('_Supporto Listone'!B391,Asta!$D$4:$D$47,0)),IF(COUNTIF(Asta!$F$4:$F$47,'_Supporto Listone'!B391)&gt;0,INDEX(Asta!$G$4:$G$47,MATCH('_Supporto Listone'!B391,Asta!$F$4:$F$47,0)),IF(COUNTIF(Asta!$H$4:$H$47,'_Supporto Listone'!B391)&gt;0,INDEX(Asta!$I$4:$I$47,MATCH('_Supporto Listone'!B391,Asta!$H$4:$H$47,0)),IF(COUNTIF(Asta!$J$4:$J$47,'_Supporto Listone'!B391)&gt;0,INDEX(Asta!$K$4:$K$47,MATCH('_Supporto Listone'!B391,Asta!$J$4:$J$47,0)),IF(COUNTIF(Asta!$L$4:$L$47,'_Supporto Listone'!B391)&gt;0,INDEX(Asta!$M$4:$M$47,MATCH('_Supporto Listone'!B391,Asta!$L$4:$L$47,0)),IF(COUNTIF(Asta!$N$4:$N$47,'_Supporto Listone'!B391)&gt;0,INDEX(Asta!$O$4:$O$47,MATCH('_Supporto Listone'!B391,Asta!$N$4:$N$47,0)),IF(COUNTIF(Asta!$P$4:$P$47,'_Supporto Listone'!B391)&gt;0,INDEX(Asta!$Q$4:$Q$47,MATCH('_Supporto Listone'!B391,Asta!$P$4:$P$47,0)),IF(COUNTIF(Asta!$R$4:$R$47,'_Supporto Listone'!B391)&gt;0,INDEX(Asta!$S$4:$S$47,MATCH('_Supporto Listone'!B391,Asta!$R$4:$R$47,0)),IF(COUNTIF(Asta!$T$4:$T$47,'_Supporto Listone'!B391)&gt;0,INDEX(Asta!$U$4:$U$47,MATCH('_Supporto Listone'!B391,Asta!$T$4:$T$47,0)),""))))))))))</x:f>
      </x:c>
    </x:row>
    <x:row r="392">
      <x:c r="A392" s="440" t="str">
        <x:f>IF($J392&lt;&gt;"",REGEXREPLACE(TO_TEXT('_Supporto Listone'!A392),"(.)","$1"&amp;UNICHAR(822)),'_Supporto Listone'!A392)</x:f>
        <x:v>C</x:v>
      </x:c>
      <x:c r="B392" s="441" t="str">
        <x:f>IF($J392&lt;&gt;"",REGEXREPLACE(TO_TEXT('_Supporto Listone'!B392),"(.)","$1"&amp;UNICHAR(822)),'_Supporto Listone'!B392)</x:f>
        <x:v>El Azzouzi O.</x:v>
      </x:c>
      <x:c r="C392" s="441" t="str">
        <x:f>IF($J392&lt;&gt;"",REGEXREPLACE(TO_TEXT('_Supporto Listone'!C392),"(.)","$1"&amp;UNICHAR(822)),'_Supporto Listone'!C392)</x:f>
        <x:v>Bologna</x:v>
      </x:c>
      <x:c r="D392" s="441" t="str">
        <x:f>IF($J392&lt;&gt;"",REGEXREPLACE(TO_TEXT('_Supporto Listone'!D392),"(.)","$1"&amp;UNICHAR(822)),'_Supporto Listone'!D392)</x:f>
        <x:v>M;C</x:v>
      </x:c>
      <x:c r="E392" s="441" t="str">
        <x:f>IF($J392&lt;&gt;"",REGEXREPLACE(TO_TEXT('_Supporto Listone'!E392),"(.)","$1"&amp;UNICHAR(822)),'_Supporto Listone'!E392)</x:f>
        <x:v>Riserva / rotazione</x:v>
      </x:c>
      <x:c r="F392" s="464" t="n">
        <x:f>IF($J392&lt;&gt;"",REGEXREPLACE(TO_TEXT('_Supporto Listone'!F392),"(.)","$1"&amp;UNICHAR(822)),'_Supporto Listone'!F392)</x:f>
        <x:v>2</x:v>
      </x:c>
      <x:c r="G392" s="464" t="n">
        <x:f>IF($J392&lt;&gt;"",REGEXREPLACE(TO_TEXT('_Supporto Listone'!G392),"(.)","$1"&amp;UNICHAR(822)),'_Supporto Listone'!G392)</x:f>
        <x:v>4</x:v>
      </x:c>
      <x:c r="H392" s="464" t="n">
        <x:f>IF($J392&lt;&gt;"",REGEXREPLACE(TO_TEXT('_Supporto Listone'!H392),"(.)","$1"&amp;UNICHAR(822)),'_Supporto Listone'!H392)</x:f>
        <x:v>2</x:v>
      </x:c>
      <x:c r="I392" s="442"/>
      <x:c r="J392" s="441" t="str">
        <x:f>IF(COUNTIF(Asta!$B$4:$B$47,'_Supporto Listone'!B392)&gt;0,"Simone",IF(COUNTIF(Asta!$D$4:$D$47,'_Supporto Listone'!B392)&gt;0,"Giacomo",IF(COUNTIF(Asta!$F$4:$F$47,'_Supporto Listone'!B392)&gt;0,"Niko",IF(COUNTIF(Asta!$H$4:$H$47,'_Supporto Listone'!B392)&gt;0,"Quici",IF(COUNTIF(Asta!$J$4:$J$47,'_Supporto Listone'!B392)&gt;0,"Fratello Quici",IF(COUNTIF(Asta!$L$4:$L$47,'_Supporto Listone'!B392)&gt;0,"Nicolò",IF(COUNTIF(Asta!$N$4:$N$47,'_Supporto Listone'!B392)&gt;0,"Vi",IF(COUNTIF(Asta!$P$4:$P$47,'_Supporto Listone'!B392)&gt;0,"Lore",IF(COUNTIF(Asta!$R$4:$R$47,'_Supporto Listone'!B392)&gt;0,"Robbo",IF(COUNTIF(Asta!$T$4:$T$47,'_Supporto Listone'!B392)&gt;0,"Ale",""))))))))))</x:f>
      </x:c>
      <x:c r="K392" s="495" t="str">
        <x:f>IF(COUNTIF(Asta!$B$4:$B$47,'_Supporto Listone'!B392)&gt;0,INDEX(Asta!$C$4:$C$47,MATCH('_Supporto Listone'!B392,Asta!$B$4:$B$47,0)),IF(COUNTIF(Asta!$D$4:$D$47,'_Supporto Listone'!B392)&gt;0,INDEX(Asta!$E$4:$E$47,MATCH('_Supporto Listone'!B392,Asta!$D$4:$D$47,0)),IF(COUNTIF(Asta!$F$4:$F$47,'_Supporto Listone'!B392)&gt;0,INDEX(Asta!$G$4:$G$47,MATCH('_Supporto Listone'!B392,Asta!$F$4:$F$47,0)),IF(COUNTIF(Asta!$H$4:$H$47,'_Supporto Listone'!B392)&gt;0,INDEX(Asta!$I$4:$I$47,MATCH('_Supporto Listone'!B392,Asta!$H$4:$H$47,0)),IF(COUNTIF(Asta!$J$4:$J$47,'_Supporto Listone'!B392)&gt;0,INDEX(Asta!$K$4:$K$47,MATCH('_Supporto Listone'!B392,Asta!$J$4:$J$47,0)),IF(COUNTIF(Asta!$L$4:$L$47,'_Supporto Listone'!B392)&gt;0,INDEX(Asta!$M$4:$M$47,MATCH('_Supporto Listone'!B392,Asta!$L$4:$L$47,0)),IF(COUNTIF(Asta!$N$4:$N$47,'_Supporto Listone'!B392)&gt;0,INDEX(Asta!$O$4:$O$47,MATCH('_Supporto Listone'!B392,Asta!$N$4:$N$47,0)),IF(COUNTIF(Asta!$P$4:$P$47,'_Supporto Listone'!B392)&gt;0,INDEX(Asta!$Q$4:$Q$47,MATCH('_Supporto Listone'!B392,Asta!$P$4:$P$47,0)),IF(COUNTIF(Asta!$R$4:$R$47,'_Supporto Listone'!B392)&gt;0,INDEX(Asta!$S$4:$S$47,MATCH('_Supporto Listone'!B392,Asta!$R$4:$R$47,0)),IF(COUNTIF(Asta!$T$4:$T$47,'_Supporto Listone'!B392)&gt;0,INDEX(Asta!$U$4:$U$47,MATCH('_Supporto Listone'!B392,Asta!$T$4:$T$47,0)),""))))))))))</x:f>
      </x:c>
    </x:row>
    <x:row r="393">
      <x:c r="A393" s="440" t="str">
        <x:f>IF($J393&lt;&gt;"",REGEXREPLACE(TO_TEXT('_Supporto Listone'!A393),"(.)","$1"&amp;UNICHAR(822)),'_Supporto Listone'!A393)</x:f>
        <x:v>C</x:v>
      </x:c>
      <x:c r="B393" s="441" t="str">
        <x:f>IF($J393&lt;&gt;"",REGEXREPLACE(TO_TEXT('_Supporto Listone'!B393),"(.)","$1"&amp;UNICHAR(822)),'_Supporto Listone'!B393)</x:f>
        <x:v>Fadera</x:v>
      </x:c>
      <x:c r="C393" s="441" t="str">
        <x:f>IF($J393&lt;&gt;"",REGEXREPLACE(TO_TEXT('_Supporto Listone'!C393),"(.)","$1"&amp;UNICHAR(822)),'_Supporto Listone'!C393)</x:f>
        <x:v>Como</x:v>
      </x:c>
      <x:c r="D393" s="441" t="str">
        <x:f>IF($J393&lt;&gt;"",REGEXREPLACE(TO_TEXT('_Supporto Listone'!D393),"(.)","$1"&amp;UNICHAR(822)),'_Supporto Listone'!D393)</x:f>
        <x:v>W</x:v>
      </x:c>
      <x:c r="E393" s="441" t="str">
        <x:f>IF($J393&lt;&gt;"",REGEXREPLACE(TO_TEXT('_Supporto Listone'!E393),"(.)","$1"&amp;UNICHAR(822)),'_Supporto Listone'!E393)</x:f>
        <x:v>Riserva / rotazione</x:v>
      </x:c>
      <x:c r="F393" s="464" t="n">
        <x:f>IF($J393&lt;&gt;"",REGEXREPLACE(TO_TEXT('_Supporto Listone'!F393),"(.)","$1"&amp;UNICHAR(822)),'_Supporto Listone'!F393)</x:f>
        <x:v>2</x:v>
      </x:c>
      <x:c r="G393" s="464" t="n">
        <x:f>IF($J393&lt;&gt;"",REGEXREPLACE(TO_TEXT('_Supporto Listone'!G393),"(.)","$1"&amp;UNICHAR(822)),'_Supporto Listone'!G393)</x:f>
        <x:v>3</x:v>
      </x:c>
      <x:c r="H393" s="464" t="n">
        <x:f>IF($J393&lt;&gt;"",REGEXREPLACE(TO_TEXT('_Supporto Listone'!H393),"(.)","$1"&amp;UNICHAR(822)),'_Supporto Listone'!H393)</x:f>
        <x:v>2</x:v>
      </x:c>
      <x:c r="I393" s="442"/>
      <x:c r="J393" s="441" t="str">
        <x:f>IF(COUNTIF(Asta!$B$4:$B$47,'_Supporto Listone'!B393)&gt;0,"Simone",IF(COUNTIF(Asta!$D$4:$D$47,'_Supporto Listone'!B393)&gt;0,"Giacomo",IF(COUNTIF(Asta!$F$4:$F$47,'_Supporto Listone'!B393)&gt;0,"Niko",IF(COUNTIF(Asta!$H$4:$H$47,'_Supporto Listone'!B393)&gt;0,"Quici",IF(COUNTIF(Asta!$J$4:$J$47,'_Supporto Listone'!B393)&gt;0,"Fratello Quici",IF(COUNTIF(Asta!$L$4:$L$47,'_Supporto Listone'!B393)&gt;0,"Nicolò",IF(COUNTIF(Asta!$N$4:$N$47,'_Supporto Listone'!B393)&gt;0,"Vi",IF(COUNTIF(Asta!$P$4:$P$47,'_Supporto Listone'!B393)&gt;0,"Lore",IF(COUNTIF(Asta!$R$4:$R$47,'_Supporto Listone'!B393)&gt;0,"Robbo",IF(COUNTIF(Asta!$T$4:$T$47,'_Supporto Listone'!B393)&gt;0,"Ale",""))))))))))</x:f>
      </x:c>
      <x:c r="K393" s="495" t="str">
        <x:f>IF(COUNTIF(Asta!$B$4:$B$47,'_Supporto Listone'!B393)&gt;0,INDEX(Asta!$C$4:$C$47,MATCH('_Supporto Listone'!B393,Asta!$B$4:$B$47,0)),IF(COUNTIF(Asta!$D$4:$D$47,'_Supporto Listone'!B393)&gt;0,INDEX(Asta!$E$4:$E$47,MATCH('_Supporto Listone'!B393,Asta!$D$4:$D$47,0)),IF(COUNTIF(Asta!$F$4:$F$47,'_Supporto Listone'!B393)&gt;0,INDEX(Asta!$G$4:$G$47,MATCH('_Supporto Listone'!B393,Asta!$F$4:$F$47,0)),IF(COUNTIF(Asta!$H$4:$H$47,'_Supporto Listone'!B393)&gt;0,INDEX(Asta!$I$4:$I$47,MATCH('_Supporto Listone'!B393,Asta!$H$4:$H$47,0)),IF(COUNTIF(Asta!$J$4:$J$47,'_Supporto Listone'!B393)&gt;0,INDEX(Asta!$K$4:$K$47,MATCH('_Supporto Listone'!B393,Asta!$J$4:$J$47,0)),IF(COUNTIF(Asta!$L$4:$L$47,'_Supporto Listone'!B393)&gt;0,INDEX(Asta!$M$4:$M$47,MATCH('_Supporto Listone'!B393,Asta!$L$4:$L$47,0)),IF(COUNTIF(Asta!$N$4:$N$47,'_Supporto Listone'!B393)&gt;0,INDEX(Asta!$O$4:$O$47,MATCH('_Supporto Listone'!B393,Asta!$N$4:$N$47,0)),IF(COUNTIF(Asta!$P$4:$P$47,'_Supporto Listone'!B393)&gt;0,INDEX(Asta!$Q$4:$Q$47,MATCH('_Supporto Listone'!B393,Asta!$P$4:$P$47,0)),IF(COUNTIF(Asta!$R$4:$R$47,'_Supporto Listone'!B393)&gt;0,INDEX(Asta!$S$4:$S$47,MATCH('_Supporto Listone'!B393,Asta!$R$4:$R$47,0)),IF(COUNTIF(Asta!$T$4:$T$47,'_Supporto Listone'!B393)&gt;0,INDEX(Asta!$U$4:$U$47,MATCH('_Supporto Listone'!B393,Asta!$T$4:$T$47,0)),""))))))))))</x:f>
      </x:c>
    </x:row>
    <x:row r="394">
      <x:c r="A394" s="440" t="str">
        <x:f>IF($J394&lt;&gt;"",REGEXREPLACE(TO_TEXT('_Supporto Listone'!A394),"(.)","$1"&amp;UNICHAR(822)),'_Supporto Listone'!A394)</x:f>
        <x:v>C</x:v>
      </x:c>
      <x:c r="B394" s="441" t="str">
        <x:f>IF($J394&lt;&gt;"",REGEXREPLACE(TO_TEXT('_Supporto Listone'!B394),"(.)","$1"&amp;UNICHAR(822)),'_Supporto Listone'!B394)</x:f>
        <x:v>Hasa</x:v>
      </x:c>
      <x:c r="C394" s="441" t="str">
        <x:f>IF($J394&lt;&gt;"",REGEXREPLACE(TO_TEXT('_Supporto Listone'!C394),"(.)","$1"&amp;UNICHAR(822)),'_Supporto Listone'!C394)</x:f>
        <x:v>Frosinone</x:v>
      </x:c>
      <x:c r="D394" s="441" t="str">
        <x:f>IF($J394&lt;&gt;"",REGEXREPLACE(TO_TEXT('_Supporto Listone'!D394),"(.)","$1"&amp;UNICHAR(822)),'_Supporto Listone'!D394)</x:f>
        <x:v>C;T</x:v>
      </x:c>
      <x:c r="E394" s="441" t="str">
        <x:f>IF($J394&lt;&gt;"",REGEXREPLACE(TO_TEXT('_Supporto Listone'!E394),"(.)","$1"&amp;UNICHAR(822)),'_Supporto Listone'!E394)</x:f>
        <x:v>Riserva / rotazione</x:v>
      </x:c>
      <x:c r="F394" s="464" t="n">
        <x:f>IF($J394&lt;&gt;"",REGEXREPLACE(TO_TEXT('_Supporto Listone'!F394),"(.)","$1"&amp;UNICHAR(822)),'_Supporto Listone'!F394)</x:f>
        <x:v>2</x:v>
      </x:c>
      <x:c r="G394" s="464" t="n">
        <x:f>IF($J394&lt;&gt;"",REGEXREPLACE(TO_TEXT('_Supporto Listone'!G394),"(.)","$1"&amp;UNICHAR(822)),'_Supporto Listone'!G394)</x:f>
        <x:v>5</x:v>
      </x:c>
      <x:c r="H394" s="464" t="n">
        <x:f>IF($J394&lt;&gt;"",REGEXREPLACE(TO_TEXT('_Supporto Listone'!H394),"(.)","$1"&amp;UNICHAR(822)),'_Supporto Listone'!H394)</x:f>
        <x:v>3</x:v>
      </x:c>
      <x:c r="I394" s="442"/>
      <x:c r="J394" s="441" t="str">
        <x:f>IF(COUNTIF(Asta!$B$4:$B$47,'_Supporto Listone'!B394)&gt;0,"Simone",IF(COUNTIF(Asta!$D$4:$D$47,'_Supporto Listone'!B394)&gt;0,"Giacomo",IF(COUNTIF(Asta!$F$4:$F$47,'_Supporto Listone'!B394)&gt;0,"Niko",IF(COUNTIF(Asta!$H$4:$H$47,'_Supporto Listone'!B394)&gt;0,"Quici",IF(COUNTIF(Asta!$J$4:$J$47,'_Supporto Listone'!B394)&gt;0,"Fratello Quici",IF(COUNTIF(Asta!$L$4:$L$47,'_Supporto Listone'!B394)&gt;0,"Nicolò",IF(COUNTIF(Asta!$N$4:$N$47,'_Supporto Listone'!B394)&gt;0,"Vi",IF(COUNTIF(Asta!$P$4:$P$47,'_Supporto Listone'!B394)&gt;0,"Lore",IF(COUNTIF(Asta!$R$4:$R$47,'_Supporto Listone'!B394)&gt;0,"Robbo",IF(COUNTIF(Asta!$T$4:$T$47,'_Supporto Listone'!B394)&gt;0,"Ale",""))))))))))</x:f>
      </x:c>
      <x:c r="K394" s="495" t="str">
        <x:f>IF(COUNTIF(Asta!$B$4:$B$47,'_Supporto Listone'!B394)&gt;0,INDEX(Asta!$C$4:$C$47,MATCH('_Supporto Listone'!B394,Asta!$B$4:$B$47,0)),IF(COUNTIF(Asta!$D$4:$D$47,'_Supporto Listone'!B394)&gt;0,INDEX(Asta!$E$4:$E$47,MATCH('_Supporto Listone'!B394,Asta!$D$4:$D$47,0)),IF(COUNTIF(Asta!$F$4:$F$47,'_Supporto Listone'!B394)&gt;0,INDEX(Asta!$G$4:$G$47,MATCH('_Supporto Listone'!B394,Asta!$F$4:$F$47,0)),IF(COUNTIF(Asta!$H$4:$H$47,'_Supporto Listone'!B394)&gt;0,INDEX(Asta!$I$4:$I$47,MATCH('_Supporto Listone'!B394,Asta!$H$4:$H$47,0)),IF(COUNTIF(Asta!$J$4:$J$47,'_Supporto Listone'!B394)&gt;0,INDEX(Asta!$K$4:$K$47,MATCH('_Supporto Listone'!B394,Asta!$J$4:$J$47,0)),IF(COUNTIF(Asta!$L$4:$L$47,'_Supporto Listone'!B394)&gt;0,INDEX(Asta!$M$4:$M$47,MATCH('_Supporto Listone'!B394,Asta!$L$4:$L$47,0)),IF(COUNTIF(Asta!$N$4:$N$47,'_Supporto Listone'!B394)&gt;0,INDEX(Asta!$O$4:$O$47,MATCH('_Supporto Listone'!B394,Asta!$N$4:$N$47,0)),IF(COUNTIF(Asta!$P$4:$P$47,'_Supporto Listone'!B394)&gt;0,INDEX(Asta!$Q$4:$Q$47,MATCH('_Supporto Listone'!B394,Asta!$P$4:$P$47,0)),IF(COUNTIF(Asta!$R$4:$R$47,'_Supporto Listone'!B394)&gt;0,INDEX(Asta!$S$4:$S$47,MATCH('_Supporto Listone'!B394,Asta!$R$4:$R$47,0)),IF(COUNTIF(Asta!$T$4:$T$47,'_Supporto Listone'!B394)&gt;0,INDEX(Asta!$U$4:$U$47,MATCH('_Supporto Listone'!B394,Asta!$T$4:$T$47,0)),""))))))))))</x:f>
      </x:c>
    </x:row>
    <x:row r="395">
      <x:c r="A395" s="440" t="str">
        <x:f>IF($J395&lt;&gt;"",REGEXREPLACE(TO_TEXT('_Supporto Listone'!A395),"(.)","$1"&amp;UNICHAR(822)),'_Supporto Listone'!A395)</x:f>
        <x:v>C</x:v>
      </x:c>
      <x:c r="B395" s="441" t="str">
        <x:f>IF($J395&lt;&gt;"",REGEXREPLACE(TO_TEXT('_Supporto Listone'!B395),"(.)","$1"&amp;UNICHAR(822)),'_Supporto Listone'!B395)</x:f>
        <x:v>Masini</x:v>
      </x:c>
      <x:c r="C395" s="441" t="str">
        <x:f>IF($J395&lt;&gt;"",REGEXREPLACE(TO_TEXT('_Supporto Listone'!C395),"(.)","$1"&amp;UNICHAR(822)),'_Supporto Listone'!C395)</x:f>
        <x:v>Genoa</x:v>
      </x:c>
      <x:c r="D395" s="441" t="str">
        <x:f>IF($J395&lt;&gt;"",REGEXREPLACE(TO_TEXT('_Supporto Listone'!D395),"(.)","$1"&amp;UNICHAR(822)),'_Supporto Listone'!D395)</x:f>
        <x:v>M;C</x:v>
      </x:c>
      <x:c r="E395" s="441" t="str">
        <x:f>IF($J395&lt;&gt;"",REGEXREPLACE(TO_TEXT('_Supporto Listone'!E395),"(.)","$1"&amp;UNICHAR(822)),'_Supporto Listone'!E395)</x:f>
        <x:v>Riserva / rotazione</x:v>
      </x:c>
      <x:c r="F395" s="464" t="n">
        <x:f>IF($J395&lt;&gt;"",REGEXREPLACE(TO_TEXT('_Supporto Listone'!F395),"(.)","$1"&amp;UNICHAR(822)),'_Supporto Listone'!F395)</x:f>
        <x:v>2</x:v>
      </x:c>
      <x:c r="G395" s="464" t="n">
        <x:f>IF($J395&lt;&gt;"",REGEXREPLACE(TO_TEXT('_Supporto Listone'!G395),"(.)","$1"&amp;UNICHAR(822)),'_Supporto Listone'!G395)</x:f>
        <x:v>4</x:v>
      </x:c>
      <x:c r="H395" s="464" t="n">
        <x:f>IF($J395&lt;&gt;"",REGEXREPLACE(TO_TEXT('_Supporto Listone'!H395),"(.)","$1"&amp;UNICHAR(822)),'_Supporto Listone'!H395)</x:f>
        <x:v>2</x:v>
      </x:c>
      <x:c r="I395" s="442"/>
      <x:c r="J395" s="441" t="str">
        <x:f>IF(COUNTIF(Asta!$B$4:$B$47,'_Supporto Listone'!B395)&gt;0,"Simone",IF(COUNTIF(Asta!$D$4:$D$47,'_Supporto Listone'!B395)&gt;0,"Giacomo",IF(COUNTIF(Asta!$F$4:$F$47,'_Supporto Listone'!B395)&gt;0,"Niko",IF(COUNTIF(Asta!$H$4:$H$47,'_Supporto Listone'!B395)&gt;0,"Quici",IF(COUNTIF(Asta!$J$4:$J$47,'_Supporto Listone'!B395)&gt;0,"Fratello Quici",IF(COUNTIF(Asta!$L$4:$L$47,'_Supporto Listone'!B395)&gt;0,"Nicolò",IF(COUNTIF(Asta!$N$4:$N$47,'_Supporto Listone'!B395)&gt;0,"Vi",IF(COUNTIF(Asta!$P$4:$P$47,'_Supporto Listone'!B395)&gt;0,"Lore",IF(COUNTIF(Asta!$R$4:$R$47,'_Supporto Listone'!B395)&gt;0,"Robbo",IF(COUNTIF(Asta!$T$4:$T$47,'_Supporto Listone'!B395)&gt;0,"Ale",""))))))))))</x:f>
      </x:c>
      <x:c r="K395" s="495" t="str">
        <x:f>IF(COUNTIF(Asta!$B$4:$B$47,'_Supporto Listone'!B395)&gt;0,INDEX(Asta!$C$4:$C$47,MATCH('_Supporto Listone'!B395,Asta!$B$4:$B$47,0)),IF(COUNTIF(Asta!$D$4:$D$47,'_Supporto Listone'!B395)&gt;0,INDEX(Asta!$E$4:$E$47,MATCH('_Supporto Listone'!B395,Asta!$D$4:$D$47,0)),IF(COUNTIF(Asta!$F$4:$F$47,'_Supporto Listone'!B395)&gt;0,INDEX(Asta!$G$4:$G$47,MATCH('_Supporto Listone'!B395,Asta!$F$4:$F$47,0)),IF(COUNTIF(Asta!$H$4:$H$47,'_Supporto Listone'!B395)&gt;0,INDEX(Asta!$I$4:$I$47,MATCH('_Supporto Listone'!B395,Asta!$H$4:$H$47,0)),IF(COUNTIF(Asta!$J$4:$J$47,'_Supporto Listone'!B395)&gt;0,INDEX(Asta!$K$4:$K$47,MATCH('_Supporto Listone'!B395,Asta!$J$4:$J$47,0)),IF(COUNTIF(Asta!$L$4:$L$47,'_Supporto Listone'!B395)&gt;0,INDEX(Asta!$M$4:$M$47,MATCH('_Supporto Listone'!B395,Asta!$L$4:$L$47,0)),IF(COUNTIF(Asta!$N$4:$N$47,'_Supporto Listone'!B395)&gt;0,INDEX(Asta!$O$4:$O$47,MATCH('_Supporto Listone'!B395,Asta!$N$4:$N$47,0)),IF(COUNTIF(Asta!$P$4:$P$47,'_Supporto Listone'!B395)&gt;0,INDEX(Asta!$Q$4:$Q$47,MATCH('_Supporto Listone'!B395,Asta!$P$4:$P$47,0)),IF(COUNTIF(Asta!$R$4:$R$47,'_Supporto Listone'!B395)&gt;0,INDEX(Asta!$S$4:$S$47,MATCH('_Supporto Listone'!B395,Asta!$R$4:$R$47,0)),IF(COUNTIF(Asta!$T$4:$T$47,'_Supporto Listone'!B395)&gt;0,INDEX(Asta!$U$4:$U$47,MATCH('_Supporto Listone'!B395,Asta!$T$4:$T$47,0)),""))))))))))</x:f>
      </x:c>
    </x:row>
    <x:row r="396">
      <x:c r="A396" s="440" t="str">
        <x:f>IF($J396&lt;&gt;"",REGEXREPLACE(TO_TEXT('_Supporto Listone'!A396),"(.)","$1"&amp;UNICHAR(822)),'_Supporto Listone'!A396)</x:f>
        <x:v>C</x:v>
      </x:c>
      <x:c r="B396" s="441" t="str">
        <x:f>IF($J396&lt;&gt;"",REGEXREPLACE(TO_TEXT('_Supporto Listone'!B396),"(.)","$1"&amp;UNICHAR(822)),'_Supporto Listone'!B396)</x:f>
        <x:v>Venturino</x:v>
      </x:c>
      <x:c r="C396" s="441" t="str">
        <x:f>IF($J396&lt;&gt;"",REGEXREPLACE(TO_TEXT('_Supporto Listone'!C396),"(.)","$1"&amp;UNICHAR(822)),'_Supporto Listone'!C396)</x:f>
        <x:v>Genoa</x:v>
      </x:c>
      <x:c r="D396" s="441" t="str">
        <x:f>IF($J396&lt;&gt;"",REGEXREPLACE(TO_TEXT('_Supporto Listone'!D396),"(.)","$1"&amp;UNICHAR(822)),'_Supporto Listone'!D396)</x:f>
        <x:v>W</x:v>
      </x:c>
      <x:c r="E396" s="441" t="str">
        <x:f>IF($J396&lt;&gt;"",REGEXREPLACE(TO_TEXT('_Supporto Listone'!E396),"(.)","$1"&amp;UNICHAR(822)),'_Supporto Listone'!E396)</x:f>
        <x:v>Riserva / rotazione</x:v>
      </x:c>
      <x:c r="F396" s="464" t="n">
        <x:f>IF($J396&lt;&gt;"",REGEXREPLACE(TO_TEXT('_Supporto Listone'!F396),"(.)","$1"&amp;UNICHAR(822)),'_Supporto Listone'!F396)</x:f>
        <x:v>2</x:v>
      </x:c>
      <x:c r="G396" s="464" t="n">
        <x:f>IF($J396&lt;&gt;"",REGEXREPLACE(TO_TEXT('_Supporto Listone'!G396),"(.)","$1"&amp;UNICHAR(822)),'_Supporto Listone'!G396)</x:f>
        <x:v>6</x:v>
      </x:c>
      <x:c r="H396" s="464" t="n">
        <x:f>IF($J396&lt;&gt;"",REGEXREPLACE(TO_TEXT('_Supporto Listone'!H396),"(.)","$1"&amp;UNICHAR(822)),'_Supporto Listone'!H396)</x:f>
        <x:v>3</x:v>
      </x:c>
      <x:c r="I396" s="442"/>
      <x:c r="J396" s="441" t="str">
        <x:f>IF(COUNTIF(Asta!$B$4:$B$47,'_Supporto Listone'!B396)&gt;0,"Simone",IF(COUNTIF(Asta!$D$4:$D$47,'_Supporto Listone'!B396)&gt;0,"Giacomo",IF(COUNTIF(Asta!$F$4:$F$47,'_Supporto Listone'!B396)&gt;0,"Niko",IF(COUNTIF(Asta!$H$4:$H$47,'_Supporto Listone'!B396)&gt;0,"Quici",IF(COUNTIF(Asta!$J$4:$J$47,'_Supporto Listone'!B396)&gt;0,"Fratello Quici",IF(COUNTIF(Asta!$L$4:$L$47,'_Supporto Listone'!B396)&gt;0,"Nicolò",IF(COUNTIF(Asta!$N$4:$N$47,'_Supporto Listone'!B396)&gt;0,"Vi",IF(COUNTIF(Asta!$P$4:$P$47,'_Supporto Listone'!B396)&gt;0,"Lore",IF(COUNTIF(Asta!$R$4:$R$47,'_Supporto Listone'!B396)&gt;0,"Robbo",IF(COUNTIF(Asta!$T$4:$T$47,'_Supporto Listone'!B396)&gt;0,"Ale",""))))))))))</x:f>
      </x:c>
      <x:c r="K396" s="495" t="str">
        <x:f>IF(COUNTIF(Asta!$B$4:$B$47,'_Supporto Listone'!B396)&gt;0,INDEX(Asta!$C$4:$C$47,MATCH('_Supporto Listone'!B396,Asta!$B$4:$B$47,0)),IF(COUNTIF(Asta!$D$4:$D$47,'_Supporto Listone'!B396)&gt;0,INDEX(Asta!$E$4:$E$47,MATCH('_Supporto Listone'!B396,Asta!$D$4:$D$47,0)),IF(COUNTIF(Asta!$F$4:$F$47,'_Supporto Listone'!B396)&gt;0,INDEX(Asta!$G$4:$G$47,MATCH('_Supporto Listone'!B396,Asta!$F$4:$F$47,0)),IF(COUNTIF(Asta!$H$4:$H$47,'_Supporto Listone'!B396)&gt;0,INDEX(Asta!$I$4:$I$47,MATCH('_Supporto Listone'!B396,Asta!$H$4:$H$47,0)),IF(COUNTIF(Asta!$J$4:$J$47,'_Supporto Listone'!B396)&gt;0,INDEX(Asta!$K$4:$K$47,MATCH('_Supporto Listone'!B396,Asta!$J$4:$J$47,0)),IF(COUNTIF(Asta!$L$4:$L$47,'_Supporto Listone'!B396)&gt;0,INDEX(Asta!$M$4:$M$47,MATCH('_Supporto Listone'!B396,Asta!$L$4:$L$47,0)),IF(COUNTIF(Asta!$N$4:$N$47,'_Supporto Listone'!B396)&gt;0,INDEX(Asta!$O$4:$O$47,MATCH('_Supporto Listone'!B396,Asta!$N$4:$N$47,0)),IF(COUNTIF(Asta!$P$4:$P$47,'_Supporto Listone'!B396)&gt;0,INDEX(Asta!$Q$4:$Q$47,MATCH('_Supporto Listone'!B396,Asta!$P$4:$P$47,0)),IF(COUNTIF(Asta!$R$4:$R$47,'_Supporto Listone'!B396)&gt;0,INDEX(Asta!$S$4:$S$47,MATCH('_Supporto Listone'!B396,Asta!$R$4:$R$47,0)),IF(COUNTIF(Asta!$T$4:$T$47,'_Supporto Listone'!B396)&gt;0,INDEX(Asta!$U$4:$U$47,MATCH('_Supporto Listone'!B396,Asta!$T$4:$T$47,0)),""))))))))))</x:f>
      </x:c>
    </x:row>
    <x:row r="397">
      <x:c r="A397" s="440" t="str">
        <x:f>IF($J397&lt;&gt;"",REGEXREPLACE(TO_TEXT('_Supporto Listone'!A397),"(.)","$1"&amp;UNICHAR(822)),'_Supporto Listone'!A397)</x:f>
        <x:v>C</x:v>
      </x:c>
      <x:c r="B397" s="441" t="str">
        <x:f>IF($J397&lt;&gt;"",REGEXREPLACE(TO_TEXT('_Supporto Listone'!B397),"(.)","$1"&amp;UNICHAR(822)),'_Supporto Listone'!B397)</x:f>
        <x:v>Maleh</x:v>
      </x:c>
      <x:c r="C397" s="441" t="str">
        <x:f>IF($J397&lt;&gt;"",REGEXREPLACE(TO_TEXT('_Supporto Listone'!C397),"(.)","$1"&amp;UNICHAR(822)),'_Supporto Listone'!C397)</x:f>
        <x:v>Lecce</x:v>
      </x:c>
      <x:c r="D397" s="441" t="str">
        <x:f>IF($J397&lt;&gt;"",REGEXREPLACE(TO_TEXT('_Supporto Listone'!D397),"(.)","$1"&amp;UNICHAR(822)),'_Supporto Listone'!D397)</x:f>
        <x:v>M;C</x:v>
      </x:c>
      <x:c r="E397" s="441" t="str">
        <x:f>IF($J397&lt;&gt;"",REGEXREPLACE(TO_TEXT('_Supporto Listone'!E397),"(.)","$1"&amp;UNICHAR(822)),'_Supporto Listone'!E397)</x:f>
        <x:v>Riserva / rotazione</x:v>
      </x:c>
      <x:c r="F397" s="464" t="n">
        <x:f>IF($J397&lt;&gt;"",REGEXREPLACE(TO_TEXT('_Supporto Listone'!F397),"(.)","$1"&amp;UNICHAR(822)),'_Supporto Listone'!F397)</x:f>
        <x:v>2</x:v>
      </x:c>
      <x:c r="G397" s="464" t="n">
        <x:f>IF($J397&lt;&gt;"",REGEXREPLACE(TO_TEXT('_Supporto Listone'!G397),"(.)","$1"&amp;UNICHAR(822)),'_Supporto Listone'!G397)</x:f>
        <x:v>5</x:v>
      </x:c>
      <x:c r="H397" s="464" t="n">
        <x:f>IF($J397&lt;&gt;"",REGEXREPLACE(TO_TEXT('_Supporto Listone'!H397),"(.)","$1"&amp;UNICHAR(822)),'_Supporto Listone'!H397)</x:f>
        <x:v>3</x:v>
      </x:c>
      <x:c r="I397" s="442"/>
      <x:c r="J397" s="441" t="str">
        <x:f>IF(COUNTIF(Asta!$B$4:$B$47,'_Supporto Listone'!B397)&gt;0,"Simone",IF(COUNTIF(Asta!$D$4:$D$47,'_Supporto Listone'!B397)&gt;0,"Giacomo",IF(COUNTIF(Asta!$F$4:$F$47,'_Supporto Listone'!B397)&gt;0,"Niko",IF(COUNTIF(Asta!$H$4:$H$47,'_Supporto Listone'!B397)&gt;0,"Quici",IF(COUNTIF(Asta!$J$4:$J$47,'_Supporto Listone'!B397)&gt;0,"Fratello Quici",IF(COUNTIF(Asta!$L$4:$L$47,'_Supporto Listone'!B397)&gt;0,"Nicolò",IF(COUNTIF(Asta!$N$4:$N$47,'_Supporto Listone'!B397)&gt;0,"Vi",IF(COUNTIF(Asta!$P$4:$P$47,'_Supporto Listone'!B397)&gt;0,"Lore",IF(COUNTIF(Asta!$R$4:$R$47,'_Supporto Listone'!B397)&gt;0,"Robbo",IF(COUNTIF(Asta!$T$4:$T$47,'_Supporto Listone'!B397)&gt;0,"Ale",""))))))))))</x:f>
      </x:c>
      <x:c r="K397" s="495" t="str">
        <x:f>IF(COUNTIF(Asta!$B$4:$B$47,'_Supporto Listone'!B397)&gt;0,INDEX(Asta!$C$4:$C$47,MATCH('_Supporto Listone'!B397,Asta!$B$4:$B$47,0)),IF(COUNTIF(Asta!$D$4:$D$47,'_Supporto Listone'!B397)&gt;0,INDEX(Asta!$E$4:$E$47,MATCH('_Supporto Listone'!B397,Asta!$D$4:$D$47,0)),IF(COUNTIF(Asta!$F$4:$F$47,'_Supporto Listone'!B397)&gt;0,INDEX(Asta!$G$4:$G$47,MATCH('_Supporto Listone'!B397,Asta!$F$4:$F$47,0)),IF(COUNTIF(Asta!$H$4:$H$47,'_Supporto Listone'!B397)&gt;0,INDEX(Asta!$I$4:$I$47,MATCH('_Supporto Listone'!B397,Asta!$H$4:$H$47,0)),IF(COUNTIF(Asta!$J$4:$J$47,'_Supporto Listone'!B397)&gt;0,INDEX(Asta!$K$4:$K$47,MATCH('_Supporto Listone'!B397,Asta!$J$4:$J$47,0)),IF(COUNTIF(Asta!$L$4:$L$47,'_Supporto Listone'!B397)&gt;0,INDEX(Asta!$M$4:$M$47,MATCH('_Supporto Listone'!B397,Asta!$L$4:$L$47,0)),IF(COUNTIF(Asta!$N$4:$N$47,'_Supporto Listone'!B397)&gt;0,INDEX(Asta!$O$4:$O$47,MATCH('_Supporto Listone'!B397,Asta!$N$4:$N$47,0)),IF(COUNTIF(Asta!$P$4:$P$47,'_Supporto Listone'!B397)&gt;0,INDEX(Asta!$Q$4:$Q$47,MATCH('_Supporto Listone'!B397,Asta!$P$4:$P$47,0)),IF(COUNTIF(Asta!$R$4:$R$47,'_Supporto Listone'!B397)&gt;0,INDEX(Asta!$S$4:$S$47,MATCH('_Supporto Listone'!B397,Asta!$R$4:$R$47,0)),IF(COUNTIF(Asta!$T$4:$T$47,'_Supporto Listone'!B397)&gt;0,INDEX(Asta!$U$4:$U$47,MATCH('_Supporto Listone'!B397,Asta!$T$4:$T$47,0)),""))))))))))</x:f>
      </x:c>
    </x:row>
    <x:row r="398">
      <x:c r="A398" s="440" t="str">
        <x:f>IF($J398&lt;&gt;"",REGEXREPLACE(TO_TEXT('_Supporto Listone'!A398),"(.)","$1"&amp;UNICHAR(822)),'_Supporto Listone'!A398)</x:f>
        <x:v>C</x:v>
      </x:c>
      <x:c r="B398" s="441" t="str">
        <x:f>IF($J398&lt;&gt;"",REGEXREPLACE(TO_TEXT('_Supporto Listone'!B398),"(.)","$1"&amp;UNICHAR(822)),'_Supporto Listone'!B398)</x:f>
        <x:v>Musah</x:v>
      </x:c>
      <x:c r="C398" s="441" t="str">
        <x:f>IF($J398&lt;&gt;"",REGEXREPLACE(TO_TEXT('_Supporto Listone'!C398),"(.)","$1"&amp;UNICHAR(822)),'_Supporto Listone'!C398)</x:f>
        <x:v>Milan</x:v>
      </x:c>
      <x:c r="D398" s="441" t="str">
        <x:f>IF($J398&lt;&gt;"",REGEXREPLACE(TO_TEXT('_Supporto Listone'!D398),"(.)","$1"&amp;UNICHAR(822)),'_Supporto Listone'!D398)</x:f>
        <x:v>C;W</x:v>
      </x:c>
      <x:c r="E398" s="441" t="str">
        <x:f>IF($J398&lt;&gt;"",REGEXREPLACE(TO_TEXT('_Supporto Listone'!E398),"(.)","$1"&amp;UNICHAR(822)),'_Supporto Listone'!E398)</x:f>
        <x:v>Titolare / ballottaggio</x:v>
      </x:c>
      <x:c r="F398" s="464" t="n">
        <x:f>IF($J398&lt;&gt;"",REGEXREPLACE(TO_TEXT('_Supporto Listone'!F398),"(.)","$1"&amp;UNICHAR(822)),'_Supporto Listone'!F398)</x:f>
        <x:v>2</x:v>
      </x:c>
      <x:c r="G398" s="464" t="n">
        <x:f>IF($J398&lt;&gt;"",REGEXREPLACE(TO_TEXT('_Supporto Listone'!G398),"(.)","$1"&amp;UNICHAR(822)),'_Supporto Listone'!G398)</x:f>
        <x:v>6</x:v>
      </x:c>
      <x:c r="H398" s="464" t="n">
        <x:f>IF($J398&lt;&gt;"",REGEXREPLACE(TO_TEXT('_Supporto Listone'!H398),"(.)","$1"&amp;UNICHAR(822)),'_Supporto Listone'!H398)</x:f>
        <x:v>3</x:v>
      </x:c>
      <x:c r="I398" s="442"/>
      <x:c r="J398" s="441" t="str">
        <x:f>IF(COUNTIF(Asta!$B$4:$B$47,'_Supporto Listone'!B398)&gt;0,"Simone",IF(COUNTIF(Asta!$D$4:$D$47,'_Supporto Listone'!B398)&gt;0,"Giacomo",IF(COUNTIF(Asta!$F$4:$F$47,'_Supporto Listone'!B398)&gt;0,"Niko",IF(COUNTIF(Asta!$H$4:$H$47,'_Supporto Listone'!B398)&gt;0,"Quici",IF(COUNTIF(Asta!$J$4:$J$47,'_Supporto Listone'!B398)&gt;0,"Fratello Quici",IF(COUNTIF(Asta!$L$4:$L$47,'_Supporto Listone'!B398)&gt;0,"Nicolò",IF(COUNTIF(Asta!$N$4:$N$47,'_Supporto Listone'!B398)&gt;0,"Vi",IF(COUNTIF(Asta!$P$4:$P$47,'_Supporto Listone'!B398)&gt;0,"Lore",IF(COUNTIF(Asta!$R$4:$R$47,'_Supporto Listone'!B398)&gt;0,"Robbo",IF(COUNTIF(Asta!$T$4:$T$47,'_Supporto Listone'!B398)&gt;0,"Ale",""))))))))))</x:f>
      </x:c>
      <x:c r="K398" s="495" t="str">
        <x:f>IF(COUNTIF(Asta!$B$4:$B$47,'_Supporto Listone'!B398)&gt;0,INDEX(Asta!$C$4:$C$47,MATCH('_Supporto Listone'!B398,Asta!$B$4:$B$47,0)),IF(COUNTIF(Asta!$D$4:$D$47,'_Supporto Listone'!B398)&gt;0,INDEX(Asta!$E$4:$E$47,MATCH('_Supporto Listone'!B398,Asta!$D$4:$D$47,0)),IF(COUNTIF(Asta!$F$4:$F$47,'_Supporto Listone'!B398)&gt;0,INDEX(Asta!$G$4:$G$47,MATCH('_Supporto Listone'!B398,Asta!$F$4:$F$47,0)),IF(COUNTIF(Asta!$H$4:$H$47,'_Supporto Listone'!B398)&gt;0,INDEX(Asta!$I$4:$I$47,MATCH('_Supporto Listone'!B398,Asta!$H$4:$H$47,0)),IF(COUNTIF(Asta!$J$4:$J$47,'_Supporto Listone'!B398)&gt;0,INDEX(Asta!$K$4:$K$47,MATCH('_Supporto Listone'!B398,Asta!$J$4:$J$47,0)),IF(COUNTIF(Asta!$L$4:$L$47,'_Supporto Listone'!B398)&gt;0,INDEX(Asta!$M$4:$M$47,MATCH('_Supporto Listone'!B398,Asta!$L$4:$L$47,0)),IF(COUNTIF(Asta!$N$4:$N$47,'_Supporto Listone'!B398)&gt;0,INDEX(Asta!$O$4:$O$47,MATCH('_Supporto Listone'!B398,Asta!$N$4:$N$47,0)),IF(COUNTIF(Asta!$P$4:$P$47,'_Supporto Listone'!B398)&gt;0,INDEX(Asta!$Q$4:$Q$47,MATCH('_Supporto Listone'!B398,Asta!$P$4:$P$47,0)),IF(COUNTIF(Asta!$R$4:$R$47,'_Supporto Listone'!B398)&gt;0,INDEX(Asta!$S$4:$S$47,MATCH('_Supporto Listone'!B398,Asta!$R$4:$R$47,0)),IF(COUNTIF(Asta!$T$4:$T$47,'_Supporto Listone'!B398)&gt;0,INDEX(Asta!$U$4:$U$47,MATCH('_Supporto Listone'!B398,Asta!$T$4:$T$47,0)),""))))))))))</x:f>
      </x:c>
    </x:row>
    <x:row r="399">
      <x:c r="A399" s="440" t="str">
        <x:f>IF($J399&lt;&gt;"",REGEXREPLACE(TO_TEXT('_Supporto Listone'!A399),"(.)","$1"&amp;UNICHAR(822)),'_Supporto Listone'!A399)</x:f>
        <x:v>C</x:v>
      </x:c>
      <x:c r="B399" s="441" t="str">
        <x:f>IF($J399&lt;&gt;"",REGEXREPLACE(TO_TEXT('_Supporto Listone'!B399),"(.)","$1"&amp;UNICHAR(822)),'_Supporto Listone'!B399)</x:f>
        <x:v>Ciurria</x:v>
      </x:c>
      <x:c r="C399" s="441" t="str">
        <x:f>IF($J399&lt;&gt;"",REGEXREPLACE(TO_TEXT('_Supporto Listone'!C399),"(.)","$1"&amp;UNICHAR(822)),'_Supporto Listone'!C399)</x:f>
        <x:v>Monza</x:v>
      </x:c>
      <x:c r="D399" s="441" t="str">
        <x:f>IF($J399&lt;&gt;"",REGEXREPLACE(TO_TEXT('_Supporto Listone'!D399),"(.)","$1"&amp;UNICHAR(822)),'_Supporto Listone'!D399)</x:f>
        <x:v>E;W</x:v>
      </x:c>
      <x:c r="E399" s="441" t="str">
        <x:f>IF($J399&lt;&gt;"",REGEXREPLACE(TO_TEXT('_Supporto Listone'!E399),"(.)","$1"&amp;UNICHAR(822)),'_Supporto Listone'!E399)</x:f>
        <x:v>Riserva / rotazione</x:v>
      </x:c>
      <x:c r="F399" s="464" t="n">
        <x:f>IF($J399&lt;&gt;"",REGEXREPLACE(TO_TEXT('_Supporto Listone'!F399),"(.)","$1"&amp;UNICHAR(822)),'_Supporto Listone'!F399)</x:f>
        <x:v>2</x:v>
      </x:c>
      <x:c r="G399" s="464" t="n">
        <x:f>IF($J399&lt;&gt;"",REGEXREPLACE(TO_TEXT('_Supporto Listone'!G399),"(.)","$1"&amp;UNICHAR(822)),'_Supporto Listone'!G399)</x:f>
        <x:v>6</x:v>
      </x:c>
      <x:c r="H399" s="464" t="n">
        <x:f>IF($J399&lt;&gt;"",REGEXREPLACE(TO_TEXT('_Supporto Listone'!H399),"(.)","$1"&amp;UNICHAR(822)),'_Supporto Listone'!H399)</x:f>
        <x:v>3</x:v>
      </x:c>
      <x:c r="I399" s="442"/>
      <x:c r="J399" s="441" t="str">
        <x:f>IF(COUNTIF(Asta!$B$4:$B$47,'_Supporto Listone'!B399)&gt;0,"Simone",IF(COUNTIF(Asta!$D$4:$D$47,'_Supporto Listone'!B399)&gt;0,"Giacomo",IF(COUNTIF(Asta!$F$4:$F$47,'_Supporto Listone'!B399)&gt;0,"Niko",IF(COUNTIF(Asta!$H$4:$H$47,'_Supporto Listone'!B399)&gt;0,"Quici",IF(COUNTIF(Asta!$J$4:$J$47,'_Supporto Listone'!B399)&gt;0,"Fratello Quici",IF(COUNTIF(Asta!$L$4:$L$47,'_Supporto Listone'!B399)&gt;0,"Nicolò",IF(COUNTIF(Asta!$N$4:$N$47,'_Supporto Listone'!B399)&gt;0,"Vi",IF(COUNTIF(Asta!$P$4:$P$47,'_Supporto Listone'!B399)&gt;0,"Lore",IF(COUNTIF(Asta!$R$4:$R$47,'_Supporto Listone'!B399)&gt;0,"Robbo",IF(COUNTIF(Asta!$T$4:$T$47,'_Supporto Listone'!B399)&gt;0,"Ale",""))))))))))</x:f>
      </x:c>
      <x:c r="K399" s="495" t="str">
        <x:f>IF(COUNTIF(Asta!$B$4:$B$47,'_Supporto Listone'!B399)&gt;0,INDEX(Asta!$C$4:$C$47,MATCH('_Supporto Listone'!B399,Asta!$B$4:$B$47,0)),IF(COUNTIF(Asta!$D$4:$D$47,'_Supporto Listone'!B399)&gt;0,INDEX(Asta!$E$4:$E$47,MATCH('_Supporto Listone'!B399,Asta!$D$4:$D$47,0)),IF(COUNTIF(Asta!$F$4:$F$47,'_Supporto Listone'!B399)&gt;0,INDEX(Asta!$G$4:$G$47,MATCH('_Supporto Listone'!B399,Asta!$F$4:$F$47,0)),IF(COUNTIF(Asta!$H$4:$H$47,'_Supporto Listone'!B399)&gt;0,INDEX(Asta!$I$4:$I$47,MATCH('_Supporto Listone'!B399,Asta!$H$4:$H$47,0)),IF(COUNTIF(Asta!$J$4:$J$47,'_Supporto Listone'!B399)&gt;0,INDEX(Asta!$K$4:$K$47,MATCH('_Supporto Listone'!B399,Asta!$J$4:$J$47,0)),IF(COUNTIF(Asta!$L$4:$L$47,'_Supporto Listone'!B399)&gt;0,INDEX(Asta!$M$4:$M$47,MATCH('_Supporto Listone'!B399,Asta!$L$4:$L$47,0)),IF(COUNTIF(Asta!$N$4:$N$47,'_Supporto Listone'!B399)&gt;0,INDEX(Asta!$O$4:$O$47,MATCH('_Supporto Listone'!B399,Asta!$N$4:$N$47,0)),IF(COUNTIF(Asta!$P$4:$P$47,'_Supporto Listone'!B399)&gt;0,INDEX(Asta!$Q$4:$Q$47,MATCH('_Supporto Listone'!B399,Asta!$P$4:$P$47,0)),IF(COUNTIF(Asta!$R$4:$R$47,'_Supporto Listone'!B399)&gt;0,INDEX(Asta!$S$4:$S$47,MATCH('_Supporto Listone'!B399,Asta!$R$4:$R$47,0)),IF(COUNTIF(Asta!$T$4:$T$47,'_Supporto Listone'!B399)&gt;0,INDEX(Asta!$U$4:$U$47,MATCH('_Supporto Listone'!B399,Asta!$T$4:$T$47,0)),""))))))))))</x:f>
      </x:c>
    </x:row>
    <x:row r="400">
      <x:c r="A400" s="440" t="str">
        <x:f>IF($J400&lt;&gt;"",REGEXREPLACE(TO_TEXT('_Supporto Listone'!A400),"(.)","$1"&amp;UNICHAR(822)),'_Supporto Listone'!A400)</x:f>
        <x:v>C</x:v>
      </x:c>
      <x:c r="B400" s="441" t="str">
        <x:f>IF($J400&lt;&gt;"",REGEXREPLACE(TO_TEXT('_Supporto Listone'!B400),"(.)","$1"&amp;UNICHAR(822)),'_Supporto Listone'!B400)</x:f>
        <x:v>Ordonez C.</x:v>
      </x:c>
      <x:c r="C400" s="441" t="str">
        <x:f>IF($J400&lt;&gt;"",REGEXREPLACE(TO_TEXT('_Supporto Listone'!C400),"(.)","$1"&amp;UNICHAR(822)),'_Supporto Listone'!C400)</x:f>
        <x:v>Parma</x:v>
      </x:c>
      <x:c r="D400" s="441" t="str">
        <x:f>IF($J400&lt;&gt;"",REGEXREPLACE(TO_TEXT('_Supporto Listone'!D400),"(.)","$1"&amp;UNICHAR(822)),'_Supporto Listone'!D400)</x:f>
        <x:v>M;C</x:v>
      </x:c>
      <x:c r="E400" s="441" t="str">
        <x:f>IF($J400&lt;&gt;"",REGEXREPLACE(TO_TEXT('_Supporto Listone'!E400),"(.)","$1"&amp;UNICHAR(822)),'_Supporto Listone'!E400)</x:f>
        <x:v>Titolare</x:v>
      </x:c>
      <x:c r="F400" s="464" t="n">
        <x:f>IF($J400&lt;&gt;"",REGEXREPLACE(TO_TEXT('_Supporto Listone'!F400),"(.)","$1"&amp;UNICHAR(822)),'_Supporto Listone'!F400)</x:f>
        <x:v>2</x:v>
      </x:c>
      <x:c r="G400" s="464" t="n">
        <x:f>IF($J400&lt;&gt;"",REGEXREPLACE(TO_TEXT('_Supporto Listone'!G400),"(.)","$1"&amp;UNICHAR(822)),'_Supporto Listone'!G400)</x:f>
        <x:v>5</x:v>
      </x:c>
      <x:c r="H400" s="464" t="n">
        <x:f>IF($J400&lt;&gt;"",REGEXREPLACE(TO_TEXT('_Supporto Listone'!H400),"(.)","$1"&amp;UNICHAR(822)),'_Supporto Listone'!H400)</x:f>
        <x:v>3</x:v>
      </x:c>
      <x:c r="I400" s="442"/>
      <x:c r="J400" s="441" t="str">
        <x:f>IF(COUNTIF(Asta!$B$4:$B$47,'_Supporto Listone'!B400)&gt;0,"Simone",IF(COUNTIF(Asta!$D$4:$D$47,'_Supporto Listone'!B400)&gt;0,"Giacomo",IF(COUNTIF(Asta!$F$4:$F$47,'_Supporto Listone'!B400)&gt;0,"Niko",IF(COUNTIF(Asta!$H$4:$H$47,'_Supporto Listone'!B400)&gt;0,"Quici",IF(COUNTIF(Asta!$J$4:$J$47,'_Supporto Listone'!B400)&gt;0,"Fratello Quici",IF(COUNTIF(Asta!$L$4:$L$47,'_Supporto Listone'!B400)&gt;0,"Nicolò",IF(COUNTIF(Asta!$N$4:$N$47,'_Supporto Listone'!B400)&gt;0,"Vi",IF(COUNTIF(Asta!$P$4:$P$47,'_Supporto Listone'!B400)&gt;0,"Lore",IF(COUNTIF(Asta!$R$4:$R$47,'_Supporto Listone'!B400)&gt;0,"Robbo",IF(COUNTIF(Asta!$T$4:$T$47,'_Supporto Listone'!B400)&gt;0,"Ale",""))))))))))</x:f>
      </x:c>
      <x:c r="K400" s="495" t="str">
        <x:f>IF(COUNTIF(Asta!$B$4:$B$47,'_Supporto Listone'!B400)&gt;0,INDEX(Asta!$C$4:$C$47,MATCH('_Supporto Listone'!B400,Asta!$B$4:$B$47,0)),IF(COUNTIF(Asta!$D$4:$D$47,'_Supporto Listone'!B400)&gt;0,INDEX(Asta!$E$4:$E$47,MATCH('_Supporto Listone'!B400,Asta!$D$4:$D$47,0)),IF(COUNTIF(Asta!$F$4:$F$47,'_Supporto Listone'!B400)&gt;0,INDEX(Asta!$G$4:$G$47,MATCH('_Supporto Listone'!B400,Asta!$F$4:$F$47,0)),IF(COUNTIF(Asta!$H$4:$H$47,'_Supporto Listone'!B400)&gt;0,INDEX(Asta!$I$4:$I$47,MATCH('_Supporto Listone'!B400,Asta!$H$4:$H$47,0)),IF(COUNTIF(Asta!$J$4:$J$47,'_Supporto Listone'!B400)&gt;0,INDEX(Asta!$K$4:$K$47,MATCH('_Supporto Listone'!B400,Asta!$J$4:$J$47,0)),IF(COUNTIF(Asta!$L$4:$L$47,'_Supporto Listone'!B400)&gt;0,INDEX(Asta!$M$4:$M$47,MATCH('_Supporto Listone'!B400,Asta!$L$4:$L$47,0)),IF(COUNTIF(Asta!$N$4:$N$47,'_Supporto Listone'!B400)&gt;0,INDEX(Asta!$O$4:$O$47,MATCH('_Supporto Listone'!B400,Asta!$N$4:$N$47,0)),IF(COUNTIF(Asta!$P$4:$P$47,'_Supporto Listone'!B400)&gt;0,INDEX(Asta!$Q$4:$Q$47,MATCH('_Supporto Listone'!B400,Asta!$P$4:$P$47,0)),IF(COUNTIF(Asta!$R$4:$R$47,'_Supporto Listone'!B400)&gt;0,INDEX(Asta!$S$4:$S$47,MATCH('_Supporto Listone'!B400,Asta!$R$4:$R$47,0)),IF(COUNTIF(Asta!$T$4:$T$47,'_Supporto Listone'!B400)&gt;0,INDEX(Asta!$U$4:$U$47,MATCH('_Supporto Listone'!B400,Asta!$T$4:$T$47,0)),""))))))))))</x:f>
      </x:c>
    </x:row>
    <x:row r="401">
      <x:c r="A401" s="440" t="str">
        <x:f>IF($J401&lt;&gt;"",REGEXREPLACE(TO_TEXT('_Supporto Listone'!A401),"(.)","$1"&amp;UNICHAR(822)),'_Supporto Listone'!A401)</x:f>
        <x:v>C</x:v>
      </x:c>
      <x:c r="B401" s="441" t="str">
        <x:f>IF($J401&lt;&gt;"",REGEXREPLACE(TO_TEXT('_Supporto Listone'!B401),"(.)","$1"&amp;UNICHAR(822)),'_Supporto Listone'!B401)</x:f>
        <x:v>Boloca</x:v>
      </x:c>
      <x:c r="C401" s="441" t="str">
        <x:f>IF($J401&lt;&gt;"",REGEXREPLACE(TO_TEXT('_Supporto Listone'!C401),"(.)","$1"&amp;UNICHAR(822)),'_Supporto Listone'!C401)</x:f>
        <x:v>Sassuolo</x:v>
      </x:c>
      <x:c r="D401" s="441" t="str">
        <x:f>IF($J401&lt;&gt;"",REGEXREPLACE(TO_TEXT('_Supporto Listone'!D401),"(.)","$1"&amp;UNICHAR(822)),'_Supporto Listone'!D401)</x:f>
        <x:v>M;C</x:v>
      </x:c>
      <x:c r="E401" s="441" t="str">
        <x:f>IF($J401&lt;&gt;"",REGEXREPLACE(TO_TEXT('_Supporto Listone'!E401),"(.)","$1"&amp;UNICHAR(822)),'_Supporto Listone'!E401)</x:f>
        <x:v>Riserva / rotazione</x:v>
      </x:c>
      <x:c r="F401" s="464" t="n">
        <x:f>IF($J401&lt;&gt;"",REGEXREPLACE(TO_TEXT('_Supporto Listone'!F401),"(.)","$1"&amp;UNICHAR(822)),'_Supporto Listone'!F401)</x:f>
        <x:v>2</x:v>
      </x:c>
      <x:c r="G401" s="464" t="n">
        <x:f>IF($J401&lt;&gt;"",REGEXREPLACE(TO_TEXT('_Supporto Listone'!G401),"(.)","$1"&amp;UNICHAR(822)),'_Supporto Listone'!G401)</x:f>
        <x:v>5</x:v>
      </x:c>
      <x:c r="H401" s="464" t="n">
        <x:f>IF($J401&lt;&gt;"",REGEXREPLACE(TO_TEXT('_Supporto Listone'!H401),"(.)","$1"&amp;UNICHAR(822)),'_Supporto Listone'!H401)</x:f>
        <x:v>3</x:v>
      </x:c>
      <x:c r="I401" s="442"/>
      <x:c r="J401" s="441" t="str">
        <x:f>IF(COUNTIF(Asta!$B$4:$B$47,'_Supporto Listone'!B401)&gt;0,"Simone",IF(COUNTIF(Asta!$D$4:$D$47,'_Supporto Listone'!B401)&gt;0,"Giacomo",IF(COUNTIF(Asta!$F$4:$F$47,'_Supporto Listone'!B401)&gt;0,"Niko",IF(COUNTIF(Asta!$H$4:$H$47,'_Supporto Listone'!B401)&gt;0,"Quici",IF(COUNTIF(Asta!$J$4:$J$47,'_Supporto Listone'!B401)&gt;0,"Fratello Quici",IF(COUNTIF(Asta!$L$4:$L$47,'_Supporto Listone'!B401)&gt;0,"Nicolò",IF(COUNTIF(Asta!$N$4:$N$47,'_Supporto Listone'!B401)&gt;0,"Vi",IF(COUNTIF(Asta!$P$4:$P$47,'_Supporto Listone'!B401)&gt;0,"Lore",IF(COUNTIF(Asta!$R$4:$R$47,'_Supporto Listone'!B401)&gt;0,"Robbo",IF(COUNTIF(Asta!$T$4:$T$47,'_Supporto Listone'!B401)&gt;0,"Ale",""))))))))))</x:f>
      </x:c>
      <x:c r="K401" s="495" t="str">
        <x:f>IF(COUNTIF(Asta!$B$4:$B$47,'_Supporto Listone'!B401)&gt;0,INDEX(Asta!$C$4:$C$47,MATCH('_Supporto Listone'!B401,Asta!$B$4:$B$47,0)),IF(COUNTIF(Asta!$D$4:$D$47,'_Supporto Listone'!B401)&gt;0,INDEX(Asta!$E$4:$E$47,MATCH('_Supporto Listone'!B401,Asta!$D$4:$D$47,0)),IF(COUNTIF(Asta!$F$4:$F$47,'_Supporto Listone'!B401)&gt;0,INDEX(Asta!$G$4:$G$47,MATCH('_Supporto Listone'!B401,Asta!$F$4:$F$47,0)),IF(COUNTIF(Asta!$H$4:$H$47,'_Supporto Listone'!B401)&gt;0,INDEX(Asta!$I$4:$I$47,MATCH('_Supporto Listone'!B401,Asta!$H$4:$H$47,0)),IF(COUNTIF(Asta!$J$4:$J$47,'_Supporto Listone'!B401)&gt;0,INDEX(Asta!$K$4:$K$47,MATCH('_Supporto Listone'!B401,Asta!$J$4:$J$47,0)),IF(COUNTIF(Asta!$L$4:$L$47,'_Supporto Listone'!B401)&gt;0,INDEX(Asta!$M$4:$M$47,MATCH('_Supporto Listone'!B401,Asta!$L$4:$L$47,0)),IF(COUNTIF(Asta!$N$4:$N$47,'_Supporto Listone'!B401)&gt;0,INDEX(Asta!$O$4:$O$47,MATCH('_Supporto Listone'!B401,Asta!$N$4:$N$47,0)),IF(COUNTIF(Asta!$P$4:$P$47,'_Supporto Listone'!B401)&gt;0,INDEX(Asta!$Q$4:$Q$47,MATCH('_Supporto Listone'!B401,Asta!$P$4:$P$47,0)),IF(COUNTIF(Asta!$R$4:$R$47,'_Supporto Listone'!B401)&gt;0,INDEX(Asta!$S$4:$S$47,MATCH('_Supporto Listone'!B401,Asta!$R$4:$R$47,0)),IF(COUNTIF(Asta!$T$4:$T$47,'_Supporto Listone'!B401)&gt;0,INDEX(Asta!$U$4:$U$47,MATCH('_Supporto Listone'!B401,Asta!$T$4:$T$47,0)),""))))))))))</x:f>
      </x:c>
    </x:row>
    <x:row r="402">
      <x:c r="A402" s="440" t="str">
        <x:f>IF($J402&lt;&gt;"",REGEXREPLACE(TO_TEXT('_Supporto Listone'!A402),"(.)","$1"&amp;UNICHAR(822)),'_Supporto Listone'!A402)</x:f>
        <x:v>C</x:v>
      </x:c>
      <x:c r="B402" s="441" t="str">
        <x:f>IF($J402&lt;&gt;"",REGEXREPLACE(TO_TEXT('_Supporto Listone'!B402),"(.)","$1"&amp;UNICHAR(822)),'_Supporto Listone'!B402)</x:f>
        <x:v>Lipani</x:v>
      </x:c>
      <x:c r="C402" s="441" t="str">
        <x:f>IF($J402&lt;&gt;"",REGEXREPLACE(TO_TEXT('_Supporto Listone'!C402),"(.)","$1"&amp;UNICHAR(822)),'_Supporto Listone'!C402)</x:f>
        <x:v>Sassuolo</x:v>
      </x:c>
      <x:c r="D402" s="441" t="str">
        <x:f>IF($J402&lt;&gt;"",REGEXREPLACE(TO_TEXT('_Supporto Listone'!D402),"(.)","$1"&amp;UNICHAR(822)),'_Supporto Listone'!D402)</x:f>
        <x:v>M;C</x:v>
      </x:c>
      <x:c r="E402" s="441" t="str">
        <x:f>IF($J402&lt;&gt;"",REGEXREPLACE(TO_TEXT('_Supporto Listone'!E402),"(.)","$1"&amp;UNICHAR(822)),'_Supporto Listone'!E402)</x:f>
        <x:v>Riserva / rotazione</x:v>
      </x:c>
      <x:c r="F402" s="464" t="n">
        <x:f>IF($J402&lt;&gt;"",REGEXREPLACE(TO_TEXT('_Supporto Listone'!F402),"(.)","$1"&amp;UNICHAR(822)),'_Supporto Listone'!F402)</x:f>
        <x:v>2</x:v>
      </x:c>
      <x:c r="G402" s="464" t="n">
        <x:f>IF($J402&lt;&gt;"",REGEXREPLACE(TO_TEXT('_Supporto Listone'!G402),"(.)","$1"&amp;UNICHAR(822)),'_Supporto Listone'!G402)</x:f>
        <x:v>5</x:v>
      </x:c>
      <x:c r="H402" s="464" t="n">
        <x:f>IF($J402&lt;&gt;"",REGEXREPLACE(TO_TEXT('_Supporto Listone'!H402),"(.)","$1"&amp;UNICHAR(822)),'_Supporto Listone'!H402)</x:f>
        <x:v>3</x:v>
      </x:c>
      <x:c r="I402" s="442"/>
      <x:c r="J402" s="441" t="str">
        <x:f>IF(COUNTIF(Asta!$B$4:$B$47,'_Supporto Listone'!B402)&gt;0,"Simone",IF(COUNTIF(Asta!$D$4:$D$47,'_Supporto Listone'!B402)&gt;0,"Giacomo",IF(COUNTIF(Asta!$F$4:$F$47,'_Supporto Listone'!B402)&gt;0,"Niko",IF(COUNTIF(Asta!$H$4:$H$47,'_Supporto Listone'!B402)&gt;0,"Quici",IF(COUNTIF(Asta!$J$4:$J$47,'_Supporto Listone'!B402)&gt;0,"Fratello Quici",IF(COUNTIF(Asta!$L$4:$L$47,'_Supporto Listone'!B402)&gt;0,"Nicolò",IF(COUNTIF(Asta!$N$4:$N$47,'_Supporto Listone'!B402)&gt;0,"Vi",IF(COUNTIF(Asta!$P$4:$P$47,'_Supporto Listone'!B402)&gt;0,"Lore",IF(COUNTIF(Asta!$R$4:$R$47,'_Supporto Listone'!B402)&gt;0,"Robbo",IF(COUNTIF(Asta!$T$4:$T$47,'_Supporto Listone'!B402)&gt;0,"Ale",""))))))))))</x:f>
      </x:c>
      <x:c r="K402" s="495" t="str">
        <x:f>IF(COUNTIF(Asta!$B$4:$B$47,'_Supporto Listone'!B402)&gt;0,INDEX(Asta!$C$4:$C$47,MATCH('_Supporto Listone'!B402,Asta!$B$4:$B$47,0)),IF(COUNTIF(Asta!$D$4:$D$47,'_Supporto Listone'!B402)&gt;0,INDEX(Asta!$E$4:$E$47,MATCH('_Supporto Listone'!B402,Asta!$D$4:$D$47,0)),IF(COUNTIF(Asta!$F$4:$F$47,'_Supporto Listone'!B402)&gt;0,INDEX(Asta!$G$4:$G$47,MATCH('_Supporto Listone'!B402,Asta!$F$4:$F$47,0)),IF(COUNTIF(Asta!$H$4:$H$47,'_Supporto Listone'!B402)&gt;0,INDEX(Asta!$I$4:$I$47,MATCH('_Supporto Listone'!B402,Asta!$H$4:$H$47,0)),IF(COUNTIF(Asta!$J$4:$J$47,'_Supporto Listone'!B402)&gt;0,INDEX(Asta!$K$4:$K$47,MATCH('_Supporto Listone'!B402,Asta!$J$4:$J$47,0)),IF(COUNTIF(Asta!$L$4:$L$47,'_Supporto Listone'!B402)&gt;0,INDEX(Asta!$M$4:$M$47,MATCH('_Supporto Listone'!B402,Asta!$L$4:$L$47,0)),IF(COUNTIF(Asta!$N$4:$N$47,'_Supporto Listone'!B402)&gt;0,INDEX(Asta!$O$4:$O$47,MATCH('_Supporto Listone'!B402,Asta!$N$4:$N$47,0)),IF(COUNTIF(Asta!$P$4:$P$47,'_Supporto Listone'!B402)&gt;0,INDEX(Asta!$Q$4:$Q$47,MATCH('_Supporto Listone'!B402,Asta!$P$4:$P$47,0)),IF(COUNTIF(Asta!$R$4:$R$47,'_Supporto Listone'!B402)&gt;0,INDEX(Asta!$S$4:$S$47,MATCH('_Supporto Listone'!B402,Asta!$R$4:$R$47,0)),IF(COUNTIF(Asta!$T$4:$T$47,'_Supporto Listone'!B402)&gt;0,INDEX(Asta!$U$4:$U$47,MATCH('_Supporto Listone'!B402,Asta!$T$4:$T$47,0)),""))))))))))</x:f>
      </x:c>
    </x:row>
    <x:row r="403">
      <x:c r="A403" s="440" t="str">
        <x:f>IF($J403&lt;&gt;"",REGEXREPLACE(TO_TEXT('_Supporto Listone'!A403),"(.)","$1"&amp;UNICHAR(822)),'_Supporto Listone'!A403)</x:f>
        <x:v>C</x:v>
      </x:c>
      <x:c r="B403" s="441" t="str">
        <x:f>IF($J403&lt;&gt;"",REGEXREPLACE(TO_TEXT('_Supporto Listone'!B403),"(.)","$1"&amp;UNICHAR(822)),'_Supporto Listone'!B403)</x:f>
        <x:v>Chakvetadze</x:v>
      </x:c>
      <x:c r="C403" s="441" t="str">
        <x:f>IF($J403&lt;&gt;"",REGEXREPLACE(TO_TEXT('_Supporto Listone'!C403),"(.)","$1"&amp;UNICHAR(822)),'_Supporto Listone'!C403)</x:f>
        <x:v>Udinese</x:v>
      </x:c>
      <x:c r="D403" s="441" t="str">
        <x:f>IF($J403&lt;&gt;"",REGEXREPLACE(TO_TEXT('_Supporto Listone'!D403),"(.)","$1"&amp;UNICHAR(822)),'_Supporto Listone'!D403)</x:f>
        <x:v>W;T</x:v>
      </x:c>
      <x:c r="E403" s="441" t="str">
        <x:f>IF($J403&lt;&gt;"",REGEXREPLACE(TO_TEXT('_Supporto Listone'!E403),"(.)","$1"&amp;UNICHAR(822)),'_Supporto Listone'!E403)</x:f>
        <x:v>Riserva / rotazione</x:v>
      </x:c>
      <x:c r="F403" s="464" t="n">
        <x:f>IF($J403&lt;&gt;"",REGEXREPLACE(TO_TEXT('_Supporto Listone'!F403),"(.)","$1"&amp;UNICHAR(822)),'_Supporto Listone'!F403)</x:f>
        <x:v>2</x:v>
      </x:c>
      <x:c r="G403" s="464" t="n">
        <x:f>IF($J403&lt;&gt;"",REGEXREPLACE(TO_TEXT('_Supporto Listone'!G403),"(.)","$1"&amp;UNICHAR(822)),'_Supporto Listone'!G403)</x:f>
        <x:v>6</x:v>
      </x:c>
      <x:c r="H403" s="464" t="n">
        <x:f>IF($J403&lt;&gt;"",REGEXREPLACE(TO_TEXT('_Supporto Listone'!H403),"(.)","$1"&amp;UNICHAR(822)),'_Supporto Listone'!H403)</x:f>
        <x:v>3</x:v>
      </x:c>
      <x:c r="I403" s="442"/>
      <x:c r="J403" s="441" t="str">
        <x:f>IF(COUNTIF(Asta!$B$4:$B$47,'_Supporto Listone'!B403)&gt;0,"Simone",IF(COUNTIF(Asta!$D$4:$D$47,'_Supporto Listone'!B403)&gt;0,"Giacomo",IF(COUNTIF(Asta!$F$4:$F$47,'_Supporto Listone'!B403)&gt;0,"Niko",IF(COUNTIF(Asta!$H$4:$H$47,'_Supporto Listone'!B403)&gt;0,"Quici",IF(COUNTIF(Asta!$J$4:$J$47,'_Supporto Listone'!B403)&gt;0,"Fratello Quici",IF(COUNTIF(Asta!$L$4:$L$47,'_Supporto Listone'!B403)&gt;0,"Nicolò",IF(COUNTIF(Asta!$N$4:$N$47,'_Supporto Listone'!B403)&gt;0,"Vi",IF(COUNTIF(Asta!$P$4:$P$47,'_Supporto Listone'!B403)&gt;0,"Lore",IF(COUNTIF(Asta!$R$4:$R$47,'_Supporto Listone'!B403)&gt;0,"Robbo",IF(COUNTIF(Asta!$T$4:$T$47,'_Supporto Listone'!B403)&gt;0,"Ale",""))))))))))</x:f>
      </x:c>
      <x:c r="K403" s="495" t="str">
        <x:f>IF(COUNTIF(Asta!$B$4:$B$47,'_Supporto Listone'!B403)&gt;0,INDEX(Asta!$C$4:$C$47,MATCH('_Supporto Listone'!B403,Asta!$B$4:$B$47,0)),IF(COUNTIF(Asta!$D$4:$D$47,'_Supporto Listone'!B403)&gt;0,INDEX(Asta!$E$4:$E$47,MATCH('_Supporto Listone'!B403,Asta!$D$4:$D$47,0)),IF(COUNTIF(Asta!$F$4:$F$47,'_Supporto Listone'!B403)&gt;0,INDEX(Asta!$G$4:$G$47,MATCH('_Supporto Listone'!B403,Asta!$F$4:$F$47,0)),IF(COUNTIF(Asta!$H$4:$H$47,'_Supporto Listone'!B403)&gt;0,INDEX(Asta!$I$4:$I$47,MATCH('_Supporto Listone'!B403,Asta!$H$4:$H$47,0)),IF(COUNTIF(Asta!$J$4:$J$47,'_Supporto Listone'!B403)&gt;0,INDEX(Asta!$K$4:$K$47,MATCH('_Supporto Listone'!B403,Asta!$J$4:$J$47,0)),IF(COUNTIF(Asta!$L$4:$L$47,'_Supporto Listone'!B403)&gt;0,INDEX(Asta!$M$4:$M$47,MATCH('_Supporto Listone'!B403,Asta!$L$4:$L$47,0)),IF(COUNTIF(Asta!$N$4:$N$47,'_Supporto Listone'!B403)&gt;0,INDEX(Asta!$O$4:$O$47,MATCH('_Supporto Listone'!B403,Asta!$N$4:$N$47,0)),IF(COUNTIF(Asta!$P$4:$P$47,'_Supporto Listone'!B403)&gt;0,INDEX(Asta!$Q$4:$Q$47,MATCH('_Supporto Listone'!B403,Asta!$P$4:$P$47,0)),IF(COUNTIF(Asta!$R$4:$R$47,'_Supporto Listone'!B403)&gt;0,INDEX(Asta!$S$4:$S$47,MATCH('_Supporto Listone'!B403,Asta!$R$4:$R$47,0)),IF(COUNTIF(Asta!$T$4:$T$47,'_Supporto Listone'!B403)&gt;0,INDEX(Asta!$U$4:$U$47,MATCH('_Supporto Listone'!B403,Asta!$T$4:$T$47,0)),""))))))))))</x:f>
      </x:c>
    </x:row>
    <x:row r="404">
      <x:c r="A404" s="440" t="str">
        <x:f>IF($J404&lt;&gt;"",REGEXREPLACE(TO_TEXT('_Supporto Listone'!A404),"(.)","$1"&amp;UNICHAR(822)),'_Supporto Listone'!A404)</x:f>
        <x:v>C</x:v>
      </x:c>
      <x:c r="B404" s="441" t="str">
        <x:f>IF($J404&lt;&gt;"",REGEXREPLACE(TO_TEXT('_Supporto Listone'!B404),"(.)","$1"&amp;UNICHAR(822)),'_Supporto Listone'!B404)</x:f>
        <x:v>Duncan</x:v>
      </x:c>
      <x:c r="C404" s="441" t="str">
        <x:f>IF($J404&lt;&gt;"",REGEXREPLACE(TO_TEXT('_Supporto Listone'!C404),"(.)","$1"&amp;UNICHAR(822)),'_Supporto Listone'!C404)</x:f>
        <x:v>Venezia</x:v>
      </x:c>
      <x:c r="D404" s="441" t="str">
        <x:f>IF($J404&lt;&gt;"",REGEXREPLACE(TO_TEXT('_Supporto Listone'!D404),"(.)","$1"&amp;UNICHAR(822)),'_Supporto Listone'!D404)</x:f>
        <x:v>C</x:v>
      </x:c>
      <x:c r="E404" s="441" t="str">
        <x:f>IF($J404&lt;&gt;"",REGEXREPLACE(TO_TEXT('_Supporto Listone'!E404),"(.)","$1"&amp;UNICHAR(822)),'_Supporto Listone'!E404)</x:f>
        <x:v>Riserva / rotazione</x:v>
      </x:c>
      <x:c r="F404" s="464" t="n">
        <x:f>IF($J404&lt;&gt;"",REGEXREPLACE(TO_TEXT('_Supporto Listone'!F404),"(.)","$1"&amp;UNICHAR(822)),'_Supporto Listone'!F404)</x:f>
        <x:v>2</x:v>
      </x:c>
      <x:c r="G404" s="464" t="n">
        <x:f>IF($J404&lt;&gt;"",REGEXREPLACE(TO_TEXT('_Supporto Listone'!G404),"(.)","$1"&amp;UNICHAR(822)),'_Supporto Listone'!G404)</x:f>
        <x:v>4</x:v>
      </x:c>
      <x:c r="H404" s="464" t="n">
        <x:f>IF($J404&lt;&gt;"",REGEXREPLACE(TO_TEXT('_Supporto Listone'!H404),"(.)","$1"&amp;UNICHAR(822)),'_Supporto Listone'!H404)</x:f>
        <x:v>2</x:v>
      </x:c>
      <x:c r="I404" s="442"/>
      <x:c r="J404" s="441" t="str">
        <x:f>IF(COUNTIF(Asta!$B$4:$B$47,'_Supporto Listone'!B404)&gt;0,"Simone",IF(COUNTIF(Asta!$D$4:$D$47,'_Supporto Listone'!B404)&gt;0,"Giacomo",IF(COUNTIF(Asta!$F$4:$F$47,'_Supporto Listone'!B404)&gt;0,"Niko",IF(COUNTIF(Asta!$H$4:$H$47,'_Supporto Listone'!B404)&gt;0,"Quici",IF(COUNTIF(Asta!$J$4:$J$47,'_Supporto Listone'!B404)&gt;0,"Fratello Quici",IF(COUNTIF(Asta!$L$4:$L$47,'_Supporto Listone'!B404)&gt;0,"Nicolò",IF(COUNTIF(Asta!$N$4:$N$47,'_Supporto Listone'!B404)&gt;0,"Vi",IF(COUNTIF(Asta!$P$4:$P$47,'_Supporto Listone'!B404)&gt;0,"Lore",IF(COUNTIF(Asta!$R$4:$R$47,'_Supporto Listone'!B404)&gt;0,"Robbo",IF(COUNTIF(Asta!$T$4:$T$47,'_Supporto Listone'!B404)&gt;0,"Ale",""))))))))))</x:f>
      </x:c>
      <x:c r="K404" s="495" t="str">
        <x:f>IF(COUNTIF(Asta!$B$4:$B$47,'_Supporto Listone'!B404)&gt;0,INDEX(Asta!$C$4:$C$47,MATCH('_Supporto Listone'!B404,Asta!$B$4:$B$47,0)),IF(COUNTIF(Asta!$D$4:$D$47,'_Supporto Listone'!B404)&gt;0,INDEX(Asta!$E$4:$E$47,MATCH('_Supporto Listone'!B404,Asta!$D$4:$D$47,0)),IF(COUNTIF(Asta!$F$4:$F$47,'_Supporto Listone'!B404)&gt;0,INDEX(Asta!$G$4:$G$47,MATCH('_Supporto Listone'!B404,Asta!$F$4:$F$47,0)),IF(COUNTIF(Asta!$H$4:$H$47,'_Supporto Listone'!B404)&gt;0,INDEX(Asta!$I$4:$I$47,MATCH('_Supporto Listone'!B404,Asta!$H$4:$H$47,0)),IF(COUNTIF(Asta!$J$4:$J$47,'_Supporto Listone'!B404)&gt;0,INDEX(Asta!$K$4:$K$47,MATCH('_Supporto Listone'!B404,Asta!$J$4:$J$47,0)),IF(COUNTIF(Asta!$L$4:$L$47,'_Supporto Listone'!B404)&gt;0,INDEX(Asta!$M$4:$M$47,MATCH('_Supporto Listone'!B404,Asta!$L$4:$L$47,0)),IF(COUNTIF(Asta!$N$4:$N$47,'_Supporto Listone'!B404)&gt;0,INDEX(Asta!$O$4:$O$47,MATCH('_Supporto Listone'!B404,Asta!$N$4:$N$47,0)),IF(COUNTIF(Asta!$P$4:$P$47,'_Supporto Listone'!B404)&gt;0,INDEX(Asta!$Q$4:$Q$47,MATCH('_Supporto Listone'!B404,Asta!$P$4:$P$47,0)),IF(COUNTIF(Asta!$R$4:$R$47,'_Supporto Listone'!B404)&gt;0,INDEX(Asta!$S$4:$S$47,MATCH('_Supporto Listone'!B404,Asta!$R$4:$R$47,0)),IF(COUNTIF(Asta!$T$4:$T$47,'_Supporto Listone'!B404)&gt;0,INDEX(Asta!$U$4:$U$47,MATCH('_Supporto Listone'!B404,Asta!$T$4:$T$47,0)),""))))))))))</x:f>
      </x:c>
    </x:row>
    <x:row r="405">
      <x:c r="A405" s="440" t="str">
        <x:f>IF($J405&lt;&gt;"",REGEXREPLACE(TO_TEXT('_Supporto Listone'!A405),"(.)","$1"&amp;UNICHAR(822)),'_Supporto Listone'!A405)</x:f>
        <x:v>C</x:v>
      </x:c>
      <x:c r="B405" s="441" t="str">
        <x:f>IF($J405&lt;&gt;"",REGEXREPLACE(TO_TEXT('_Supporto Listone'!B405),"(.)","$1"&amp;UNICHAR(822)),'_Supporto Listone'!B405)</x:f>
        <x:v>Liteta</x:v>
      </x:c>
      <x:c r="C405" s="441" t="str">
        <x:f>IF($J405&lt;&gt;"",REGEXREPLACE(TO_TEXT('_Supporto Listone'!C405),"(.)","$1"&amp;UNICHAR(822)),'_Supporto Listone'!C405)</x:f>
        <x:v>Cagliari</x:v>
      </x:c>
      <x:c r="D405" s="441" t="str">
        <x:f>IF($J405&lt;&gt;"",REGEXREPLACE(TO_TEXT('_Supporto Listone'!D405),"(.)","$1"&amp;UNICHAR(822)),'_Supporto Listone'!D405)</x:f>
        <x:v>M;C</x:v>
      </x:c>
      <x:c r="E405" s="441" t="str">
        <x:f>IF($J405&lt;&gt;"",REGEXREPLACE(TO_TEXT('_Supporto Listone'!E405),"(.)","$1"&amp;UNICHAR(822)),'_Supporto Listone'!E405)</x:f>
        <x:v>Riserva / rotazione</x:v>
      </x:c>
      <x:c r="F405" s="464" t="n">
        <x:f>IF($J405&lt;&gt;"",REGEXREPLACE(TO_TEXT('_Supporto Listone'!F405),"(.)","$1"&amp;UNICHAR(822)),'_Supporto Listone'!F405)</x:f>
        <x:v>1</x:v>
      </x:c>
      <x:c r="G405" s="464" t="n">
        <x:f>IF($J405&lt;&gt;"",REGEXREPLACE(TO_TEXT('_Supporto Listone'!G405),"(.)","$1"&amp;UNICHAR(822)),'_Supporto Listone'!G405)</x:f>
        <x:v>1</x:v>
      </x:c>
      <x:c r="H405" s="464" t="n">
        <x:f>IF($J405&lt;&gt;"",REGEXREPLACE(TO_TEXT('_Supporto Listone'!H405),"(.)","$1"&amp;UNICHAR(822)),'_Supporto Listone'!H405)</x:f>
        <x:v>1</x:v>
      </x:c>
      <x:c r="I405" s="442"/>
      <x:c r="J405" s="441" t="str">
        <x:f>IF(COUNTIF(Asta!$B$4:$B$47,'_Supporto Listone'!B405)&gt;0,"Simone",IF(COUNTIF(Asta!$D$4:$D$47,'_Supporto Listone'!B405)&gt;0,"Giacomo",IF(COUNTIF(Asta!$F$4:$F$47,'_Supporto Listone'!B405)&gt;0,"Niko",IF(COUNTIF(Asta!$H$4:$H$47,'_Supporto Listone'!B405)&gt;0,"Quici",IF(COUNTIF(Asta!$J$4:$J$47,'_Supporto Listone'!B405)&gt;0,"Fratello Quici",IF(COUNTIF(Asta!$L$4:$L$47,'_Supporto Listone'!B405)&gt;0,"Nicolò",IF(COUNTIF(Asta!$N$4:$N$47,'_Supporto Listone'!B405)&gt;0,"Vi",IF(COUNTIF(Asta!$P$4:$P$47,'_Supporto Listone'!B405)&gt;0,"Lore",IF(COUNTIF(Asta!$R$4:$R$47,'_Supporto Listone'!B405)&gt;0,"Robbo",IF(COUNTIF(Asta!$T$4:$T$47,'_Supporto Listone'!B405)&gt;0,"Ale",""))))))))))</x:f>
      </x:c>
      <x:c r="K405" s="495" t="str">
        <x:f>IF(COUNTIF(Asta!$B$4:$B$47,'_Supporto Listone'!B405)&gt;0,INDEX(Asta!$C$4:$C$47,MATCH('_Supporto Listone'!B405,Asta!$B$4:$B$47,0)),IF(COUNTIF(Asta!$D$4:$D$47,'_Supporto Listone'!B405)&gt;0,INDEX(Asta!$E$4:$E$47,MATCH('_Supporto Listone'!B405,Asta!$D$4:$D$47,0)),IF(COUNTIF(Asta!$F$4:$F$47,'_Supporto Listone'!B405)&gt;0,INDEX(Asta!$G$4:$G$47,MATCH('_Supporto Listone'!B405,Asta!$F$4:$F$47,0)),IF(COUNTIF(Asta!$H$4:$H$47,'_Supporto Listone'!B405)&gt;0,INDEX(Asta!$I$4:$I$47,MATCH('_Supporto Listone'!B405,Asta!$H$4:$H$47,0)),IF(COUNTIF(Asta!$J$4:$J$47,'_Supporto Listone'!B405)&gt;0,INDEX(Asta!$K$4:$K$47,MATCH('_Supporto Listone'!B405,Asta!$J$4:$J$47,0)),IF(COUNTIF(Asta!$L$4:$L$47,'_Supporto Listone'!B405)&gt;0,INDEX(Asta!$M$4:$M$47,MATCH('_Supporto Listone'!B405,Asta!$L$4:$L$47,0)),IF(COUNTIF(Asta!$N$4:$N$47,'_Supporto Listone'!B405)&gt;0,INDEX(Asta!$O$4:$O$47,MATCH('_Supporto Listone'!B405,Asta!$N$4:$N$47,0)),IF(COUNTIF(Asta!$P$4:$P$47,'_Supporto Listone'!B405)&gt;0,INDEX(Asta!$Q$4:$Q$47,MATCH('_Supporto Listone'!B405,Asta!$P$4:$P$47,0)),IF(COUNTIF(Asta!$R$4:$R$47,'_Supporto Listone'!B405)&gt;0,INDEX(Asta!$S$4:$S$47,MATCH('_Supporto Listone'!B405,Asta!$R$4:$R$47,0)),IF(COUNTIF(Asta!$T$4:$T$47,'_Supporto Listone'!B405)&gt;0,INDEX(Asta!$U$4:$U$47,MATCH('_Supporto Listone'!B405,Asta!$T$4:$T$47,0)),""))))))))))</x:f>
      </x:c>
    </x:row>
    <x:row r="406">
      <x:c r="A406" s="440" t="str">
        <x:f>IF($J406&lt;&gt;"",REGEXREPLACE(TO_TEXT('_Supporto Listone'!A406),"(.)","$1"&amp;UNICHAR(822)),'_Supporto Listone'!A406)</x:f>
        <x:v>C</x:v>
      </x:c>
      <x:c r="B406" s="441" t="str">
        <x:f>IF($J406&lt;&gt;"",REGEXREPLACE(TO_TEXT('_Supporto Listone'!B406),"(.)","$1"&amp;UNICHAR(822)),'_Supporto Listone'!B406)</x:f>
        <x:v>Lahdo</x:v>
      </x:c>
      <x:c r="C406" s="441" t="str">
        <x:f>IF($J406&lt;&gt;"",REGEXREPLACE(TO_TEXT('_Supporto Listone'!C406),"(.)","$1"&amp;UNICHAR(822)),'_Supporto Listone'!C406)</x:f>
        <x:v>Como</x:v>
      </x:c>
      <x:c r="D406" s="441" t="str">
        <x:f>IF($J406&lt;&gt;"",REGEXREPLACE(TO_TEXT('_Supporto Listone'!D406),"(.)","$1"&amp;UNICHAR(822)),'_Supporto Listone'!D406)</x:f>
        <x:v>C;T</x:v>
      </x:c>
      <x:c r="E406" s="441" t="str">
        <x:f>IF($J406&lt;&gt;"",REGEXREPLACE(TO_TEXT('_Supporto Listone'!E406),"(.)","$1"&amp;UNICHAR(822)),'_Supporto Listone'!E406)</x:f>
        <x:v>Riserva / rotazione</x:v>
      </x:c>
      <x:c r="F406" s="464" t="n">
        <x:f>IF($J406&lt;&gt;"",REGEXREPLACE(TO_TEXT('_Supporto Listone'!F406),"(.)","$1"&amp;UNICHAR(822)),'_Supporto Listone'!F406)</x:f>
        <x:v>1</x:v>
      </x:c>
      <x:c r="G406" s="464" t="n">
        <x:f>IF($J406&lt;&gt;"",REGEXREPLACE(TO_TEXT('_Supporto Listone'!G406),"(.)","$1"&amp;UNICHAR(822)),'_Supporto Listone'!G406)</x:f>
        <x:v>1</x:v>
      </x:c>
      <x:c r="H406" s="464" t="n">
        <x:f>IF($J406&lt;&gt;"",REGEXREPLACE(TO_TEXT('_Supporto Listone'!H406),"(.)","$1"&amp;UNICHAR(822)),'_Supporto Listone'!H406)</x:f>
        <x:v>1</x:v>
      </x:c>
      <x:c r="I406" s="442"/>
      <x:c r="J406" s="441" t="str">
        <x:f>IF(COUNTIF(Asta!$B$4:$B$47,'_Supporto Listone'!B406)&gt;0,"Simone",IF(COUNTIF(Asta!$D$4:$D$47,'_Supporto Listone'!B406)&gt;0,"Giacomo",IF(COUNTIF(Asta!$F$4:$F$47,'_Supporto Listone'!B406)&gt;0,"Niko",IF(COUNTIF(Asta!$H$4:$H$47,'_Supporto Listone'!B406)&gt;0,"Quici",IF(COUNTIF(Asta!$J$4:$J$47,'_Supporto Listone'!B406)&gt;0,"Fratello Quici",IF(COUNTIF(Asta!$L$4:$L$47,'_Supporto Listone'!B406)&gt;0,"Nicolò",IF(COUNTIF(Asta!$N$4:$N$47,'_Supporto Listone'!B406)&gt;0,"Vi",IF(COUNTIF(Asta!$P$4:$P$47,'_Supporto Listone'!B406)&gt;0,"Lore",IF(COUNTIF(Asta!$R$4:$R$47,'_Supporto Listone'!B406)&gt;0,"Robbo",IF(COUNTIF(Asta!$T$4:$T$47,'_Supporto Listone'!B406)&gt;0,"Ale",""))))))))))</x:f>
      </x:c>
      <x:c r="K406" s="495" t="str">
        <x:f>IF(COUNTIF(Asta!$B$4:$B$47,'_Supporto Listone'!B406)&gt;0,INDEX(Asta!$C$4:$C$47,MATCH('_Supporto Listone'!B406,Asta!$B$4:$B$47,0)),IF(COUNTIF(Asta!$D$4:$D$47,'_Supporto Listone'!B406)&gt;0,INDEX(Asta!$E$4:$E$47,MATCH('_Supporto Listone'!B406,Asta!$D$4:$D$47,0)),IF(COUNTIF(Asta!$F$4:$F$47,'_Supporto Listone'!B406)&gt;0,INDEX(Asta!$G$4:$G$47,MATCH('_Supporto Listone'!B406,Asta!$F$4:$F$47,0)),IF(COUNTIF(Asta!$H$4:$H$47,'_Supporto Listone'!B406)&gt;0,INDEX(Asta!$I$4:$I$47,MATCH('_Supporto Listone'!B406,Asta!$H$4:$H$47,0)),IF(COUNTIF(Asta!$J$4:$J$47,'_Supporto Listone'!B406)&gt;0,INDEX(Asta!$K$4:$K$47,MATCH('_Supporto Listone'!B406,Asta!$J$4:$J$47,0)),IF(COUNTIF(Asta!$L$4:$L$47,'_Supporto Listone'!B406)&gt;0,INDEX(Asta!$M$4:$M$47,MATCH('_Supporto Listone'!B406,Asta!$L$4:$L$47,0)),IF(COUNTIF(Asta!$N$4:$N$47,'_Supporto Listone'!B406)&gt;0,INDEX(Asta!$O$4:$O$47,MATCH('_Supporto Listone'!B406,Asta!$N$4:$N$47,0)),IF(COUNTIF(Asta!$P$4:$P$47,'_Supporto Listone'!B406)&gt;0,INDEX(Asta!$Q$4:$Q$47,MATCH('_Supporto Listone'!B406,Asta!$P$4:$P$47,0)),IF(COUNTIF(Asta!$R$4:$R$47,'_Supporto Listone'!B406)&gt;0,INDEX(Asta!$S$4:$S$47,MATCH('_Supporto Listone'!B406,Asta!$R$4:$R$47,0)),IF(COUNTIF(Asta!$T$4:$T$47,'_Supporto Listone'!B406)&gt;0,INDEX(Asta!$U$4:$U$47,MATCH('_Supporto Listone'!B406,Asta!$T$4:$T$47,0)),""))))))))))</x:f>
      </x:c>
    </x:row>
    <x:row r="407">
      <x:c r="A407" s="440" t="str">
        <x:f>IF($J407&lt;&gt;"",REGEXREPLACE(TO_TEXT('_Supporto Listone'!A407),"(.)","$1"&amp;UNICHAR(822)),'_Supporto Listone'!A407)</x:f>
        <x:v>C</x:v>
      </x:c>
      <x:c r="B407" s="441" t="str">
        <x:f>IF($J407&lt;&gt;"",REGEXREPLACE(TO_TEXT('_Supporto Listone'!B407),"(.)","$1"&amp;UNICHAR(822)),'_Supporto Listone'!B407)</x:f>
        <x:v>El Azzouzi A.</x:v>
      </x:c>
      <x:c r="C407" s="441" t="str">
        <x:f>IF($J407&lt;&gt;"",REGEXREPLACE(TO_TEXT('_Supporto Listone'!C407),"(.)","$1"&amp;UNICHAR(822)),'_Supporto Listone'!C407)</x:f>
        <x:v>Frosinone</x:v>
      </x:c>
      <x:c r="D407" s="441" t="str">
        <x:f>IF($J407&lt;&gt;"",REGEXREPLACE(TO_TEXT('_Supporto Listone'!D407),"(.)","$1"&amp;UNICHAR(822)),'_Supporto Listone'!D407)</x:f>
        <x:v>M;C</x:v>
      </x:c>
      <x:c r="E407" s="441" t="str">
        <x:f>IF($J407&lt;&gt;"",REGEXREPLACE(TO_TEXT('_Supporto Listone'!E407),"(.)","$1"&amp;UNICHAR(822)),'_Supporto Listone'!E407)</x:f>
        <x:v>Riserva / rotazione</x:v>
      </x:c>
      <x:c r="F407" s="464" t="n">
        <x:f>IF($J407&lt;&gt;"",REGEXREPLACE(TO_TEXT('_Supporto Listone'!F407),"(.)","$1"&amp;UNICHAR(822)),'_Supporto Listone'!F407)</x:f>
        <x:v>1</x:v>
      </x:c>
      <x:c r="G407" s="464" t="n">
        <x:f>IF($J407&lt;&gt;"",REGEXREPLACE(TO_TEXT('_Supporto Listone'!G407),"(.)","$1"&amp;UNICHAR(822)),'_Supporto Listone'!G407)</x:f>
        <x:v>3</x:v>
      </x:c>
      <x:c r="H407" s="464" t="n">
        <x:f>IF($J407&lt;&gt;"",REGEXREPLACE(TO_TEXT('_Supporto Listone'!H407),"(.)","$1"&amp;UNICHAR(822)),'_Supporto Listone'!H407)</x:f>
        <x:v>2</x:v>
      </x:c>
      <x:c r="I407" s="442"/>
      <x:c r="J407" s="441" t="str">
        <x:f>IF(COUNTIF(Asta!$B$4:$B$47,'_Supporto Listone'!B407)&gt;0,"Simone",IF(COUNTIF(Asta!$D$4:$D$47,'_Supporto Listone'!B407)&gt;0,"Giacomo",IF(COUNTIF(Asta!$F$4:$F$47,'_Supporto Listone'!B407)&gt;0,"Niko",IF(COUNTIF(Asta!$H$4:$H$47,'_Supporto Listone'!B407)&gt;0,"Quici",IF(COUNTIF(Asta!$J$4:$J$47,'_Supporto Listone'!B407)&gt;0,"Fratello Quici",IF(COUNTIF(Asta!$L$4:$L$47,'_Supporto Listone'!B407)&gt;0,"Nicolò",IF(COUNTIF(Asta!$N$4:$N$47,'_Supporto Listone'!B407)&gt;0,"Vi",IF(COUNTIF(Asta!$P$4:$P$47,'_Supporto Listone'!B407)&gt;0,"Lore",IF(COUNTIF(Asta!$R$4:$R$47,'_Supporto Listone'!B407)&gt;0,"Robbo",IF(COUNTIF(Asta!$T$4:$T$47,'_Supporto Listone'!B407)&gt;0,"Ale",""))))))))))</x:f>
      </x:c>
      <x:c r="K407" s="495" t="str">
        <x:f>IF(COUNTIF(Asta!$B$4:$B$47,'_Supporto Listone'!B407)&gt;0,INDEX(Asta!$C$4:$C$47,MATCH('_Supporto Listone'!B407,Asta!$B$4:$B$47,0)),IF(COUNTIF(Asta!$D$4:$D$47,'_Supporto Listone'!B407)&gt;0,INDEX(Asta!$E$4:$E$47,MATCH('_Supporto Listone'!B407,Asta!$D$4:$D$47,0)),IF(COUNTIF(Asta!$F$4:$F$47,'_Supporto Listone'!B407)&gt;0,INDEX(Asta!$G$4:$G$47,MATCH('_Supporto Listone'!B407,Asta!$F$4:$F$47,0)),IF(COUNTIF(Asta!$H$4:$H$47,'_Supporto Listone'!B407)&gt;0,INDEX(Asta!$I$4:$I$47,MATCH('_Supporto Listone'!B407,Asta!$H$4:$H$47,0)),IF(COUNTIF(Asta!$J$4:$J$47,'_Supporto Listone'!B407)&gt;0,INDEX(Asta!$K$4:$K$47,MATCH('_Supporto Listone'!B407,Asta!$J$4:$J$47,0)),IF(COUNTIF(Asta!$L$4:$L$47,'_Supporto Listone'!B407)&gt;0,INDEX(Asta!$M$4:$M$47,MATCH('_Supporto Listone'!B407,Asta!$L$4:$L$47,0)),IF(COUNTIF(Asta!$N$4:$N$47,'_Supporto Listone'!B407)&gt;0,INDEX(Asta!$O$4:$O$47,MATCH('_Supporto Listone'!B407,Asta!$N$4:$N$47,0)),IF(COUNTIF(Asta!$P$4:$P$47,'_Supporto Listone'!B407)&gt;0,INDEX(Asta!$Q$4:$Q$47,MATCH('_Supporto Listone'!B407,Asta!$P$4:$P$47,0)),IF(COUNTIF(Asta!$R$4:$R$47,'_Supporto Listone'!B407)&gt;0,INDEX(Asta!$S$4:$S$47,MATCH('_Supporto Listone'!B407,Asta!$R$4:$R$47,0)),IF(COUNTIF(Asta!$T$4:$T$47,'_Supporto Listone'!B407)&gt;0,INDEX(Asta!$U$4:$U$47,MATCH('_Supporto Listone'!B407,Asta!$T$4:$T$47,0)),""))))))))))</x:f>
      </x:c>
    </x:row>
    <x:row r="408">
      <x:c r="A408" s="440" t="str">
        <x:f>IF($J408&lt;&gt;"",REGEXREPLACE(TO_TEXT('_Supporto Listone'!A408),"(.)","$1"&amp;UNICHAR(822)),'_Supporto Listone'!A408)</x:f>
        <x:v>C</x:v>
      </x:c>
      <x:c r="B408" s="441" t="str">
        <x:f>IF($J408&lt;&gt;"",REGEXREPLACE(TO_TEXT('_Supporto Listone'!B408),"(.)","$1"&amp;UNICHAR(822)),'_Supporto Listone'!B408)</x:f>
        <x:v>Kone B.</x:v>
      </x:c>
      <x:c r="C408" s="441" t="str">
        <x:f>IF($J408&lt;&gt;"",REGEXREPLACE(TO_TEXT('_Supporto Listone'!C408),"(.)","$1"&amp;UNICHAR(822)),'_Supporto Listone'!C408)</x:f>
        <x:v>Frosinone</x:v>
      </x:c>
      <x:c r="D408" s="441" t="str">
        <x:f>IF($J408&lt;&gt;"",REGEXREPLACE(TO_TEXT('_Supporto Listone'!D408),"(.)","$1"&amp;UNICHAR(822)),'_Supporto Listone'!D408)</x:f>
        <x:v>C</x:v>
      </x:c>
      <x:c r="E408" s="441" t="str">
        <x:f>IF($J408&lt;&gt;"",REGEXREPLACE(TO_TEXT('_Supporto Listone'!E408),"(.)","$1"&amp;UNICHAR(822)),'_Supporto Listone'!E408)</x:f>
        <x:v>Riserva / rotazione</x:v>
      </x:c>
      <x:c r="F408" s="464" t="n">
        <x:f>IF($J408&lt;&gt;"",REGEXREPLACE(TO_TEXT('_Supporto Listone'!F408),"(.)","$1"&amp;UNICHAR(822)),'_Supporto Listone'!F408)</x:f>
        <x:v>1</x:v>
      </x:c>
      <x:c r="G408" s="464" t="n">
        <x:f>IF($J408&lt;&gt;"",REGEXREPLACE(TO_TEXT('_Supporto Listone'!G408),"(.)","$1"&amp;UNICHAR(822)),'_Supporto Listone'!G408)</x:f>
        <x:v>3</x:v>
      </x:c>
      <x:c r="H408" s="464" t="n">
        <x:f>IF($J408&lt;&gt;"",REGEXREPLACE(TO_TEXT('_Supporto Listone'!H408),"(.)","$1"&amp;UNICHAR(822)),'_Supporto Listone'!H408)</x:f>
        <x:v>2</x:v>
      </x:c>
      <x:c r="I408" s="442"/>
      <x:c r="J408" s="441" t="str">
        <x:f>IF(COUNTIF(Asta!$B$4:$B$47,'_Supporto Listone'!B408)&gt;0,"Simone",IF(COUNTIF(Asta!$D$4:$D$47,'_Supporto Listone'!B408)&gt;0,"Giacomo",IF(COUNTIF(Asta!$F$4:$F$47,'_Supporto Listone'!B408)&gt;0,"Niko",IF(COUNTIF(Asta!$H$4:$H$47,'_Supporto Listone'!B408)&gt;0,"Quici",IF(COUNTIF(Asta!$J$4:$J$47,'_Supporto Listone'!B408)&gt;0,"Fratello Quici",IF(COUNTIF(Asta!$L$4:$L$47,'_Supporto Listone'!B408)&gt;0,"Nicolò",IF(COUNTIF(Asta!$N$4:$N$47,'_Supporto Listone'!B408)&gt;0,"Vi",IF(COUNTIF(Asta!$P$4:$P$47,'_Supporto Listone'!B408)&gt;0,"Lore",IF(COUNTIF(Asta!$R$4:$R$47,'_Supporto Listone'!B408)&gt;0,"Robbo",IF(COUNTIF(Asta!$T$4:$T$47,'_Supporto Listone'!B408)&gt;0,"Ale",""))))))))))</x:f>
      </x:c>
      <x:c r="K408" s="495" t="str">
        <x:f>IF(COUNTIF(Asta!$B$4:$B$47,'_Supporto Listone'!B408)&gt;0,INDEX(Asta!$C$4:$C$47,MATCH('_Supporto Listone'!B408,Asta!$B$4:$B$47,0)),IF(COUNTIF(Asta!$D$4:$D$47,'_Supporto Listone'!B408)&gt;0,INDEX(Asta!$E$4:$E$47,MATCH('_Supporto Listone'!B408,Asta!$D$4:$D$47,0)),IF(COUNTIF(Asta!$F$4:$F$47,'_Supporto Listone'!B408)&gt;0,INDEX(Asta!$G$4:$G$47,MATCH('_Supporto Listone'!B408,Asta!$F$4:$F$47,0)),IF(COUNTIF(Asta!$H$4:$H$47,'_Supporto Listone'!B408)&gt;0,INDEX(Asta!$I$4:$I$47,MATCH('_Supporto Listone'!B408,Asta!$H$4:$H$47,0)),IF(COUNTIF(Asta!$J$4:$J$47,'_Supporto Listone'!B408)&gt;0,INDEX(Asta!$K$4:$K$47,MATCH('_Supporto Listone'!B408,Asta!$J$4:$J$47,0)),IF(COUNTIF(Asta!$L$4:$L$47,'_Supporto Listone'!B408)&gt;0,INDEX(Asta!$M$4:$M$47,MATCH('_Supporto Listone'!B408,Asta!$L$4:$L$47,0)),IF(COUNTIF(Asta!$N$4:$N$47,'_Supporto Listone'!B408)&gt;0,INDEX(Asta!$O$4:$O$47,MATCH('_Supporto Listone'!B408,Asta!$N$4:$N$47,0)),IF(COUNTIF(Asta!$P$4:$P$47,'_Supporto Listone'!B408)&gt;0,INDEX(Asta!$Q$4:$Q$47,MATCH('_Supporto Listone'!B408,Asta!$P$4:$P$47,0)),IF(COUNTIF(Asta!$R$4:$R$47,'_Supporto Listone'!B408)&gt;0,INDEX(Asta!$S$4:$S$47,MATCH('_Supporto Listone'!B408,Asta!$R$4:$R$47,0)),IF(COUNTIF(Asta!$T$4:$T$47,'_Supporto Listone'!B408)&gt;0,INDEX(Asta!$U$4:$U$47,MATCH('_Supporto Listone'!B408,Asta!$T$4:$T$47,0)),""))))))))))</x:f>
      </x:c>
    </x:row>
    <x:row r="409">
      <x:c r="A409" s="440" t="str">
        <x:f>IF($J409&lt;&gt;"",REGEXREPLACE(TO_TEXT('_Supporto Listone'!A409),"(.)","$1"&amp;UNICHAR(822)),'_Supporto Listone'!A409)</x:f>
        <x:v>C</x:v>
      </x:c>
      <x:c r="B409" s="441" t="str">
        <x:f>IF($J409&lt;&gt;"",REGEXREPLACE(TO_TEXT('_Supporto Listone'!B409),"(.)","$1"&amp;UNICHAR(822)),'_Supporto Listone'!B409)</x:f>
        <x:v>Belahyane</x:v>
      </x:c>
      <x:c r="C409" s="441" t="str">
        <x:f>IF($J409&lt;&gt;"",REGEXREPLACE(TO_TEXT('_Supporto Listone'!C409),"(.)","$1"&amp;UNICHAR(822)),'_Supporto Listone'!C409)</x:f>
        <x:v>Lazio</x:v>
      </x:c>
      <x:c r="D409" s="441" t="str">
        <x:f>IF($J409&lt;&gt;"",REGEXREPLACE(TO_TEXT('_Supporto Listone'!D409),"(.)","$1"&amp;UNICHAR(822)),'_Supporto Listone'!D409)</x:f>
        <x:v>M;C</x:v>
      </x:c>
      <x:c r="E409" s="441" t="str">
        <x:f>IF($J409&lt;&gt;"",REGEXREPLACE(TO_TEXT('_Supporto Listone'!E409),"(.)","$1"&amp;UNICHAR(822)),'_Supporto Listone'!E409)</x:f>
        <x:v>Riserva / rotazione</x:v>
      </x:c>
      <x:c r="F409" s="464" t="n">
        <x:f>IF($J409&lt;&gt;"",REGEXREPLACE(TO_TEXT('_Supporto Listone'!F409),"(.)","$1"&amp;UNICHAR(822)),'_Supporto Listone'!F409)</x:f>
        <x:v>1</x:v>
      </x:c>
      <x:c r="G409" s="464" t="n">
        <x:f>IF($J409&lt;&gt;"",REGEXREPLACE(TO_TEXT('_Supporto Listone'!G409),"(.)","$1"&amp;UNICHAR(822)),'_Supporto Listone'!G409)</x:f>
        <x:v>5</x:v>
      </x:c>
      <x:c r="H409" s="464" t="n">
        <x:f>IF($J409&lt;&gt;"",REGEXREPLACE(TO_TEXT('_Supporto Listone'!H409),"(.)","$1"&amp;UNICHAR(822)),'_Supporto Listone'!H409)</x:f>
        <x:v>3</x:v>
      </x:c>
      <x:c r="I409" s="442"/>
      <x:c r="J409" s="441" t="str">
        <x:f>IF(COUNTIF(Asta!$B$4:$B$47,'_Supporto Listone'!B409)&gt;0,"Simone",IF(COUNTIF(Asta!$D$4:$D$47,'_Supporto Listone'!B409)&gt;0,"Giacomo",IF(COUNTIF(Asta!$F$4:$F$47,'_Supporto Listone'!B409)&gt;0,"Niko",IF(COUNTIF(Asta!$H$4:$H$47,'_Supporto Listone'!B409)&gt;0,"Quici",IF(COUNTIF(Asta!$J$4:$J$47,'_Supporto Listone'!B409)&gt;0,"Fratello Quici",IF(COUNTIF(Asta!$L$4:$L$47,'_Supporto Listone'!B409)&gt;0,"Nicolò",IF(COUNTIF(Asta!$N$4:$N$47,'_Supporto Listone'!B409)&gt;0,"Vi",IF(COUNTIF(Asta!$P$4:$P$47,'_Supporto Listone'!B409)&gt;0,"Lore",IF(COUNTIF(Asta!$R$4:$R$47,'_Supporto Listone'!B409)&gt;0,"Robbo",IF(COUNTIF(Asta!$T$4:$T$47,'_Supporto Listone'!B409)&gt;0,"Ale",""))))))))))</x:f>
      </x:c>
      <x:c r="K409" s="495" t="str">
        <x:f>IF(COUNTIF(Asta!$B$4:$B$47,'_Supporto Listone'!B409)&gt;0,INDEX(Asta!$C$4:$C$47,MATCH('_Supporto Listone'!B409,Asta!$B$4:$B$47,0)),IF(COUNTIF(Asta!$D$4:$D$47,'_Supporto Listone'!B409)&gt;0,INDEX(Asta!$E$4:$E$47,MATCH('_Supporto Listone'!B409,Asta!$D$4:$D$47,0)),IF(COUNTIF(Asta!$F$4:$F$47,'_Supporto Listone'!B409)&gt;0,INDEX(Asta!$G$4:$G$47,MATCH('_Supporto Listone'!B409,Asta!$F$4:$F$47,0)),IF(COUNTIF(Asta!$H$4:$H$47,'_Supporto Listone'!B409)&gt;0,INDEX(Asta!$I$4:$I$47,MATCH('_Supporto Listone'!B409,Asta!$H$4:$H$47,0)),IF(COUNTIF(Asta!$J$4:$J$47,'_Supporto Listone'!B409)&gt;0,INDEX(Asta!$K$4:$K$47,MATCH('_Supporto Listone'!B409,Asta!$J$4:$J$47,0)),IF(COUNTIF(Asta!$L$4:$L$47,'_Supporto Listone'!B409)&gt;0,INDEX(Asta!$M$4:$M$47,MATCH('_Supporto Listone'!B409,Asta!$L$4:$L$47,0)),IF(COUNTIF(Asta!$N$4:$N$47,'_Supporto Listone'!B409)&gt;0,INDEX(Asta!$O$4:$O$47,MATCH('_Supporto Listone'!B409,Asta!$N$4:$N$47,0)),IF(COUNTIF(Asta!$P$4:$P$47,'_Supporto Listone'!B409)&gt;0,INDEX(Asta!$Q$4:$Q$47,MATCH('_Supporto Listone'!B409,Asta!$P$4:$P$47,0)),IF(COUNTIF(Asta!$R$4:$R$47,'_Supporto Listone'!B409)&gt;0,INDEX(Asta!$S$4:$S$47,MATCH('_Supporto Listone'!B409,Asta!$R$4:$R$47,0)),IF(COUNTIF(Asta!$T$4:$T$47,'_Supporto Listone'!B409)&gt;0,INDEX(Asta!$U$4:$U$47,MATCH('_Supporto Listone'!B409,Asta!$T$4:$T$47,0)),""))))))))))</x:f>
      </x:c>
    </x:row>
    <x:row r="410">
      <x:c r="A410" s="440" t="str">
        <x:f>IF($J410&lt;&gt;"",REGEXREPLACE(TO_TEXT('_Supporto Listone'!A410),"(.)","$1"&amp;UNICHAR(822)),'_Supporto Listone'!A410)</x:f>
        <x:v>C</x:v>
      </x:c>
      <x:c r="B410" s="441" t="str">
        <x:f>IF($J410&lt;&gt;"",REGEXREPLACE(TO_TEXT('_Supporto Listone'!B410),"(.)","$1"&amp;UNICHAR(822)),'_Supporto Listone'!B410)</x:f>
        <x:v>Przyborek</x:v>
      </x:c>
      <x:c r="C410" s="441" t="str">
        <x:f>IF($J410&lt;&gt;"",REGEXREPLACE(TO_TEXT('_Supporto Listone'!C410),"(.)","$1"&amp;UNICHAR(822)),'_Supporto Listone'!C410)</x:f>
        <x:v>Lazio</x:v>
      </x:c>
      <x:c r="D410" s="441" t="str">
        <x:f>IF($J410&lt;&gt;"",REGEXREPLACE(TO_TEXT('_Supporto Listone'!D410),"(.)","$1"&amp;UNICHAR(822)),'_Supporto Listone'!D410)</x:f>
        <x:v>W;T</x:v>
      </x:c>
      <x:c r="E410" s="441" t="str">
        <x:f>IF($J410&lt;&gt;"",REGEXREPLACE(TO_TEXT('_Supporto Listone'!E410),"(.)","$1"&amp;UNICHAR(822)),'_Supporto Listone'!E410)</x:f>
        <x:v>Riserva / rotazione</x:v>
      </x:c>
      <x:c r="F410" s="464" t="n">
        <x:f>IF($J410&lt;&gt;"",REGEXREPLACE(TO_TEXT('_Supporto Listone'!F410),"(.)","$1"&amp;UNICHAR(822)),'_Supporto Listone'!F410)</x:f>
        <x:v>1</x:v>
      </x:c>
      <x:c r="G410" s="464" t="n">
        <x:f>IF($J410&lt;&gt;"",REGEXREPLACE(TO_TEXT('_Supporto Listone'!G410),"(.)","$1"&amp;UNICHAR(822)),'_Supporto Listone'!G410)</x:f>
        <x:v>5</x:v>
      </x:c>
      <x:c r="H410" s="464" t="n">
        <x:f>IF($J410&lt;&gt;"",REGEXREPLACE(TO_TEXT('_Supporto Listone'!H410),"(.)","$1"&amp;UNICHAR(822)),'_Supporto Listone'!H410)</x:f>
        <x:v>3</x:v>
      </x:c>
      <x:c r="I410" s="442"/>
      <x:c r="J410" s="441" t="str">
        <x:f>IF(COUNTIF(Asta!$B$4:$B$47,'_Supporto Listone'!B410)&gt;0,"Simone",IF(COUNTIF(Asta!$D$4:$D$47,'_Supporto Listone'!B410)&gt;0,"Giacomo",IF(COUNTIF(Asta!$F$4:$F$47,'_Supporto Listone'!B410)&gt;0,"Niko",IF(COUNTIF(Asta!$H$4:$H$47,'_Supporto Listone'!B410)&gt;0,"Quici",IF(COUNTIF(Asta!$J$4:$J$47,'_Supporto Listone'!B410)&gt;0,"Fratello Quici",IF(COUNTIF(Asta!$L$4:$L$47,'_Supporto Listone'!B410)&gt;0,"Nicolò",IF(COUNTIF(Asta!$N$4:$N$47,'_Supporto Listone'!B410)&gt;0,"Vi",IF(COUNTIF(Asta!$P$4:$P$47,'_Supporto Listone'!B410)&gt;0,"Lore",IF(COUNTIF(Asta!$R$4:$R$47,'_Supporto Listone'!B410)&gt;0,"Robbo",IF(COUNTIF(Asta!$T$4:$T$47,'_Supporto Listone'!B410)&gt;0,"Ale",""))))))))))</x:f>
      </x:c>
      <x:c r="K410" s="495" t="str">
        <x:f>IF(COUNTIF(Asta!$B$4:$B$47,'_Supporto Listone'!B410)&gt;0,INDEX(Asta!$C$4:$C$47,MATCH('_Supporto Listone'!B410,Asta!$B$4:$B$47,0)),IF(COUNTIF(Asta!$D$4:$D$47,'_Supporto Listone'!B410)&gt;0,INDEX(Asta!$E$4:$E$47,MATCH('_Supporto Listone'!B410,Asta!$D$4:$D$47,0)),IF(COUNTIF(Asta!$F$4:$F$47,'_Supporto Listone'!B410)&gt;0,INDEX(Asta!$G$4:$G$47,MATCH('_Supporto Listone'!B410,Asta!$F$4:$F$47,0)),IF(COUNTIF(Asta!$H$4:$H$47,'_Supporto Listone'!B410)&gt;0,INDEX(Asta!$I$4:$I$47,MATCH('_Supporto Listone'!B410,Asta!$H$4:$H$47,0)),IF(COUNTIF(Asta!$J$4:$J$47,'_Supporto Listone'!B410)&gt;0,INDEX(Asta!$K$4:$K$47,MATCH('_Supporto Listone'!B410,Asta!$J$4:$J$47,0)),IF(COUNTIF(Asta!$L$4:$L$47,'_Supporto Listone'!B410)&gt;0,INDEX(Asta!$M$4:$M$47,MATCH('_Supporto Listone'!B410,Asta!$L$4:$L$47,0)),IF(COUNTIF(Asta!$N$4:$N$47,'_Supporto Listone'!B410)&gt;0,INDEX(Asta!$O$4:$O$47,MATCH('_Supporto Listone'!B410,Asta!$N$4:$N$47,0)),IF(COUNTIF(Asta!$P$4:$P$47,'_Supporto Listone'!B410)&gt;0,INDEX(Asta!$Q$4:$Q$47,MATCH('_Supporto Listone'!B410,Asta!$P$4:$P$47,0)),IF(COUNTIF(Asta!$R$4:$R$47,'_Supporto Listone'!B410)&gt;0,INDEX(Asta!$S$4:$S$47,MATCH('_Supporto Listone'!B410,Asta!$R$4:$R$47,0)),IF(COUNTIF(Asta!$T$4:$T$47,'_Supporto Listone'!B410)&gt;0,INDEX(Asta!$U$4:$U$47,MATCH('_Supporto Listone'!B410,Asta!$T$4:$T$47,0)),""))))))))))</x:f>
      </x:c>
    </x:row>
    <x:row r="411">
      <x:c r="A411" s="440" t="str">
        <x:f>IF($J411&lt;&gt;"",REGEXREPLACE(TO_TEXT('_Supporto Listone'!A411),"(.)","$1"&amp;UNICHAR(822)),'_Supporto Listone'!A411)</x:f>
        <x:v>C</x:v>
      </x:c>
      <x:c r="B411" s="441" t="str">
        <x:f>IF($J411&lt;&gt;"",REGEXREPLACE(TO_TEXT('_Supporto Listone'!B411),"(.)","$1"&amp;UNICHAR(822)),'_Supporto Listone'!B411)</x:f>
        <x:v>Fofana Sa.</x:v>
      </x:c>
      <x:c r="C411" s="441" t="str">
        <x:f>IF($J411&lt;&gt;"",REGEXREPLACE(TO_TEXT('_Supporto Listone'!C411),"(.)","$1"&amp;UNICHAR(822)),'_Supporto Listone'!C411)</x:f>
        <x:v>Lecce</x:v>
      </x:c>
      <x:c r="D411" s="441" t="str">
        <x:f>IF($J411&lt;&gt;"",REGEXREPLACE(TO_TEXT('_Supporto Listone'!D411),"(.)","$1"&amp;UNICHAR(822)),'_Supporto Listone'!D411)</x:f>
        <x:v>M;C</x:v>
      </x:c>
      <x:c r="E411" s="441" t="str">
        <x:f>IF($J411&lt;&gt;"",REGEXREPLACE(TO_TEXT('_Supporto Listone'!E411),"(.)","$1"&amp;UNICHAR(822)),'_Supporto Listone'!E411)</x:f>
        <x:v>Riserva / rotazione</x:v>
      </x:c>
      <x:c r="F411" s="464" t="n">
        <x:f>IF($J411&lt;&gt;"",REGEXREPLACE(TO_TEXT('_Supporto Listone'!F411),"(.)","$1"&amp;UNICHAR(822)),'_Supporto Listone'!F411)</x:f>
        <x:v>1</x:v>
      </x:c>
      <x:c r="G411" s="464" t="n">
        <x:f>IF($J411&lt;&gt;"",REGEXREPLACE(TO_TEXT('_Supporto Listone'!G411),"(.)","$1"&amp;UNICHAR(822)),'_Supporto Listone'!G411)</x:f>
        <x:v>1</x:v>
      </x:c>
      <x:c r="H411" s="464" t="n">
        <x:f>IF($J411&lt;&gt;"",REGEXREPLACE(TO_TEXT('_Supporto Listone'!H411),"(.)","$1"&amp;UNICHAR(822)),'_Supporto Listone'!H411)</x:f>
        <x:v>1</x:v>
      </x:c>
      <x:c r="I411" s="442"/>
      <x:c r="J411" s="441" t="str">
        <x:f>IF(COUNTIF(Asta!$B$4:$B$47,'_Supporto Listone'!B411)&gt;0,"Simone",IF(COUNTIF(Asta!$D$4:$D$47,'_Supporto Listone'!B411)&gt;0,"Giacomo",IF(COUNTIF(Asta!$F$4:$F$47,'_Supporto Listone'!B411)&gt;0,"Niko",IF(COUNTIF(Asta!$H$4:$H$47,'_Supporto Listone'!B411)&gt;0,"Quici",IF(COUNTIF(Asta!$J$4:$J$47,'_Supporto Listone'!B411)&gt;0,"Fratello Quici",IF(COUNTIF(Asta!$L$4:$L$47,'_Supporto Listone'!B411)&gt;0,"Nicolò",IF(COUNTIF(Asta!$N$4:$N$47,'_Supporto Listone'!B411)&gt;0,"Vi",IF(COUNTIF(Asta!$P$4:$P$47,'_Supporto Listone'!B411)&gt;0,"Lore",IF(COUNTIF(Asta!$R$4:$R$47,'_Supporto Listone'!B411)&gt;0,"Robbo",IF(COUNTIF(Asta!$T$4:$T$47,'_Supporto Listone'!B411)&gt;0,"Ale",""))))))))))</x:f>
      </x:c>
      <x:c r="K411" s="495" t="str">
        <x:f>IF(COUNTIF(Asta!$B$4:$B$47,'_Supporto Listone'!B411)&gt;0,INDEX(Asta!$C$4:$C$47,MATCH('_Supporto Listone'!B411,Asta!$B$4:$B$47,0)),IF(COUNTIF(Asta!$D$4:$D$47,'_Supporto Listone'!B411)&gt;0,INDEX(Asta!$E$4:$E$47,MATCH('_Supporto Listone'!B411,Asta!$D$4:$D$47,0)),IF(COUNTIF(Asta!$F$4:$F$47,'_Supporto Listone'!B411)&gt;0,INDEX(Asta!$G$4:$G$47,MATCH('_Supporto Listone'!B411,Asta!$F$4:$F$47,0)),IF(COUNTIF(Asta!$H$4:$H$47,'_Supporto Listone'!B411)&gt;0,INDEX(Asta!$I$4:$I$47,MATCH('_Supporto Listone'!B411,Asta!$H$4:$H$47,0)),IF(COUNTIF(Asta!$J$4:$J$47,'_Supporto Listone'!B411)&gt;0,INDEX(Asta!$K$4:$K$47,MATCH('_Supporto Listone'!B411,Asta!$J$4:$J$47,0)),IF(COUNTIF(Asta!$L$4:$L$47,'_Supporto Listone'!B411)&gt;0,INDEX(Asta!$M$4:$M$47,MATCH('_Supporto Listone'!B411,Asta!$L$4:$L$47,0)),IF(COUNTIF(Asta!$N$4:$N$47,'_Supporto Listone'!B411)&gt;0,INDEX(Asta!$O$4:$O$47,MATCH('_Supporto Listone'!B411,Asta!$N$4:$N$47,0)),IF(COUNTIF(Asta!$P$4:$P$47,'_Supporto Listone'!B411)&gt;0,INDEX(Asta!$Q$4:$Q$47,MATCH('_Supporto Listone'!B411,Asta!$P$4:$P$47,0)),IF(COUNTIF(Asta!$R$4:$R$47,'_Supporto Listone'!B411)&gt;0,INDEX(Asta!$S$4:$S$47,MATCH('_Supporto Listone'!B411,Asta!$R$4:$R$47,0)),IF(COUNTIF(Asta!$T$4:$T$47,'_Supporto Listone'!B411)&gt;0,INDEX(Asta!$U$4:$U$47,MATCH('_Supporto Listone'!B411,Asta!$T$4:$T$47,0)),""))))))))))</x:f>
      </x:c>
    </x:row>
    <x:row r="412">
      <x:c r="A412" s="440" t="str">
        <x:f>IF($J412&lt;&gt;"",REGEXREPLACE(TO_TEXT('_Supporto Listone'!A412),"(.)","$1"&amp;UNICHAR(822)),'_Supporto Listone'!A412)</x:f>
        <x:v>C</x:v>
      </x:c>
      <x:c r="B412" s="441" t="str">
        <x:f>IF($J412&lt;&gt;"",REGEXREPLACE(TO_TEXT('_Supporto Listone'!B412),"(.)","$1"&amp;UNICHAR(822)),'_Supporto Listone'!B412)</x:f>
        <x:v>Gorter</x:v>
      </x:c>
      <x:c r="C412" s="441" t="str">
        <x:f>IF($J412&lt;&gt;"",REGEXREPLACE(TO_TEXT('_Supporto Listone'!C412),"(.)","$1"&amp;UNICHAR(822)),'_Supporto Listone'!C412)</x:f>
        <x:v>Lecce</x:v>
      </x:c>
      <x:c r="D412" s="441" t="str">
        <x:f>IF($J412&lt;&gt;"",REGEXREPLACE(TO_TEXT('_Supporto Listone'!D412),"(.)","$1"&amp;UNICHAR(822)),'_Supporto Listone'!D412)</x:f>
        <x:v>M;C</x:v>
      </x:c>
      <x:c r="E412" s="441" t="str">
        <x:f>IF($J412&lt;&gt;"",REGEXREPLACE(TO_TEXT('_Supporto Listone'!E412),"(.)","$1"&amp;UNICHAR(822)),'_Supporto Listone'!E412)</x:f>
        <x:v>Riserva / rotazione</x:v>
      </x:c>
      <x:c r="F412" s="464" t="n">
        <x:f>IF($J412&lt;&gt;"",REGEXREPLACE(TO_TEXT('_Supporto Listone'!F412),"(.)","$1"&amp;UNICHAR(822)),'_Supporto Listone'!F412)</x:f>
        <x:v>1</x:v>
      </x:c>
      <x:c r="G412" s="464" t="n">
        <x:f>IF($J412&lt;&gt;"",REGEXREPLACE(TO_TEXT('_Supporto Listone'!G412),"(.)","$1"&amp;UNICHAR(822)),'_Supporto Listone'!G412)</x:f>
        <x:v>3</x:v>
      </x:c>
      <x:c r="H412" s="464" t="n">
        <x:f>IF($J412&lt;&gt;"",REGEXREPLACE(TO_TEXT('_Supporto Listone'!H412),"(.)","$1"&amp;UNICHAR(822)),'_Supporto Listone'!H412)</x:f>
        <x:v>2</x:v>
      </x:c>
      <x:c r="I412" s="442"/>
      <x:c r="J412" s="441" t="str">
        <x:f>IF(COUNTIF(Asta!$B$4:$B$47,'_Supporto Listone'!B412)&gt;0,"Simone",IF(COUNTIF(Asta!$D$4:$D$47,'_Supporto Listone'!B412)&gt;0,"Giacomo",IF(COUNTIF(Asta!$F$4:$F$47,'_Supporto Listone'!B412)&gt;0,"Niko",IF(COUNTIF(Asta!$H$4:$H$47,'_Supporto Listone'!B412)&gt;0,"Quici",IF(COUNTIF(Asta!$J$4:$J$47,'_Supporto Listone'!B412)&gt;0,"Fratello Quici",IF(COUNTIF(Asta!$L$4:$L$47,'_Supporto Listone'!B412)&gt;0,"Nicolò",IF(COUNTIF(Asta!$N$4:$N$47,'_Supporto Listone'!B412)&gt;0,"Vi",IF(COUNTIF(Asta!$P$4:$P$47,'_Supporto Listone'!B412)&gt;0,"Lore",IF(COUNTIF(Asta!$R$4:$R$47,'_Supporto Listone'!B412)&gt;0,"Robbo",IF(COUNTIF(Asta!$T$4:$T$47,'_Supporto Listone'!B412)&gt;0,"Ale",""))))))))))</x:f>
      </x:c>
      <x:c r="K412" s="495" t="str">
        <x:f>IF(COUNTIF(Asta!$B$4:$B$47,'_Supporto Listone'!B412)&gt;0,INDEX(Asta!$C$4:$C$47,MATCH('_Supporto Listone'!B412,Asta!$B$4:$B$47,0)),IF(COUNTIF(Asta!$D$4:$D$47,'_Supporto Listone'!B412)&gt;0,INDEX(Asta!$E$4:$E$47,MATCH('_Supporto Listone'!B412,Asta!$D$4:$D$47,0)),IF(COUNTIF(Asta!$F$4:$F$47,'_Supporto Listone'!B412)&gt;0,INDEX(Asta!$G$4:$G$47,MATCH('_Supporto Listone'!B412,Asta!$F$4:$F$47,0)),IF(COUNTIF(Asta!$H$4:$H$47,'_Supporto Listone'!B412)&gt;0,INDEX(Asta!$I$4:$I$47,MATCH('_Supporto Listone'!B412,Asta!$H$4:$H$47,0)),IF(COUNTIF(Asta!$J$4:$J$47,'_Supporto Listone'!B412)&gt;0,INDEX(Asta!$K$4:$K$47,MATCH('_Supporto Listone'!B412,Asta!$J$4:$J$47,0)),IF(COUNTIF(Asta!$L$4:$L$47,'_Supporto Listone'!B412)&gt;0,INDEX(Asta!$M$4:$M$47,MATCH('_Supporto Listone'!B412,Asta!$L$4:$L$47,0)),IF(COUNTIF(Asta!$N$4:$N$47,'_Supporto Listone'!B412)&gt;0,INDEX(Asta!$O$4:$O$47,MATCH('_Supporto Listone'!B412,Asta!$N$4:$N$47,0)),IF(COUNTIF(Asta!$P$4:$P$47,'_Supporto Listone'!B412)&gt;0,INDEX(Asta!$Q$4:$Q$47,MATCH('_Supporto Listone'!B412,Asta!$P$4:$P$47,0)),IF(COUNTIF(Asta!$R$4:$R$47,'_Supporto Listone'!B412)&gt;0,INDEX(Asta!$S$4:$S$47,MATCH('_Supporto Listone'!B412,Asta!$R$4:$R$47,0)),IF(COUNTIF(Asta!$T$4:$T$47,'_Supporto Listone'!B412)&gt;0,INDEX(Asta!$U$4:$U$47,MATCH('_Supporto Listone'!B412,Asta!$T$4:$T$47,0)),""))))))))))</x:f>
      </x:c>
    </x:row>
    <x:row r="413">
      <x:c r="A413" s="440" t="str">
        <x:f>IF($J413&lt;&gt;"",REGEXREPLACE(TO_TEXT('_Supporto Listone'!A413),"(.)","$1"&amp;UNICHAR(822)),'_Supporto Listone'!A413)</x:f>
        <x:v>C</x:v>
      </x:c>
      <x:c r="B413" s="441" t="str">
        <x:f>IF($J413&lt;&gt;"",REGEXREPLACE(TO_TEXT('_Supporto Listone'!B413),"(.)","$1"&amp;UNICHAR(822)),'_Supporto Listone'!B413)</x:f>
        <x:v>Kaba</x:v>
      </x:c>
      <x:c r="C413" s="441" t="str">
        <x:f>IF($J413&lt;&gt;"",REGEXREPLACE(TO_TEXT('_Supporto Listone'!C413),"(.)","$1"&amp;UNICHAR(822)),'_Supporto Listone'!C413)</x:f>
        <x:v>Lecce</x:v>
      </x:c>
      <x:c r="D413" s="441" t="str">
        <x:f>IF($J413&lt;&gt;"",REGEXREPLACE(TO_TEXT('_Supporto Listone'!D413),"(.)","$1"&amp;UNICHAR(822)),'_Supporto Listone'!D413)</x:f>
        <x:v>M;C</x:v>
      </x:c>
      <x:c r="E413" s="441" t="str">
        <x:f>IF($J413&lt;&gt;"",REGEXREPLACE(TO_TEXT('_Supporto Listone'!E413),"(.)","$1"&amp;UNICHAR(822)),'_Supporto Listone'!E413)</x:f>
        <x:v>Riserva / rotazione</x:v>
      </x:c>
      <x:c r="F413" s="464" t="n">
        <x:f>IF($J413&lt;&gt;"",REGEXREPLACE(TO_TEXT('_Supporto Listone'!F413),"(.)","$1"&amp;UNICHAR(822)),'_Supporto Listone'!F413)</x:f>
        <x:v>1</x:v>
      </x:c>
      <x:c r="G413" s="464" t="n">
        <x:f>IF($J413&lt;&gt;"",REGEXREPLACE(TO_TEXT('_Supporto Listone'!G413),"(.)","$1"&amp;UNICHAR(822)),'_Supporto Listone'!G413)</x:f>
        <x:v>2</x:v>
      </x:c>
      <x:c r="H413" s="464" t="n">
        <x:f>IF($J413&lt;&gt;"",REGEXREPLACE(TO_TEXT('_Supporto Listone'!H413),"(.)","$1"&amp;UNICHAR(822)),'_Supporto Listone'!H413)</x:f>
        <x:v>1</x:v>
      </x:c>
      <x:c r="I413" s="442"/>
      <x:c r="J413" s="441" t="str">
        <x:f>IF(COUNTIF(Asta!$B$4:$B$47,'_Supporto Listone'!B413)&gt;0,"Simone",IF(COUNTIF(Asta!$D$4:$D$47,'_Supporto Listone'!B413)&gt;0,"Giacomo",IF(COUNTIF(Asta!$F$4:$F$47,'_Supporto Listone'!B413)&gt;0,"Niko",IF(COUNTIF(Asta!$H$4:$H$47,'_Supporto Listone'!B413)&gt;0,"Quici",IF(COUNTIF(Asta!$J$4:$J$47,'_Supporto Listone'!B413)&gt;0,"Fratello Quici",IF(COUNTIF(Asta!$L$4:$L$47,'_Supporto Listone'!B413)&gt;0,"Nicolò",IF(COUNTIF(Asta!$N$4:$N$47,'_Supporto Listone'!B413)&gt;0,"Vi",IF(COUNTIF(Asta!$P$4:$P$47,'_Supporto Listone'!B413)&gt;0,"Lore",IF(COUNTIF(Asta!$R$4:$R$47,'_Supporto Listone'!B413)&gt;0,"Robbo",IF(COUNTIF(Asta!$T$4:$T$47,'_Supporto Listone'!B413)&gt;0,"Ale",""))))))))))</x:f>
      </x:c>
      <x:c r="K413" s="495" t="str">
        <x:f>IF(COUNTIF(Asta!$B$4:$B$47,'_Supporto Listone'!B413)&gt;0,INDEX(Asta!$C$4:$C$47,MATCH('_Supporto Listone'!B413,Asta!$B$4:$B$47,0)),IF(COUNTIF(Asta!$D$4:$D$47,'_Supporto Listone'!B413)&gt;0,INDEX(Asta!$E$4:$E$47,MATCH('_Supporto Listone'!B413,Asta!$D$4:$D$47,0)),IF(COUNTIF(Asta!$F$4:$F$47,'_Supporto Listone'!B413)&gt;0,INDEX(Asta!$G$4:$G$47,MATCH('_Supporto Listone'!B413,Asta!$F$4:$F$47,0)),IF(COUNTIF(Asta!$H$4:$H$47,'_Supporto Listone'!B413)&gt;0,INDEX(Asta!$I$4:$I$47,MATCH('_Supporto Listone'!B413,Asta!$H$4:$H$47,0)),IF(COUNTIF(Asta!$J$4:$J$47,'_Supporto Listone'!B413)&gt;0,INDEX(Asta!$K$4:$K$47,MATCH('_Supporto Listone'!B413,Asta!$J$4:$J$47,0)),IF(COUNTIF(Asta!$L$4:$L$47,'_Supporto Listone'!B413)&gt;0,INDEX(Asta!$M$4:$M$47,MATCH('_Supporto Listone'!B413,Asta!$L$4:$L$47,0)),IF(COUNTIF(Asta!$N$4:$N$47,'_Supporto Listone'!B413)&gt;0,INDEX(Asta!$O$4:$O$47,MATCH('_Supporto Listone'!B413,Asta!$N$4:$N$47,0)),IF(COUNTIF(Asta!$P$4:$P$47,'_Supporto Listone'!B413)&gt;0,INDEX(Asta!$Q$4:$Q$47,MATCH('_Supporto Listone'!B413,Asta!$P$4:$P$47,0)),IF(COUNTIF(Asta!$R$4:$R$47,'_Supporto Listone'!B413)&gt;0,INDEX(Asta!$S$4:$S$47,MATCH('_Supporto Listone'!B413,Asta!$R$4:$R$47,0)),IF(COUNTIF(Asta!$T$4:$T$47,'_Supporto Listone'!B413)&gt;0,INDEX(Asta!$U$4:$U$47,MATCH('_Supporto Listone'!B413,Asta!$T$4:$T$47,0)),""))))))))))</x:f>
      </x:c>
    </x:row>
    <x:row r="414">
      <x:c r="A414" s="440" t="str">
        <x:f>IF($J414&lt;&gt;"",REGEXREPLACE(TO_TEXT('_Supporto Listone'!A414),"(.)","$1"&amp;UNICHAR(822)),'_Supporto Listone'!A414)</x:f>
        <x:v>C</x:v>
      </x:c>
      <x:c r="B414" s="441" t="str">
        <x:f>IF($J414&lt;&gt;"",REGEXREPLACE(TO_TEXT('_Supporto Listone'!B414),"(.)","$1"&amp;UNICHAR(822)),'_Supporto Listone'!B414)</x:f>
        <x:v>Cremaschi</x:v>
      </x:c>
      <x:c r="C414" s="441" t="str">
        <x:f>IF($J414&lt;&gt;"",REGEXREPLACE(TO_TEXT('_Supporto Listone'!C414),"(.)","$1"&amp;UNICHAR(822)),'_Supporto Listone'!C414)</x:f>
        <x:v>Parma</x:v>
      </x:c>
      <x:c r="D414" s="441" t="str">
        <x:f>IF($J414&lt;&gt;"",REGEXREPLACE(TO_TEXT('_Supporto Listone'!D414),"(.)","$1"&amp;UNICHAR(822)),'_Supporto Listone'!D414)</x:f>
        <x:v>E;C</x:v>
      </x:c>
      <x:c r="E414" s="441" t="str">
        <x:f>IF($J414&lt;&gt;"",REGEXREPLACE(TO_TEXT('_Supporto Listone'!E414),"(.)","$1"&amp;UNICHAR(822)),'_Supporto Listone'!E414)</x:f>
        <x:v>Riserva / rotazione</x:v>
      </x:c>
      <x:c r="F414" s="464" t="n">
        <x:f>IF($J414&lt;&gt;"",REGEXREPLACE(TO_TEXT('_Supporto Listone'!F414),"(.)","$1"&amp;UNICHAR(822)),'_Supporto Listone'!F414)</x:f>
        <x:v>1</x:v>
      </x:c>
      <x:c r="G414" s="464" t="n">
        <x:f>IF($J414&lt;&gt;"",REGEXREPLACE(TO_TEXT('_Supporto Listone'!G414),"(.)","$1"&amp;UNICHAR(822)),'_Supporto Listone'!G414)</x:f>
        <x:v>3</x:v>
      </x:c>
      <x:c r="H414" s="464" t="n">
        <x:f>IF($J414&lt;&gt;"",REGEXREPLACE(TO_TEXT('_Supporto Listone'!H414),"(.)","$1"&amp;UNICHAR(822)),'_Supporto Listone'!H414)</x:f>
        <x:v>2</x:v>
      </x:c>
      <x:c r="I414" s="442"/>
      <x:c r="J414" s="441" t="str">
        <x:f>IF(COUNTIF(Asta!$B$4:$B$47,'_Supporto Listone'!B414)&gt;0,"Simone",IF(COUNTIF(Asta!$D$4:$D$47,'_Supporto Listone'!B414)&gt;0,"Giacomo",IF(COUNTIF(Asta!$F$4:$F$47,'_Supporto Listone'!B414)&gt;0,"Niko",IF(COUNTIF(Asta!$H$4:$H$47,'_Supporto Listone'!B414)&gt;0,"Quici",IF(COUNTIF(Asta!$J$4:$J$47,'_Supporto Listone'!B414)&gt;0,"Fratello Quici",IF(COUNTIF(Asta!$L$4:$L$47,'_Supporto Listone'!B414)&gt;0,"Nicolò",IF(COUNTIF(Asta!$N$4:$N$47,'_Supporto Listone'!B414)&gt;0,"Vi",IF(COUNTIF(Asta!$P$4:$P$47,'_Supporto Listone'!B414)&gt;0,"Lore",IF(COUNTIF(Asta!$R$4:$R$47,'_Supporto Listone'!B414)&gt;0,"Robbo",IF(COUNTIF(Asta!$T$4:$T$47,'_Supporto Listone'!B414)&gt;0,"Ale",""))))))))))</x:f>
      </x:c>
      <x:c r="K414" s="495" t="str">
        <x:f>IF(COUNTIF(Asta!$B$4:$B$47,'_Supporto Listone'!B414)&gt;0,INDEX(Asta!$C$4:$C$47,MATCH('_Supporto Listone'!B414,Asta!$B$4:$B$47,0)),IF(COUNTIF(Asta!$D$4:$D$47,'_Supporto Listone'!B414)&gt;0,INDEX(Asta!$E$4:$E$47,MATCH('_Supporto Listone'!B414,Asta!$D$4:$D$47,0)),IF(COUNTIF(Asta!$F$4:$F$47,'_Supporto Listone'!B414)&gt;0,INDEX(Asta!$G$4:$G$47,MATCH('_Supporto Listone'!B414,Asta!$F$4:$F$47,0)),IF(COUNTIF(Asta!$H$4:$H$47,'_Supporto Listone'!B414)&gt;0,INDEX(Asta!$I$4:$I$47,MATCH('_Supporto Listone'!B414,Asta!$H$4:$H$47,0)),IF(COUNTIF(Asta!$J$4:$J$47,'_Supporto Listone'!B414)&gt;0,INDEX(Asta!$K$4:$K$47,MATCH('_Supporto Listone'!B414,Asta!$J$4:$J$47,0)),IF(COUNTIF(Asta!$L$4:$L$47,'_Supporto Listone'!B414)&gt;0,INDEX(Asta!$M$4:$M$47,MATCH('_Supporto Listone'!B414,Asta!$L$4:$L$47,0)),IF(COUNTIF(Asta!$N$4:$N$47,'_Supporto Listone'!B414)&gt;0,INDEX(Asta!$O$4:$O$47,MATCH('_Supporto Listone'!B414,Asta!$N$4:$N$47,0)),IF(COUNTIF(Asta!$P$4:$P$47,'_Supporto Listone'!B414)&gt;0,INDEX(Asta!$Q$4:$Q$47,MATCH('_Supporto Listone'!B414,Asta!$P$4:$P$47,0)),IF(COUNTIF(Asta!$R$4:$R$47,'_Supporto Listone'!B414)&gt;0,INDEX(Asta!$S$4:$S$47,MATCH('_Supporto Listone'!B414,Asta!$R$4:$R$47,0)),IF(COUNTIF(Asta!$T$4:$T$47,'_Supporto Listone'!B414)&gt;0,INDEX(Asta!$U$4:$U$47,MATCH('_Supporto Listone'!B414,Asta!$T$4:$T$47,0)),""))))))))))</x:f>
      </x:c>
    </x:row>
    <x:row r="415">
      <x:c r="A415" s="440" t="str">
        <x:f>IF($J415&lt;&gt;"",REGEXREPLACE(TO_TEXT('_Supporto Listone'!A415),"(.)","$1"&amp;UNICHAR(822)),'_Supporto Listone'!A415)</x:f>
        <x:v>C</x:v>
      </x:c>
      <x:c r="B415" s="441" t="str">
        <x:f>IF($J415&lt;&gt;"",REGEXREPLACE(TO_TEXT('_Supporto Listone'!B415),"(.)","$1"&amp;UNICHAR(822)),'_Supporto Listone'!B415)</x:f>
        <x:v>Iannoni</x:v>
      </x:c>
      <x:c r="C415" s="441" t="str">
        <x:f>IF($J415&lt;&gt;"",REGEXREPLACE(TO_TEXT('_Supporto Listone'!C415),"(.)","$1"&amp;UNICHAR(822)),'_Supporto Listone'!C415)</x:f>
        <x:v>Sassuolo</x:v>
      </x:c>
      <x:c r="D415" s="441" t="str">
        <x:f>IF($J415&lt;&gt;"",REGEXREPLACE(TO_TEXT('_Supporto Listone'!D415),"(.)","$1"&amp;UNICHAR(822)),'_Supporto Listone'!D415)</x:f>
        <x:v>M;C</x:v>
      </x:c>
      <x:c r="E415" s="441" t="str">
        <x:f>IF($J415&lt;&gt;"",REGEXREPLACE(TO_TEXT('_Supporto Listone'!E415),"(.)","$1"&amp;UNICHAR(822)),'_Supporto Listone'!E415)</x:f>
        <x:v>Riserva / rotazione</x:v>
      </x:c>
      <x:c r="F415" s="464" t="n">
        <x:f>IF($J415&lt;&gt;"",REGEXREPLACE(TO_TEXT('_Supporto Listone'!F415),"(.)","$1"&amp;UNICHAR(822)),'_Supporto Listone'!F415)</x:f>
        <x:v>1</x:v>
      </x:c>
      <x:c r="G415" s="464" t="n">
        <x:f>IF($J415&lt;&gt;"",REGEXREPLACE(TO_TEXT('_Supporto Listone'!G415),"(.)","$1"&amp;UNICHAR(822)),'_Supporto Listone'!G415)</x:f>
        <x:v>1</x:v>
      </x:c>
      <x:c r="H415" s="464" t="n">
        <x:f>IF($J415&lt;&gt;"",REGEXREPLACE(TO_TEXT('_Supporto Listone'!H415),"(.)","$1"&amp;UNICHAR(822)),'_Supporto Listone'!H415)</x:f>
        <x:v>1</x:v>
      </x:c>
      <x:c r="I415" s="442"/>
      <x:c r="J415" s="441" t="str">
        <x:f>IF(COUNTIF(Asta!$B$4:$B$47,'_Supporto Listone'!B415)&gt;0,"Simone",IF(COUNTIF(Asta!$D$4:$D$47,'_Supporto Listone'!B415)&gt;0,"Giacomo",IF(COUNTIF(Asta!$F$4:$F$47,'_Supporto Listone'!B415)&gt;0,"Niko",IF(COUNTIF(Asta!$H$4:$H$47,'_Supporto Listone'!B415)&gt;0,"Quici",IF(COUNTIF(Asta!$J$4:$J$47,'_Supporto Listone'!B415)&gt;0,"Fratello Quici",IF(COUNTIF(Asta!$L$4:$L$47,'_Supporto Listone'!B415)&gt;0,"Nicolò",IF(COUNTIF(Asta!$N$4:$N$47,'_Supporto Listone'!B415)&gt;0,"Vi",IF(COUNTIF(Asta!$P$4:$P$47,'_Supporto Listone'!B415)&gt;0,"Lore",IF(COUNTIF(Asta!$R$4:$R$47,'_Supporto Listone'!B415)&gt;0,"Robbo",IF(COUNTIF(Asta!$T$4:$T$47,'_Supporto Listone'!B415)&gt;0,"Ale",""))))))))))</x:f>
      </x:c>
      <x:c r="K415" s="495" t="str">
        <x:f>IF(COUNTIF(Asta!$B$4:$B$47,'_Supporto Listone'!B415)&gt;0,INDEX(Asta!$C$4:$C$47,MATCH('_Supporto Listone'!B415,Asta!$B$4:$B$47,0)),IF(COUNTIF(Asta!$D$4:$D$47,'_Supporto Listone'!B415)&gt;0,INDEX(Asta!$E$4:$E$47,MATCH('_Supporto Listone'!B415,Asta!$D$4:$D$47,0)),IF(COUNTIF(Asta!$F$4:$F$47,'_Supporto Listone'!B415)&gt;0,INDEX(Asta!$G$4:$G$47,MATCH('_Supporto Listone'!B415,Asta!$F$4:$F$47,0)),IF(COUNTIF(Asta!$H$4:$H$47,'_Supporto Listone'!B415)&gt;0,INDEX(Asta!$I$4:$I$47,MATCH('_Supporto Listone'!B415,Asta!$H$4:$H$47,0)),IF(COUNTIF(Asta!$J$4:$J$47,'_Supporto Listone'!B415)&gt;0,INDEX(Asta!$K$4:$K$47,MATCH('_Supporto Listone'!B415,Asta!$J$4:$J$47,0)),IF(COUNTIF(Asta!$L$4:$L$47,'_Supporto Listone'!B415)&gt;0,INDEX(Asta!$M$4:$M$47,MATCH('_Supporto Listone'!B415,Asta!$L$4:$L$47,0)),IF(COUNTIF(Asta!$N$4:$N$47,'_Supporto Listone'!B415)&gt;0,INDEX(Asta!$O$4:$O$47,MATCH('_Supporto Listone'!B415,Asta!$N$4:$N$47,0)),IF(COUNTIF(Asta!$P$4:$P$47,'_Supporto Listone'!B415)&gt;0,INDEX(Asta!$Q$4:$Q$47,MATCH('_Supporto Listone'!B415,Asta!$P$4:$P$47,0)),IF(COUNTIF(Asta!$R$4:$R$47,'_Supporto Listone'!B415)&gt;0,INDEX(Asta!$S$4:$S$47,MATCH('_Supporto Listone'!B415,Asta!$R$4:$R$47,0)),IF(COUNTIF(Asta!$T$4:$T$47,'_Supporto Listone'!B415)&gt;0,INDEX(Asta!$U$4:$U$47,MATCH('_Supporto Listone'!B415,Asta!$T$4:$T$47,0)),""))))))))))</x:f>
      </x:c>
    </x:row>
    <x:row r="416">
      <x:c r="A416" s="440" t="str">
        <x:f>IF($J416&lt;&gt;"",REGEXREPLACE(TO_TEXT('_Supporto Listone'!A416),"(.)","$1"&amp;UNICHAR(822)),'_Supporto Listone'!A416)</x:f>
        <x:v>C</x:v>
      </x:c>
      <x:c r="B416" s="441" t="str">
        <x:f>IF($J416&lt;&gt;"",REGEXREPLACE(TO_TEXT('_Supporto Listone'!B416),"(.)","$1"&amp;UNICHAR(822)),'_Supporto Listone'!B416)</x:f>
        <x:v>Anjorin</x:v>
      </x:c>
      <x:c r="C416" s="441" t="str">
        <x:f>IF($J416&lt;&gt;"",REGEXREPLACE(TO_TEXT('_Supporto Listone'!C416),"(.)","$1"&amp;UNICHAR(822)),'_Supporto Listone'!C416)</x:f>
        <x:v>Torino</x:v>
      </x:c>
      <x:c r="D416" s="441" t="str">
        <x:f>IF($J416&lt;&gt;"",REGEXREPLACE(TO_TEXT('_Supporto Listone'!D416),"(.)","$1"&amp;UNICHAR(822)),'_Supporto Listone'!D416)</x:f>
        <x:v>C;T</x:v>
      </x:c>
      <x:c r="E416" s="441" t="str">
        <x:f>IF($J416&lt;&gt;"",REGEXREPLACE(TO_TEXT('_Supporto Listone'!E416),"(.)","$1"&amp;UNICHAR(822)),'_Supporto Listone'!E416)</x:f>
        <x:v>Riserva / rotazione</x:v>
      </x:c>
      <x:c r="F416" s="464" t="n">
        <x:f>IF($J416&lt;&gt;"",REGEXREPLACE(TO_TEXT('_Supporto Listone'!F416),"(.)","$1"&amp;UNICHAR(822)),'_Supporto Listone'!F416)</x:f>
        <x:v>1</x:v>
      </x:c>
      <x:c r="G416" s="464" t="n">
        <x:f>IF($J416&lt;&gt;"",REGEXREPLACE(TO_TEXT('_Supporto Listone'!G416),"(.)","$1"&amp;UNICHAR(822)),'_Supporto Listone'!G416)</x:f>
        <x:v>4</x:v>
      </x:c>
      <x:c r="H416" s="464" t="n">
        <x:f>IF($J416&lt;&gt;"",REGEXREPLACE(TO_TEXT('_Supporto Listone'!H416),"(.)","$1"&amp;UNICHAR(822)),'_Supporto Listone'!H416)</x:f>
        <x:v>2</x:v>
      </x:c>
      <x:c r="I416" s="442"/>
      <x:c r="J416" s="441" t="str">
        <x:f>IF(COUNTIF(Asta!$B$4:$B$47,'_Supporto Listone'!B416)&gt;0,"Simone",IF(COUNTIF(Asta!$D$4:$D$47,'_Supporto Listone'!B416)&gt;0,"Giacomo",IF(COUNTIF(Asta!$F$4:$F$47,'_Supporto Listone'!B416)&gt;0,"Niko",IF(COUNTIF(Asta!$H$4:$H$47,'_Supporto Listone'!B416)&gt;0,"Quici",IF(COUNTIF(Asta!$J$4:$J$47,'_Supporto Listone'!B416)&gt;0,"Fratello Quici",IF(COUNTIF(Asta!$L$4:$L$47,'_Supporto Listone'!B416)&gt;0,"Nicolò",IF(COUNTIF(Asta!$N$4:$N$47,'_Supporto Listone'!B416)&gt;0,"Vi",IF(COUNTIF(Asta!$P$4:$P$47,'_Supporto Listone'!B416)&gt;0,"Lore",IF(COUNTIF(Asta!$R$4:$R$47,'_Supporto Listone'!B416)&gt;0,"Robbo",IF(COUNTIF(Asta!$T$4:$T$47,'_Supporto Listone'!B416)&gt;0,"Ale",""))))))))))</x:f>
      </x:c>
      <x:c r="K416" s="495" t="str">
        <x:f>IF(COUNTIF(Asta!$B$4:$B$47,'_Supporto Listone'!B416)&gt;0,INDEX(Asta!$C$4:$C$47,MATCH('_Supporto Listone'!B416,Asta!$B$4:$B$47,0)),IF(COUNTIF(Asta!$D$4:$D$47,'_Supporto Listone'!B416)&gt;0,INDEX(Asta!$E$4:$E$47,MATCH('_Supporto Listone'!B416,Asta!$D$4:$D$47,0)),IF(COUNTIF(Asta!$F$4:$F$47,'_Supporto Listone'!B416)&gt;0,INDEX(Asta!$G$4:$G$47,MATCH('_Supporto Listone'!B416,Asta!$F$4:$F$47,0)),IF(COUNTIF(Asta!$H$4:$H$47,'_Supporto Listone'!B416)&gt;0,INDEX(Asta!$I$4:$I$47,MATCH('_Supporto Listone'!B416,Asta!$H$4:$H$47,0)),IF(COUNTIF(Asta!$J$4:$J$47,'_Supporto Listone'!B416)&gt;0,INDEX(Asta!$K$4:$K$47,MATCH('_Supporto Listone'!B416,Asta!$J$4:$J$47,0)),IF(COUNTIF(Asta!$L$4:$L$47,'_Supporto Listone'!B416)&gt;0,INDEX(Asta!$M$4:$M$47,MATCH('_Supporto Listone'!B416,Asta!$L$4:$L$47,0)),IF(COUNTIF(Asta!$N$4:$N$47,'_Supporto Listone'!B416)&gt;0,INDEX(Asta!$O$4:$O$47,MATCH('_Supporto Listone'!B416,Asta!$N$4:$N$47,0)),IF(COUNTIF(Asta!$P$4:$P$47,'_Supporto Listone'!B416)&gt;0,INDEX(Asta!$Q$4:$Q$47,MATCH('_Supporto Listone'!B416,Asta!$P$4:$P$47,0)),IF(COUNTIF(Asta!$R$4:$R$47,'_Supporto Listone'!B416)&gt;0,INDEX(Asta!$S$4:$S$47,MATCH('_Supporto Listone'!B416,Asta!$R$4:$R$47,0)),IF(COUNTIF(Asta!$T$4:$T$47,'_Supporto Listone'!B416)&gt;0,INDEX(Asta!$U$4:$U$47,MATCH('_Supporto Listone'!B416,Asta!$T$4:$T$47,0)),""))))))))))</x:f>
      </x:c>
    </x:row>
    <x:row r="417">
      <x:c r="A417" s="440" t="str">
        <x:f>IF($J417&lt;&gt;"",REGEXREPLACE(TO_TEXT('_Supporto Listone'!A417),"(.)","$1"&amp;UNICHAR(822)),'_Supporto Listone'!A417)</x:f>
        <x:v>C</x:v>
      </x:c>
      <x:c r="B417" s="441" t="str">
        <x:f>IF($J417&lt;&gt;"",REGEXREPLACE(TO_TEXT('_Supporto Listone'!B417),"(.)","$1"&amp;UNICHAR(822)),'_Supporto Listone'!B417)</x:f>
        <x:v>Ilic</x:v>
      </x:c>
      <x:c r="C417" s="441" t="str">
        <x:f>IF($J417&lt;&gt;"",REGEXREPLACE(TO_TEXT('_Supporto Listone'!C417),"(.)","$1"&amp;UNICHAR(822)),'_Supporto Listone'!C417)</x:f>
        <x:v>Torino</x:v>
      </x:c>
      <x:c r="D417" s="441" t="str">
        <x:f>IF($J417&lt;&gt;"",REGEXREPLACE(TO_TEXT('_Supporto Listone'!D417),"(.)","$1"&amp;UNICHAR(822)),'_Supporto Listone'!D417)</x:f>
        <x:v>C</x:v>
      </x:c>
      <x:c r="E417" s="441" t="str">
        <x:f>IF($J417&lt;&gt;"",REGEXREPLACE(TO_TEXT('_Supporto Listone'!E417),"(.)","$1"&amp;UNICHAR(822)),'_Supporto Listone'!E417)</x:f>
        <x:v>Riserva / rotazione</x:v>
      </x:c>
      <x:c r="F417" s="464" t="n">
        <x:f>IF($J417&lt;&gt;"",REGEXREPLACE(TO_TEXT('_Supporto Listone'!F417),"(.)","$1"&amp;UNICHAR(822)),'_Supporto Listone'!F417)</x:f>
        <x:v>1</x:v>
      </x:c>
      <x:c r="G417" s="464" t="n">
        <x:f>IF($J417&lt;&gt;"",REGEXREPLACE(TO_TEXT('_Supporto Listone'!G417),"(.)","$1"&amp;UNICHAR(822)),'_Supporto Listone'!G417)</x:f>
        <x:v>4</x:v>
      </x:c>
      <x:c r="H417" s="464" t="n">
        <x:f>IF($J417&lt;&gt;"",REGEXREPLACE(TO_TEXT('_Supporto Listone'!H417),"(.)","$1"&amp;UNICHAR(822)),'_Supporto Listone'!H417)</x:f>
        <x:v>2</x:v>
      </x:c>
      <x:c r="I417" s="442"/>
      <x:c r="J417" s="441" t="str">
        <x:f>IF(COUNTIF(Asta!$B$4:$B$47,'_Supporto Listone'!B417)&gt;0,"Simone",IF(COUNTIF(Asta!$D$4:$D$47,'_Supporto Listone'!B417)&gt;0,"Giacomo",IF(COUNTIF(Asta!$F$4:$F$47,'_Supporto Listone'!B417)&gt;0,"Niko",IF(COUNTIF(Asta!$H$4:$H$47,'_Supporto Listone'!B417)&gt;0,"Quici",IF(COUNTIF(Asta!$J$4:$J$47,'_Supporto Listone'!B417)&gt;0,"Fratello Quici",IF(COUNTIF(Asta!$L$4:$L$47,'_Supporto Listone'!B417)&gt;0,"Nicolò",IF(COUNTIF(Asta!$N$4:$N$47,'_Supporto Listone'!B417)&gt;0,"Vi",IF(COUNTIF(Asta!$P$4:$P$47,'_Supporto Listone'!B417)&gt;0,"Lore",IF(COUNTIF(Asta!$R$4:$R$47,'_Supporto Listone'!B417)&gt;0,"Robbo",IF(COUNTIF(Asta!$T$4:$T$47,'_Supporto Listone'!B417)&gt;0,"Ale",""))))))))))</x:f>
      </x:c>
      <x:c r="K417" s="495" t="str">
        <x:f>IF(COUNTIF(Asta!$B$4:$B$47,'_Supporto Listone'!B417)&gt;0,INDEX(Asta!$C$4:$C$47,MATCH('_Supporto Listone'!B417,Asta!$B$4:$B$47,0)),IF(COUNTIF(Asta!$D$4:$D$47,'_Supporto Listone'!B417)&gt;0,INDEX(Asta!$E$4:$E$47,MATCH('_Supporto Listone'!B417,Asta!$D$4:$D$47,0)),IF(COUNTIF(Asta!$F$4:$F$47,'_Supporto Listone'!B417)&gt;0,INDEX(Asta!$G$4:$G$47,MATCH('_Supporto Listone'!B417,Asta!$F$4:$F$47,0)),IF(COUNTIF(Asta!$H$4:$H$47,'_Supporto Listone'!B417)&gt;0,INDEX(Asta!$I$4:$I$47,MATCH('_Supporto Listone'!B417,Asta!$H$4:$H$47,0)),IF(COUNTIF(Asta!$J$4:$J$47,'_Supporto Listone'!B417)&gt;0,INDEX(Asta!$K$4:$K$47,MATCH('_Supporto Listone'!B417,Asta!$J$4:$J$47,0)),IF(COUNTIF(Asta!$L$4:$L$47,'_Supporto Listone'!B417)&gt;0,INDEX(Asta!$M$4:$M$47,MATCH('_Supporto Listone'!B417,Asta!$L$4:$L$47,0)),IF(COUNTIF(Asta!$N$4:$N$47,'_Supporto Listone'!B417)&gt;0,INDEX(Asta!$O$4:$O$47,MATCH('_Supporto Listone'!B417,Asta!$N$4:$N$47,0)),IF(COUNTIF(Asta!$P$4:$P$47,'_Supporto Listone'!B417)&gt;0,INDEX(Asta!$Q$4:$Q$47,MATCH('_Supporto Listone'!B417,Asta!$P$4:$P$47,0)),IF(COUNTIF(Asta!$R$4:$R$47,'_Supporto Listone'!B417)&gt;0,INDEX(Asta!$S$4:$S$47,MATCH('_Supporto Listone'!B417,Asta!$R$4:$R$47,0)),IF(COUNTIF(Asta!$T$4:$T$47,'_Supporto Listone'!B417)&gt;0,INDEX(Asta!$U$4:$U$47,MATCH('_Supporto Listone'!B417,Asta!$T$4:$T$47,0)),""))))))))))</x:f>
      </x:c>
    </x:row>
    <x:row r="418">
      <x:c r="A418" s="440" t="str">
        <x:f>IF($J418&lt;&gt;"",REGEXREPLACE(TO_TEXT('_Supporto Listone'!A418),"(.)","$1"&amp;UNICHAR(822)),'_Supporto Listone'!A418)</x:f>
        <x:v>C</x:v>
      </x:c>
      <x:c r="B418" s="441" t="str">
        <x:f>IF($J418&lt;&gt;"",REGEXREPLACE(TO_TEXT('_Supporto Listone'!B418),"(.)","$1"&amp;UNICHAR(822)),'_Supporto Listone'!B418)</x:f>
        <x:v>Camara A.</x:v>
      </x:c>
      <x:c r="C418" s="441" t="str">
        <x:f>IF($J418&lt;&gt;"",REGEXREPLACE(TO_TEXT('_Supporto Listone'!C418),"(.)","$1"&amp;UNICHAR(822)),'_Supporto Listone'!C418)</x:f>
        <x:v>Udinese</x:v>
      </x:c>
      <x:c r="D418" s="441" t="str">
        <x:f>IF($J418&lt;&gt;"",REGEXREPLACE(TO_TEXT('_Supporto Listone'!D418),"(.)","$1"&amp;UNICHAR(822)),'_Supporto Listone'!D418)</x:f>
        <x:v>M;C</x:v>
      </x:c>
      <x:c r="E418" s="441" t="str">
        <x:f>IF($J418&lt;&gt;"",REGEXREPLACE(TO_TEXT('_Supporto Listone'!E418),"(.)","$1"&amp;UNICHAR(822)),'_Supporto Listone'!E418)</x:f>
        <x:v>Riserva / rotazione</x:v>
      </x:c>
      <x:c r="F418" s="464" t="n">
        <x:f>IF($J418&lt;&gt;"",REGEXREPLACE(TO_TEXT('_Supporto Listone'!F418),"(.)","$1"&amp;UNICHAR(822)),'_Supporto Listone'!F418)</x:f>
        <x:v>1</x:v>
      </x:c>
      <x:c r="G418" s="464" t="n">
        <x:f>IF($J418&lt;&gt;"",REGEXREPLACE(TO_TEXT('_Supporto Listone'!G418),"(.)","$1"&amp;UNICHAR(822)),'_Supporto Listone'!G418)</x:f>
        <x:v>3</x:v>
      </x:c>
      <x:c r="H418" s="464" t="n">
        <x:f>IF($J418&lt;&gt;"",REGEXREPLACE(TO_TEXT('_Supporto Listone'!H418),"(.)","$1"&amp;UNICHAR(822)),'_Supporto Listone'!H418)</x:f>
        <x:v>2</x:v>
      </x:c>
      <x:c r="I418" s="442"/>
      <x:c r="J418" s="441" t="str">
        <x:f>IF(COUNTIF(Asta!$B$4:$B$47,'_Supporto Listone'!B418)&gt;0,"Simone",IF(COUNTIF(Asta!$D$4:$D$47,'_Supporto Listone'!B418)&gt;0,"Giacomo",IF(COUNTIF(Asta!$F$4:$F$47,'_Supporto Listone'!B418)&gt;0,"Niko",IF(COUNTIF(Asta!$H$4:$H$47,'_Supporto Listone'!B418)&gt;0,"Quici",IF(COUNTIF(Asta!$J$4:$J$47,'_Supporto Listone'!B418)&gt;0,"Fratello Quici",IF(COUNTIF(Asta!$L$4:$L$47,'_Supporto Listone'!B418)&gt;0,"Nicolò",IF(COUNTIF(Asta!$N$4:$N$47,'_Supporto Listone'!B418)&gt;0,"Vi",IF(COUNTIF(Asta!$P$4:$P$47,'_Supporto Listone'!B418)&gt;0,"Lore",IF(COUNTIF(Asta!$R$4:$R$47,'_Supporto Listone'!B418)&gt;0,"Robbo",IF(COUNTIF(Asta!$T$4:$T$47,'_Supporto Listone'!B418)&gt;0,"Ale",""))))))))))</x:f>
      </x:c>
      <x:c r="K418" s="495" t="str">
        <x:f>IF(COUNTIF(Asta!$B$4:$B$47,'_Supporto Listone'!B418)&gt;0,INDEX(Asta!$C$4:$C$47,MATCH('_Supporto Listone'!B418,Asta!$B$4:$B$47,0)),IF(COUNTIF(Asta!$D$4:$D$47,'_Supporto Listone'!B418)&gt;0,INDEX(Asta!$E$4:$E$47,MATCH('_Supporto Listone'!B418,Asta!$D$4:$D$47,0)),IF(COUNTIF(Asta!$F$4:$F$47,'_Supporto Listone'!B418)&gt;0,INDEX(Asta!$G$4:$G$47,MATCH('_Supporto Listone'!B418,Asta!$F$4:$F$47,0)),IF(COUNTIF(Asta!$H$4:$H$47,'_Supporto Listone'!B418)&gt;0,INDEX(Asta!$I$4:$I$47,MATCH('_Supporto Listone'!B418,Asta!$H$4:$H$47,0)),IF(COUNTIF(Asta!$J$4:$J$47,'_Supporto Listone'!B418)&gt;0,INDEX(Asta!$K$4:$K$47,MATCH('_Supporto Listone'!B418,Asta!$J$4:$J$47,0)),IF(COUNTIF(Asta!$L$4:$L$47,'_Supporto Listone'!B418)&gt;0,INDEX(Asta!$M$4:$M$47,MATCH('_Supporto Listone'!B418,Asta!$L$4:$L$47,0)),IF(COUNTIF(Asta!$N$4:$N$47,'_Supporto Listone'!B418)&gt;0,INDEX(Asta!$O$4:$O$47,MATCH('_Supporto Listone'!B418,Asta!$N$4:$N$47,0)),IF(COUNTIF(Asta!$P$4:$P$47,'_Supporto Listone'!B418)&gt;0,INDEX(Asta!$Q$4:$Q$47,MATCH('_Supporto Listone'!B418,Asta!$P$4:$P$47,0)),IF(COUNTIF(Asta!$R$4:$R$47,'_Supporto Listone'!B418)&gt;0,INDEX(Asta!$S$4:$S$47,MATCH('_Supporto Listone'!B418,Asta!$R$4:$R$47,0)),IF(COUNTIF(Asta!$T$4:$T$47,'_Supporto Listone'!B418)&gt;0,INDEX(Asta!$U$4:$U$47,MATCH('_Supporto Listone'!B418,Asta!$T$4:$T$47,0)),""))))))))))</x:f>
      </x:c>
    </x:row>
    <x:row r="419">
      <x:c r="A419" s="440" t="str">
        <x:f>IF($J419&lt;&gt;"",REGEXREPLACE(TO_TEXT('_Supporto Listone'!A419),"(.)","$1"&amp;UNICHAR(822)),'_Supporto Listone'!A419)</x:f>
        <x:v>C</x:v>
      </x:c>
      <x:c r="B419" s="441" t="str">
        <x:f>IF($J419&lt;&gt;"",REGEXREPLACE(TO_TEXT('_Supporto Listone'!B419),"(.)","$1"&amp;UNICHAR(822)),'_Supporto Listone'!B419)</x:f>
        <x:v>Zarraga</x:v>
      </x:c>
      <x:c r="C419" s="441" t="str">
        <x:f>IF($J419&lt;&gt;"",REGEXREPLACE(TO_TEXT('_Supporto Listone'!C419),"(.)","$1"&amp;UNICHAR(822)),'_Supporto Listone'!C419)</x:f>
        <x:v>Udinese</x:v>
      </x:c>
      <x:c r="D419" s="441" t="str">
        <x:f>IF($J419&lt;&gt;"",REGEXREPLACE(TO_TEXT('_Supporto Listone'!D419),"(.)","$1"&amp;UNICHAR(822)),'_Supporto Listone'!D419)</x:f>
        <x:v>M;C</x:v>
      </x:c>
      <x:c r="E419" s="441" t="str">
        <x:f>IF($J419&lt;&gt;"",REGEXREPLACE(TO_TEXT('_Supporto Listone'!E419),"(.)","$1"&amp;UNICHAR(822)),'_Supporto Listone'!E419)</x:f>
        <x:v>Riserva / rotazione</x:v>
      </x:c>
      <x:c r="F419" s="464" t="n">
        <x:f>IF($J419&lt;&gt;"",REGEXREPLACE(TO_TEXT('_Supporto Listone'!F419),"(.)","$1"&amp;UNICHAR(822)),'_Supporto Listone'!F419)</x:f>
        <x:v>1</x:v>
      </x:c>
      <x:c r="G419" s="464" t="n">
        <x:f>IF($J419&lt;&gt;"",REGEXREPLACE(TO_TEXT('_Supporto Listone'!G419),"(.)","$1"&amp;UNICHAR(822)),'_Supporto Listone'!G419)</x:f>
        <x:v>4</x:v>
      </x:c>
      <x:c r="H419" s="464" t="n">
        <x:f>IF($J419&lt;&gt;"",REGEXREPLACE(TO_TEXT('_Supporto Listone'!H419),"(.)","$1"&amp;UNICHAR(822)),'_Supporto Listone'!H419)</x:f>
        <x:v>2</x:v>
      </x:c>
      <x:c r="I419" s="442"/>
      <x:c r="J419" s="441" t="str">
        <x:f>IF(COUNTIF(Asta!$B$4:$B$47,'_Supporto Listone'!B419)&gt;0,"Simone",IF(COUNTIF(Asta!$D$4:$D$47,'_Supporto Listone'!B419)&gt;0,"Giacomo",IF(COUNTIF(Asta!$F$4:$F$47,'_Supporto Listone'!B419)&gt;0,"Niko",IF(COUNTIF(Asta!$H$4:$H$47,'_Supporto Listone'!B419)&gt;0,"Quici",IF(COUNTIF(Asta!$J$4:$J$47,'_Supporto Listone'!B419)&gt;0,"Fratello Quici",IF(COUNTIF(Asta!$L$4:$L$47,'_Supporto Listone'!B419)&gt;0,"Nicolò",IF(COUNTIF(Asta!$N$4:$N$47,'_Supporto Listone'!B419)&gt;0,"Vi",IF(COUNTIF(Asta!$P$4:$P$47,'_Supporto Listone'!B419)&gt;0,"Lore",IF(COUNTIF(Asta!$R$4:$R$47,'_Supporto Listone'!B419)&gt;0,"Robbo",IF(COUNTIF(Asta!$T$4:$T$47,'_Supporto Listone'!B419)&gt;0,"Ale",""))))))))))</x:f>
      </x:c>
      <x:c r="K419" s="495" t="str">
        <x:f>IF(COUNTIF(Asta!$B$4:$B$47,'_Supporto Listone'!B419)&gt;0,INDEX(Asta!$C$4:$C$47,MATCH('_Supporto Listone'!B419,Asta!$B$4:$B$47,0)),IF(COUNTIF(Asta!$D$4:$D$47,'_Supporto Listone'!B419)&gt;0,INDEX(Asta!$E$4:$E$47,MATCH('_Supporto Listone'!B419,Asta!$D$4:$D$47,0)),IF(COUNTIF(Asta!$F$4:$F$47,'_Supporto Listone'!B419)&gt;0,INDEX(Asta!$G$4:$G$47,MATCH('_Supporto Listone'!B419,Asta!$F$4:$F$47,0)),IF(COUNTIF(Asta!$H$4:$H$47,'_Supporto Listone'!B419)&gt;0,INDEX(Asta!$I$4:$I$47,MATCH('_Supporto Listone'!B419,Asta!$H$4:$H$47,0)),IF(COUNTIF(Asta!$J$4:$J$47,'_Supporto Listone'!B419)&gt;0,INDEX(Asta!$K$4:$K$47,MATCH('_Supporto Listone'!B419,Asta!$J$4:$J$47,0)),IF(COUNTIF(Asta!$L$4:$L$47,'_Supporto Listone'!B419)&gt;0,INDEX(Asta!$M$4:$M$47,MATCH('_Supporto Listone'!B419,Asta!$L$4:$L$47,0)),IF(COUNTIF(Asta!$N$4:$N$47,'_Supporto Listone'!B419)&gt;0,INDEX(Asta!$O$4:$O$47,MATCH('_Supporto Listone'!B419,Asta!$N$4:$N$47,0)),IF(COUNTIF(Asta!$P$4:$P$47,'_Supporto Listone'!B419)&gt;0,INDEX(Asta!$Q$4:$Q$47,MATCH('_Supporto Listone'!B419,Asta!$P$4:$P$47,0)),IF(COUNTIF(Asta!$R$4:$R$47,'_Supporto Listone'!B419)&gt;0,INDEX(Asta!$S$4:$S$47,MATCH('_Supporto Listone'!B419,Asta!$R$4:$R$47,0)),IF(COUNTIF(Asta!$T$4:$T$47,'_Supporto Listone'!B419)&gt;0,INDEX(Asta!$U$4:$U$47,MATCH('_Supporto Listone'!B419,Asta!$T$4:$T$47,0)),""))))))))))</x:f>
      </x:c>
    </x:row>
    <x:row r="420">
      <x:c r="A420" s="440" t="str">
        <x:f>IF($J420&lt;&gt;"",REGEXREPLACE(TO_TEXT('_Supporto Listone'!A420),"(.)","$1"&amp;UNICHAR(822)),'_Supporto Listone'!A420)</x:f>
        <x:v>C</x:v>
      </x:c>
      <x:c r="B420" s="441" t="str">
        <x:f>IF($J420&lt;&gt;"",REGEXREPLACE(TO_TEXT('_Supporto Listone'!B420),"(.)","$1"&amp;UNICHAR(822)),'_Supporto Listone'!B420)</x:f>
        <x:v>Bjarkason</x:v>
      </x:c>
      <x:c r="C420" s="441" t="str">
        <x:f>IF($J420&lt;&gt;"",REGEXREPLACE(TO_TEXT('_Supporto Listone'!C420),"(.)","$1"&amp;UNICHAR(822)),'_Supporto Listone'!C420)</x:f>
        <x:v>Venezia</x:v>
      </x:c>
      <x:c r="D420" s="441" t="str">
        <x:f>IF($J420&lt;&gt;"",REGEXREPLACE(TO_TEXT('_Supporto Listone'!D420),"(.)","$1"&amp;UNICHAR(822)),'_Supporto Listone'!D420)</x:f>
        <x:v>E;W</x:v>
      </x:c>
      <x:c r="E420" s="441" t="str">
        <x:f>IF($J420&lt;&gt;"",REGEXREPLACE(TO_TEXT('_Supporto Listone'!E420),"(.)","$1"&amp;UNICHAR(822)),'_Supporto Listone'!E420)</x:f>
        <x:v>Riserva / rotazione</x:v>
      </x:c>
      <x:c r="F420" s="464" t="n">
        <x:f>IF($J420&lt;&gt;"",REGEXREPLACE(TO_TEXT('_Supporto Listone'!F420),"(.)","$1"&amp;UNICHAR(822)),'_Supporto Listone'!F420)</x:f>
        <x:v>1</x:v>
      </x:c>
      <x:c r="G420" s="464" t="n">
        <x:f>IF($J420&lt;&gt;"",REGEXREPLACE(TO_TEXT('_Supporto Listone'!G420),"(.)","$1"&amp;UNICHAR(822)),'_Supporto Listone'!G420)</x:f>
        <x:v>3</x:v>
      </x:c>
      <x:c r="H420" s="464" t="n">
        <x:f>IF($J420&lt;&gt;"",REGEXREPLACE(TO_TEXT('_Supporto Listone'!H420),"(.)","$1"&amp;UNICHAR(822)),'_Supporto Listone'!H420)</x:f>
        <x:v>2</x:v>
      </x:c>
      <x:c r="I420" s="442"/>
      <x:c r="J420" s="441" t="str">
        <x:f>IF(COUNTIF(Asta!$B$4:$B$47,'_Supporto Listone'!B420)&gt;0,"Simone",IF(COUNTIF(Asta!$D$4:$D$47,'_Supporto Listone'!B420)&gt;0,"Giacomo",IF(COUNTIF(Asta!$F$4:$F$47,'_Supporto Listone'!B420)&gt;0,"Niko",IF(COUNTIF(Asta!$H$4:$H$47,'_Supporto Listone'!B420)&gt;0,"Quici",IF(COUNTIF(Asta!$J$4:$J$47,'_Supporto Listone'!B420)&gt;0,"Fratello Quici",IF(COUNTIF(Asta!$L$4:$L$47,'_Supporto Listone'!B420)&gt;0,"Nicolò",IF(COUNTIF(Asta!$N$4:$N$47,'_Supporto Listone'!B420)&gt;0,"Vi",IF(COUNTIF(Asta!$P$4:$P$47,'_Supporto Listone'!B420)&gt;0,"Lore",IF(COUNTIF(Asta!$R$4:$R$47,'_Supporto Listone'!B420)&gt;0,"Robbo",IF(COUNTIF(Asta!$T$4:$T$47,'_Supporto Listone'!B420)&gt;0,"Ale",""))))))))))</x:f>
      </x:c>
      <x:c r="K420" s="495" t="str">
        <x:f>IF(COUNTIF(Asta!$B$4:$B$47,'_Supporto Listone'!B420)&gt;0,INDEX(Asta!$C$4:$C$47,MATCH('_Supporto Listone'!B420,Asta!$B$4:$B$47,0)),IF(COUNTIF(Asta!$D$4:$D$47,'_Supporto Listone'!B420)&gt;0,INDEX(Asta!$E$4:$E$47,MATCH('_Supporto Listone'!B420,Asta!$D$4:$D$47,0)),IF(COUNTIF(Asta!$F$4:$F$47,'_Supporto Listone'!B420)&gt;0,INDEX(Asta!$G$4:$G$47,MATCH('_Supporto Listone'!B420,Asta!$F$4:$F$47,0)),IF(COUNTIF(Asta!$H$4:$H$47,'_Supporto Listone'!B420)&gt;0,INDEX(Asta!$I$4:$I$47,MATCH('_Supporto Listone'!B420,Asta!$H$4:$H$47,0)),IF(COUNTIF(Asta!$J$4:$J$47,'_Supporto Listone'!B420)&gt;0,INDEX(Asta!$K$4:$K$47,MATCH('_Supporto Listone'!B420,Asta!$J$4:$J$47,0)),IF(COUNTIF(Asta!$L$4:$L$47,'_Supporto Listone'!B420)&gt;0,INDEX(Asta!$M$4:$M$47,MATCH('_Supporto Listone'!B420,Asta!$L$4:$L$47,0)),IF(COUNTIF(Asta!$N$4:$N$47,'_Supporto Listone'!B420)&gt;0,INDEX(Asta!$O$4:$O$47,MATCH('_Supporto Listone'!B420,Asta!$N$4:$N$47,0)),IF(COUNTIF(Asta!$P$4:$P$47,'_Supporto Listone'!B420)&gt;0,INDEX(Asta!$Q$4:$Q$47,MATCH('_Supporto Listone'!B420,Asta!$P$4:$P$47,0)),IF(COUNTIF(Asta!$R$4:$R$47,'_Supporto Listone'!B420)&gt;0,INDEX(Asta!$S$4:$S$47,MATCH('_Supporto Listone'!B420,Asta!$R$4:$R$47,0)),IF(COUNTIF(Asta!$T$4:$T$47,'_Supporto Listone'!B420)&gt;0,INDEX(Asta!$U$4:$U$47,MATCH('_Supporto Listone'!B420,Asta!$T$4:$T$47,0)),""))))))))))</x:f>
      </x:c>
    </x:row>
    <x:row r="421">
      <x:c r="A421" s="444" t="str">
        <x:f>IF($J421&lt;&gt;"",REGEXREPLACE(TO_TEXT('_Supporto Listone'!A421),"(.)","$1"&amp;UNICHAR(822)),'_Supporto Listone'!A421)</x:f>
        <x:v>C</x:v>
      </x:c>
      <x:c r="B421" s="445" t="str">
        <x:f>IF($J421&lt;&gt;"",REGEXREPLACE(TO_TEXT('_Supporto Listone'!B421),"(.)","$1"&amp;UNICHAR(822)),'_Supporto Listone'!B421)</x:f>
        <x:v>Dagasso</x:v>
      </x:c>
      <x:c r="C421" s="445" t="str">
        <x:f>IF($J421&lt;&gt;"",REGEXREPLACE(TO_TEXT('_Supporto Listone'!C421),"(.)","$1"&amp;UNICHAR(822)),'_Supporto Listone'!C421)</x:f>
        <x:v>Venezia</x:v>
      </x:c>
      <x:c r="D421" s="445" t="str">
        <x:f>IF($J421&lt;&gt;"",REGEXREPLACE(TO_TEXT('_Supporto Listone'!D421),"(.)","$1"&amp;UNICHAR(822)),'_Supporto Listone'!D421)</x:f>
        <x:v>C</x:v>
      </x:c>
      <x:c r="E421" s="445" t="str">
        <x:f>IF($J421&lt;&gt;"",REGEXREPLACE(TO_TEXT('_Supporto Listone'!E421),"(.)","$1"&amp;UNICHAR(822)),'_Supporto Listone'!E421)</x:f>
        <x:v>Riserva / rotazione</x:v>
      </x:c>
      <x:c r="F421" s="465" t="n">
        <x:f>IF($J421&lt;&gt;"",REGEXREPLACE(TO_TEXT('_Supporto Listone'!F421),"(.)","$1"&amp;UNICHAR(822)),'_Supporto Listone'!F421)</x:f>
        <x:v>1</x:v>
      </x:c>
      <x:c r="G421" s="465" t="n">
        <x:f>IF($J421&lt;&gt;"",REGEXREPLACE(TO_TEXT('_Supporto Listone'!G421),"(.)","$1"&amp;UNICHAR(822)),'_Supporto Listone'!G421)</x:f>
        <x:v>1</x:v>
      </x:c>
      <x:c r="H421" s="465" t="n">
        <x:f>IF($J421&lt;&gt;"",REGEXREPLACE(TO_TEXT('_Supporto Listone'!H421),"(.)","$1"&amp;UNICHAR(822)),'_Supporto Listone'!H421)</x:f>
        <x:v>1</x:v>
      </x:c>
      <x:c r="I421" s="446"/>
      <x:c r="J421" s="445" t="str">
        <x:f>IF(COUNTIF(Asta!$B$4:$B$47,'_Supporto Listone'!B421)&gt;0,"Simone",IF(COUNTIF(Asta!$D$4:$D$47,'_Supporto Listone'!B421)&gt;0,"Giacomo",IF(COUNTIF(Asta!$F$4:$F$47,'_Supporto Listone'!B421)&gt;0,"Niko",IF(COUNTIF(Asta!$H$4:$H$47,'_Supporto Listone'!B421)&gt;0,"Quici",IF(COUNTIF(Asta!$J$4:$J$47,'_Supporto Listone'!B421)&gt;0,"Fratello Quici",IF(COUNTIF(Asta!$L$4:$L$47,'_Supporto Listone'!B421)&gt;0,"Nicolò",IF(COUNTIF(Asta!$N$4:$N$47,'_Supporto Listone'!B421)&gt;0,"Vi",IF(COUNTIF(Asta!$P$4:$P$47,'_Supporto Listone'!B421)&gt;0,"Lore",IF(COUNTIF(Asta!$R$4:$R$47,'_Supporto Listone'!B421)&gt;0,"Robbo",IF(COUNTIF(Asta!$T$4:$T$47,'_Supporto Listone'!B421)&gt;0,"Ale",""))))))))))</x:f>
      </x:c>
      <x:c r="K421" s="496" t="str">
        <x:f>IF(COUNTIF(Asta!$B$4:$B$47,'_Supporto Listone'!B421)&gt;0,INDEX(Asta!$C$4:$C$47,MATCH('_Supporto Listone'!B421,Asta!$B$4:$B$47,0)),IF(COUNTIF(Asta!$D$4:$D$47,'_Supporto Listone'!B421)&gt;0,INDEX(Asta!$E$4:$E$47,MATCH('_Supporto Listone'!B421,Asta!$D$4:$D$47,0)),IF(COUNTIF(Asta!$F$4:$F$47,'_Supporto Listone'!B421)&gt;0,INDEX(Asta!$G$4:$G$47,MATCH('_Supporto Listone'!B421,Asta!$F$4:$F$47,0)),IF(COUNTIF(Asta!$H$4:$H$47,'_Supporto Listone'!B421)&gt;0,INDEX(Asta!$I$4:$I$47,MATCH('_Supporto Listone'!B421,Asta!$H$4:$H$47,0)),IF(COUNTIF(Asta!$J$4:$J$47,'_Supporto Listone'!B421)&gt;0,INDEX(Asta!$K$4:$K$47,MATCH('_Supporto Listone'!B421,Asta!$J$4:$J$47,0)),IF(COUNTIF(Asta!$L$4:$L$47,'_Supporto Listone'!B421)&gt;0,INDEX(Asta!$M$4:$M$47,MATCH('_Supporto Listone'!B421,Asta!$L$4:$L$47,0)),IF(COUNTIF(Asta!$N$4:$N$47,'_Supporto Listone'!B421)&gt;0,INDEX(Asta!$O$4:$O$47,MATCH('_Supporto Listone'!B421,Asta!$N$4:$N$47,0)),IF(COUNTIF(Asta!$P$4:$P$47,'_Supporto Listone'!B421)&gt;0,INDEX(Asta!$Q$4:$Q$47,MATCH('_Supporto Listone'!B421,Asta!$P$4:$P$47,0)),IF(COUNTIF(Asta!$R$4:$R$47,'_Supporto Listone'!B421)&gt;0,INDEX(Asta!$S$4:$S$47,MATCH('_Supporto Listone'!B421,Asta!$R$4:$R$47,0)),IF(COUNTIF(Asta!$T$4:$T$47,'_Supporto Listone'!B421)&gt;0,INDEX(Asta!$U$4:$U$47,MATCH('_Supporto Listone'!B421,Asta!$T$4:$T$47,0)),""))))))))))</x:f>
      </x:c>
    </x:row>
    <x:row r="422">
      <x:c r="A422" s="262" t="n"/>
      <x:c r="B422" s="262" t="n"/>
      <x:c r="C422" s="262" t="n"/>
      <x:c r="D422" s="262" t="n"/>
      <x:c r="E422" s="262" t="n"/>
      <x:c r="F422" s="460" t="n"/>
      <x:c r="G422" s="460" t="n"/>
      <x:c r="H422" s="460" t="n"/>
      <x:c r="I422" s="262" t="n"/>
      <x:c r="J422" s="262" t="n"/>
      <x:c r="K422" s="272" t="n"/>
    </x:row>
    <x:row r="423">
      <x:c r="A423" s="491" t="inlineStr">
        <x:is>
          <x:t xml:space="preserve">ATTACCANTI</x:t>
        </x:is>
      </x:c>
    </x:row>
    <x:row r="424">
      <x:c r="A424" s="431" t="inlineStr">
        <x:is>
          <x:t xml:space="preserve">Ruolo</x:t>
        </x:is>
      </x:c>
      <x:c r="B424" s="418" t="inlineStr">
        <x:is>
          <x:t xml:space="preserve">Calciatore</x:t>
        </x:is>
      </x:c>
      <x:c r="C424" s="418" t="inlineStr">
        <x:is>
          <x:t xml:space="preserve">Squadra</x:t>
        </x:is>
      </x:c>
      <x:c r="D424" s="418" t="inlineStr">
        <x:is>
          <x:t xml:space="preserve">Posizione specifica</x:t>
        </x:is>
      </x:c>
      <x:c r="E424" s="418" t="inlineStr">
        <x:is>
          <x:t xml:space="preserve">Status</x:t>
        </x:is>
      </x:c>
      <x:c r="F424" s="418" t="inlineStr">
        <x:is>
          <x:t xml:space="preserve">Quotazione</x:t>
        </x:is>
      </x:c>
      <x:c r="G424" s="418" t="inlineStr">
        <x:is>
          <x:t xml:space="preserve">FVM / 1000</x:t>
        </x:is>
      </x:c>
      <x:c r="H424" s="418" t="inlineStr">
        <x:is>
          <x:t xml:space="preserve">FVM su 504</x:t>
        </x:is>
      </x:c>
      <x:c r="I424" s="418" t="inlineStr">
        <x:is>
          <x:t xml:space="preserve">Specialità</x:t>
        </x:is>
      </x:c>
      <x:c r="J424" s="418" t="inlineStr">
        <x:is>
          <x:t xml:space="preserve">Acquistato da</x:t>
        </x:is>
      </x:c>
      <x:c r="K424" s="492" t="inlineStr">
        <x:is>
          <x:t xml:space="preserve">Prezzo asta</x:t>
        </x:is>
      </x:c>
    </x:row>
    <x:row r="425">
      <x:c r="A425" s="448" t="str">
        <x:f>IF($J425&lt;&gt;"",REGEXREPLACE(TO_TEXT('_Supporto Listone'!A425),"(.)","$1"&amp;UNICHAR(822)),'_Supporto Listone'!A425)</x:f>
        <x:v>A</x:v>
      </x:c>
      <x:c r="B425" s="449" t="str">
        <x:f>IF($J425&lt;&gt;"",REGEXREPLACE(TO_TEXT('_Supporto Listone'!B425),"(.)","$1"&amp;UNICHAR(822)),'_Supporto Listone'!B425)</x:f>
        <x:v>Martinez L.</x:v>
      </x:c>
      <x:c r="C425" s="449" t="str">
        <x:f>IF($J425&lt;&gt;"",REGEXREPLACE(TO_TEXT('_Supporto Listone'!C425),"(.)","$1"&amp;UNICHAR(822)),'_Supporto Listone'!C425)</x:f>
        <x:v>Inter</x:v>
      </x:c>
      <x:c r="D425" s="449" t="str">
        <x:f>IF($J425&lt;&gt;"",REGEXREPLACE(TO_TEXT('_Supporto Listone'!D425),"(.)","$1"&amp;UNICHAR(822)),'_Supporto Listone'!D425)</x:f>
        <x:v>Pc</x:v>
      </x:c>
      <x:c r="E425" s="449" t="str">
        <x:f>IF($J425&lt;&gt;"",REGEXREPLACE(TO_TEXT('_Supporto Listone'!E425),"(.)","$1"&amp;UNICHAR(822)),'_Supporto Listone'!E425)</x:f>
        <x:v>Titolare</x:v>
      </x:c>
      <x:c r="F425" s="466" t="n">
        <x:f>IF($J425&lt;&gt;"",REGEXREPLACE(TO_TEXT('_Supporto Listone'!F425),"(.)","$1"&amp;UNICHAR(822)),'_Supporto Listone'!F425)</x:f>
        <x:v>35</x:v>
      </x:c>
      <x:c r="G425" s="466" t="n">
        <x:f>IF($J425&lt;&gt;"",REGEXREPLACE(TO_TEXT('_Supporto Listone'!G425),"(.)","$1"&amp;UNICHAR(822)),'_Supporto Listone'!G425)</x:f>
        <x:v>370</x:v>
      </x:c>
      <x:c r="H425" s="466" t="n">
        <x:f>IF($J425&lt;&gt;"",REGEXREPLACE(TO_TEXT('_Supporto Listone'!H425),"(.)","$1"&amp;UNICHAR(822)),'_Supporto Listone'!H425)</x:f>
        <x:v>186</x:v>
      </x:c>
      <x:c r="I425" s="450" t="str">
        <x:f>IF($J425&lt;&gt;"",REGEXREPLACE(TO_TEXT('_Supporto Listone'!I425),"(.)","$1"&amp;UNICHAR(822)),'_Supporto Listone'!I425)</x:f>
        <x:v>Rigorista</x:v>
      </x:c>
      <x:c r="J425" s="449" t="str">
        <x:f>IF(COUNTIF(Asta!$B$4:$B$47,'_Supporto Listone'!B425)&gt;0,"Simone",IF(COUNTIF(Asta!$D$4:$D$47,'_Supporto Listone'!B425)&gt;0,"Giacomo",IF(COUNTIF(Asta!$F$4:$F$47,'_Supporto Listone'!B425)&gt;0,"Niko",IF(COUNTIF(Asta!$H$4:$H$47,'_Supporto Listone'!B425)&gt;0,"Quici",IF(COUNTIF(Asta!$J$4:$J$47,'_Supporto Listone'!B425)&gt;0,"Fratello Quici",IF(COUNTIF(Asta!$L$4:$L$47,'_Supporto Listone'!B425)&gt;0,"Nicolò",IF(COUNTIF(Asta!$N$4:$N$47,'_Supporto Listone'!B425)&gt;0,"Vi",IF(COUNTIF(Asta!$P$4:$P$47,'_Supporto Listone'!B425)&gt;0,"Lore",IF(COUNTIF(Asta!$R$4:$R$47,'_Supporto Listone'!B425)&gt;0,"Robbo",IF(COUNTIF(Asta!$T$4:$T$47,'_Supporto Listone'!B425)&gt;0,"Ale",""))))))))))</x:f>
      </x:c>
      <x:c r="K425" s="497" t="str">
        <x:f>IF(COUNTIF(Asta!$B$4:$B$47,'_Supporto Listone'!B425)&gt;0,INDEX(Asta!$C$4:$C$47,MATCH('_Supporto Listone'!B425,Asta!$B$4:$B$47,0)),IF(COUNTIF(Asta!$D$4:$D$47,'_Supporto Listone'!B425)&gt;0,INDEX(Asta!$E$4:$E$47,MATCH('_Supporto Listone'!B425,Asta!$D$4:$D$47,0)),IF(COUNTIF(Asta!$F$4:$F$47,'_Supporto Listone'!B425)&gt;0,INDEX(Asta!$G$4:$G$47,MATCH('_Supporto Listone'!B425,Asta!$F$4:$F$47,0)),IF(COUNTIF(Asta!$H$4:$H$47,'_Supporto Listone'!B425)&gt;0,INDEX(Asta!$I$4:$I$47,MATCH('_Supporto Listone'!B425,Asta!$H$4:$H$47,0)),IF(COUNTIF(Asta!$J$4:$J$47,'_Supporto Listone'!B425)&gt;0,INDEX(Asta!$K$4:$K$47,MATCH('_Supporto Listone'!B425,Asta!$J$4:$J$47,0)),IF(COUNTIF(Asta!$L$4:$L$47,'_Supporto Listone'!B425)&gt;0,INDEX(Asta!$M$4:$M$47,MATCH('_Supporto Listone'!B425,Asta!$L$4:$L$47,0)),IF(COUNTIF(Asta!$N$4:$N$47,'_Supporto Listone'!B425)&gt;0,INDEX(Asta!$O$4:$O$47,MATCH('_Supporto Listone'!B425,Asta!$N$4:$N$47,0)),IF(COUNTIF(Asta!$P$4:$P$47,'_Supporto Listone'!B425)&gt;0,INDEX(Asta!$Q$4:$Q$47,MATCH('_Supporto Listone'!B425,Asta!$P$4:$P$47,0)),IF(COUNTIF(Asta!$R$4:$R$47,'_Supporto Listone'!B425)&gt;0,INDEX(Asta!$S$4:$S$47,MATCH('_Supporto Listone'!B425,Asta!$R$4:$R$47,0)),IF(COUNTIF(Asta!$T$4:$T$47,'_Supporto Listone'!B425)&gt;0,INDEX(Asta!$U$4:$U$47,MATCH('_Supporto Listone'!B425,Asta!$T$4:$T$47,0)),""))))))))))</x:f>
      </x:c>
    </x:row>
    <x:row r="426">
      <x:c r="A426" s="448" t="str">
        <x:f>IF($J426&lt;&gt;"",REGEXREPLACE(TO_TEXT('_Supporto Listone'!A426),"(.)","$1"&amp;UNICHAR(822)),'_Supporto Listone'!A426)</x:f>
        <x:v>A</x:v>
      </x:c>
      <x:c r="B426" s="449" t="str">
        <x:f>IF($J426&lt;&gt;"",REGEXREPLACE(TO_TEXT('_Supporto Listone'!B426),"(.)","$1"&amp;UNICHAR(822)),'_Supporto Listone'!B426)</x:f>
        <x:v>Malen</x:v>
      </x:c>
      <x:c r="C426" s="449" t="str">
        <x:f>IF($J426&lt;&gt;"",REGEXREPLACE(TO_TEXT('_Supporto Listone'!C426),"(.)","$1"&amp;UNICHAR(822)),'_Supporto Listone'!C426)</x:f>
        <x:v>Roma</x:v>
      </x:c>
      <x:c r="D426" s="449" t="str">
        <x:f>IF($J426&lt;&gt;"",REGEXREPLACE(TO_TEXT('_Supporto Listone'!D426),"(.)","$1"&amp;UNICHAR(822)),'_Supporto Listone'!D426)</x:f>
        <x:v>Pc</x:v>
      </x:c>
      <x:c r="E426" s="449" t="str">
        <x:f>IF($J426&lt;&gt;"",REGEXREPLACE(TO_TEXT('_Supporto Listone'!E426),"(.)","$1"&amp;UNICHAR(822)),'_Supporto Listone'!E426)</x:f>
        <x:v>Titolare</x:v>
      </x:c>
      <x:c r="F426" s="466" t="n">
        <x:f>IF($J426&lt;&gt;"",REGEXREPLACE(TO_TEXT('_Supporto Listone'!F426),"(.)","$1"&amp;UNICHAR(822)),'_Supporto Listone'!F426)</x:f>
        <x:v>34</x:v>
      </x:c>
      <x:c r="G426" s="466" t="n">
        <x:f>IF($J426&lt;&gt;"",REGEXREPLACE(TO_TEXT('_Supporto Listone'!G426),"(.)","$1"&amp;UNICHAR(822)),'_Supporto Listone'!G426)</x:f>
        <x:v>365</x:v>
      </x:c>
      <x:c r="H426" s="466" t="n">
        <x:f>IF($J426&lt;&gt;"",REGEXREPLACE(TO_TEXT('_Supporto Listone'!H426),"(.)","$1"&amp;UNICHAR(822)),'_Supporto Listone'!H426)</x:f>
        <x:v>184</x:v>
      </x:c>
      <x:c r="I426" s="450" t="str">
        <x:f>IF($J426&lt;&gt;"",REGEXREPLACE(TO_TEXT('_Supporto Listone'!I426),"(.)","$1"&amp;UNICHAR(822)),'_Supporto Listone'!I426)</x:f>
        <x:v>Rigorista · Piazzati</x:v>
      </x:c>
      <x:c r="J426" s="449" t="str">
        <x:f>IF(COUNTIF(Asta!$B$4:$B$47,'_Supporto Listone'!B426)&gt;0,"Simone",IF(COUNTIF(Asta!$D$4:$D$47,'_Supporto Listone'!B426)&gt;0,"Giacomo",IF(COUNTIF(Asta!$F$4:$F$47,'_Supporto Listone'!B426)&gt;0,"Niko",IF(COUNTIF(Asta!$H$4:$H$47,'_Supporto Listone'!B426)&gt;0,"Quici",IF(COUNTIF(Asta!$J$4:$J$47,'_Supporto Listone'!B426)&gt;0,"Fratello Quici",IF(COUNTIF(Asta!$L$4:$L$47,'_Supporto Listone'!B426)&gt;0,"Nicolò",IF(COUNTIF(Asta!$N$4:$N$47,'_Supporto Listone'!B426)&gt;0,"Vi",IF(COUNTIF(Asta!$P$4:$P$47,'_Supporto Listone'!B426)&gt;0,"Lore",IF(COUNTIF(Asta!$R$4:$R$47,'_Supporto Listone'!B426)&gt;0,"Robbo",IF(COUNTIF(Asta!$T$4:$T$47,'_Supporto Listone'!B426)&gt;0,"Ale",""))))))))))</x:f>
      </x:c>
      <x:c r="K426" s="497" t="str">
        <x:f>IF(COUNTIF(Asta!$B$4:$B$47,'_Supporto Listone'!B426)&gt;0,INDEX(Asta!$C$4:$C$47,MATCH('_Supporto Listone'!B426,Asta!$B$4:$B$47,0)),IF(COUNTIF(Asta!$D$4:$D$47,'_Supporto Listone'!B426)&gt;0,INDEX(Asta!$E$4:$E$47,MATCH('_Supporto Listone'!B426,Asta!$D$4:$D$47,0)),IF(COUNTIF(Asta!$F$4:$F$47,'_Supporto Listone'!B426)&gt;0,INDEX(Asta!$G$4:$G$47,MATCH('_Supporto Listone'!B426,Asta!$F$4:$F$47,0)),IF(COUNTIF(Asta!$H$4:$H$47,'_Supporto Listone'!B426)&gt;0,INDEX(Asta!$I$4:$I$47,MATCH('_Supporto Listone'!B426,Asta!$H$4:$H$47,0)),IF(COUNTIF(Asta!$J$4:$J$47,'_Supporto Listone'!B426)&gt;0,INDEX(Asta!$K$4:$K$47,MATCH('_Supporto Listone'!B426,Asta!$J$4:$J$47,0)),IF(COUNTIF(Asta!$L$4:$L$47,'_Supporto Listone'!B426)&gt;0,INDEX(Asta!$M$4:$M$47,MATCH('_Supporto Listone'!B426,Asta!$L$4:$L$47,0)),IF(COUNTIF(Asta!$N$4:$N$47,'_Supporto Listone'!B426)&gt;0,INDEX(Asta!$O$4:$O$47,MATCH('_Supporto Listone'!B426,Asta!$N$4:$N$47,0)),IF(COUNTIF(Asta!$P$4:$P$47,'_Supporto Listone'!B426)&gt;0,INDEX(Asta!$Q$4:$Q$47,MATCH('_Supporto Listone'!B426,Asta!$P$4:$P$47,0)),IF(COUNTIF(Asta!$R$4:$R$47,'_Supporto Listone'!B426)&gt;0,INDEX(Asta!$S$4:$S$47,MATCH('_Supporto Listone'!B426,Asta!$R$4:$R$47,0)),IF(COUNTIF(Asta!$T$4:$T$47,'_Supporto Listone'!B426)&gt;0,INDEX(Asta!$U$4:$U$47,MATCH('_Supporto Listone'!B426,Asta!$T$4:$T$47,0)),""))))))))))</x:f>
      </x:c>
    </x:row>
    <x:row r="427">
      <x:c r="A427" s="448" t="str">
        <x:f>IF($J427&lt;&gt;"",REGEXREPLACE(TO_TEXT('_Supporto Listone'!A427),"(.)","$1"&amp;UNICHAR(822)),'_Supporto Listone'!A427)</x:f>
        <x:v>A</x:v>
      </x:c>
      <x:c r="B427" s="449" t="str">
        <x:f>IF($J427&lt;&gt;"",REGEXREPLACE(TO_TEXT('_Supporto Listone'!B427),"(.)","$1"&amp;UNICHAR(822)),'_Supporto Listone'!B427)</x:f>
        <x:v>Thuram</x:v>
      </x:c>
      <x:c r="C427" s="449" t="str">
        <x:f>IF($J427&lt;&gt;"",REGEXREPLACE(TO_TEXT('_Supporto Listone'!C427),"(.)","$1"&amp;UNICHAR(822)),'_Supporto Listone'!C427)</x:f>
        <x:v>Inter</x:v>
      </x:c>
      <x:c r="D427" s="449" t="str">
        <x:f>IF($J427&lt;&gt;"",REGEXREPLACE(TO_TEXT('_Supporto Listone'!D427),"(.)","$1"&amp;UNICHAR(822)),'_Supporto Listone'!D427)</x:f>
        <x:v>Pc</x:v>
      </x:c>
      <x:c r="E427" s="449" t="str">
        <x:f>IF($J427&lt;&gt;"",REGEXREPLACE(TO_TEXT('_Supporto Listone'!E427),"(.)","$1"&amp;UNICHAR(822)),'_Supporto Listone'!E427)</x:f>
        <x:v>Titolare / ballottaggio</x:v>
      </x:c>
      <x:c r="F427" s="466" t="n">
        <x:f>IF($J427&lt;&gt;"",REGEXREPLACE(TO_TEXT('_Supporto Listone'!F427),"(.)","$1"&amp;UNICHAR(822)),'_Supporto Listone'!F427)</x:f>
        <x:v>29</x:v>
      </x:c>
      <x:c r="G427" s="466" t="n">
        <x:f>IF($J427&lt;&gt;"",REGEXREPLACE(TO_TEXT('_Supporto Listone'!G427),"(.)","$1"&amp;UNICHAR(822)),'_Supporto Listone'!G427)</x:f>
        <x:v>280</x:v>
      </x:c>
      <x:c r="H427" s="466" t="n">
        <x:f>IF($J427&lt;&gt;"",REGEXREPLACE(TO_TEXT('_Supporto Listone'!H427),"(.)","$1"&amp;UNICHAR(822)),'_Supporto Listone'!H427)</x:f>
        <x:v>141</x:v>
      </x:c>
      <x:c r="I427" s="450"/>
      <x:c r="J427" s="449" t="str">
        <x:f>IF(COUNTIF(Asta!$B$4:$B$47,'_Supporto Listone'!B427)&gt;0,"Simone",IF(COUNTIF(Asta!$D$4:$D$47,'_Supporto Listone'!B427)&gt;0,"Giacomo",IF(COUNTIF(Asta!$F$4:$F$47,'_Supporto Listone'!B427)&gt;0,"Niko",IF(COUNTIF(Asta!$H$4:$H$47,'_Supporto Listone'!B427)&gt;0,"Quici",IF(COUNTIF(Asta!$J$4:$J$47,'_Supporto Listone'!B427)&gt;0,"Fratello Quici",IF(COUNTIF(Asta!$L$4:$L$47,'_Supporto Listone'!B427)&gt;0,"Nicolò",IF(COUNTIF(Asta!$N$4:$N$47,'_Supporto Listone'!B427)&gt;0,"Vi",IF(COUNTIF(Asta!$P$4:$P$47,'_Supporto Listone'!B427)&gt;0,"Lore",IF(COUNTIF(Asta!$R$4:$R$47,'_Supporto Listone'!B427)&gt;0,"Robbo",IF(COUNTIF(Asta!$T$4:$T$47,'_Supporto Listone'!B427)&gt;0,"Ale",""))))))))))</x:f>
      </x:c>
      <x:c r="K427" s="497" t="str">
        <x:f>IF(COUNTIF(Asta!$B$4:$B$47,'_Supporto Listone'!B427)&gt;0,INDEX(Asta!$C$4:$C$47,MATCH('_Supporto Listone'!B427,Asta!$B$4:$B$47,0)),IF(COUNTIF(Asta!$D$4:$D$47,'_Supporto Listone'!B427)&gt;0,INDEX(Asta!$E$4:$E$47,MATCH('_Supporto Listone'!B427,Asta!$D$4:$D$47,0)),IF(COUNTIF(Asta!$F$4:$F$47,'_Supporto Listone'!B427)&gt;0,INDEX(Asta!$G$4:$G$47,MATCH('_Supporto Listone'!B427,Asta!$F$4:$F$47,0)),IF(COUNTIF(Asta!$H$4:$H$47,'_Supporto Listone'!B427)&gt;0,INDEX(Asta!$I$4:$I$47,MATCH('_Supporto Listone'!B427,Asta!$H$4:$H$47,0)),IF(COUNTIF(Asta!$J$4:$J$47,'_Supporto Listone'!B427)&gt;0,INDEX(Asta!$K$4:$K$47,MATCH('_Supporto Listone'!B427,Asta!$J$4:$J$47,0)),IF(COUNTIF(Asta!$L$4:$L$47,'_Supporto Listone'!B427)&gt;0,INDEX(Asta!$M$4:$M$47,MATCH('_Supporto Listone'!B427,Asta!$L$4:$L$47,0)),IF(COUNTIF(Asta!$N$4:$N$47,'_Supporto Listone'!B427)&gt;0,INDEX(Asta!$O$4:$O$47,MATCH('_Supporto Listone'!B427,Asta!$N$4:$N$47,0)),IF(COUNTIF(Asta!$P$4:$P$47,'_Supporto Listone'!B427)&gt;0,INDEX(Asta!$Q$4:$Q$47,MATCH('_Supporto Listone'!B427,Asta!$P$4:$P$47,0)),IF(COUNTIF(Asta!$R$4:$R$47,'_Supporto Listone'!B427)&gt;0,INDEX(Asta!$S$4:$S$47,MATCH('_Supporto Listone'!B427,Asta!$R$4:$R$47,0)),IF(COUNTIF(Asta!$T$4:$T$47,'_Supporto Listone'!B427)&gt;0,INDEX(Asta!$U$4:$U$47,MATCH('_Supporto Listone'!B427,Asta!$T$4:$T$47,0)),""))))))))))</x:f>
      </x:c>
    </x:row>
    <x:row r="428">
      <x:c r="A428" s="448" t="str">
        <x:f>IF($J428&lt;&gt;"",REGEXREPLACE(TO_TEXT('_Supporto Listone'!A428),"(.)","$1"&amp;UNICHAR(822)),'_Supporto Listone'!A428)</x:f>
        <x:v>A</x:v>
      </x:c>
      <x:c r="B428" s="449" t="str">
        <x:f>IF($J428&lt;&gt;"",REGEXREPLACE(TO_TEXT('_Supporto Listone'!B428),"(.)","$1"&amp;UNICHAR(822)),'_Supporto Listone'!B428)</x:f>
        <x:v>Hojlund</x:v>
      </x:c>
      <x:c r="C428" s="449" t="str">
        <x:f>IF($J428&lt;&gt;"",REGEXREPLACE(TO_TEXT('_Supporto Listone'!C428),"(.)","$1"&amp;UNICHAR(822)),'_Supporto Listone'!C428)</x:f>
        <x:v>Napoli</x:v>
      </x:c>
      <x:c r="D428" s="449" t="str">
        <x:f>IF($J428&lt;&gt;"",REGEXREPLACE(TO_TEXT('_Supporto Listone'!D428),"(.)","$1"&amp;UNICHAR(822)),'_Supporto Listone'!D428)</x:f>
        <x:v>Pc</x:v>
      </x:c>
      <x:c r="E428" s="449" t="str">
        <x:f>IF($J428&lt;&gt;"",REGEXREPLACE(TO_TEXT('_Supporto Listone'!E428),"(.)","$1"&amp;UNICHAR(822)),'_Supporto Listone'!E428)</x:f>
        <x:v>Titolare</x:v>
      </x:c>
      <x:c r="F428" s="466" t="n">
        <x:f>IF($J428&lt;&gt;"",REGEXREPLACE(TO_TEXT('_Supporto Listone'!F428),"(.)","$1"&amp;UNICHAR(822)),'_Supporto Listone'!F428)</x:f>
        <x:v>28</x:v>
      </x:c>
      <x:c r="G428" s="466" t="n">
        <x:f>IF($J428&lt;&gt;"",REGEXREPLACE(TO_TEXT('_Supporto Listone'!G428),"(.)","$1"&amp;UNICHAR(822)),'_Supporto Listone'!G428)</x:f>
        <x:v>271</x:v>
      </x:c>
      <x:c r="H428" s="466" t="n">
        <x:f>IF($J428&lt;&gt;"",REGEXREPLACE(TO_TEXT('_Supporto Listone'!H428),"(.)","$1"&amp;UNICHAR(822)),'_Supporto Listone'!H428)</x:f>
        <x:v>137</x:v>
      </x:c>
      <x:c r="I428" s="450" t="str">
        <x:f>IF($J428&lt;&gt;"",REGEXREPLACE(TO_TEXT('_Supporto Listone'!I428),"(.)","$1"&amp;UNICHAR(822)),'_Supporto Listone'!I428)</x:f>
        <x:v>Rigorista</x:v>
      </x:c>
      <x:c r="J428" s="449" t="str">
        <x:f>IF(COUNTIF(Asta!$B$4:$B$47,'_Supporto Listone'!B428)&gt;0,"Simone",IF(COUNTIF(Asta!$D$4:$D$47,'_Supporto Listone'!B428)&gt;0,"Giacomo",IF(COUNTIF(Asta!$F$4:$F$47,'_Supporto Listone'!B428)&gt;0,"Niko",IF(COUNTIF(Asta!$H$4:$H$47,'_Supporto Listone'!B428)&gt;0,"Quici",IF(COUNTIF(Asta!$J$4:$J$47,'_Supporto Listone'!B428)&gt;0,"Fratello Quici",IF(COUNTIF(Asta!$L$4:$L$47,'_Supporto Listone'!B428)&gt;0,"Nicolò",IF(COUNTIF(Asta!$N$4:$N$47,'_Supporto Listone'!B428)&gt;0,"Vi",IF(COUNTIF(Asta!$P$4:$P$47,'_Supporto Listone'!B428)&gt;0,"Lore",IF(COUNTIF(Asta!$R$4:$R$47,'_Supporto Listone'!B428)&gt;0,"Robbo",IF(COUNTIF(Asta!$T$4:$T$47,'_Supporto Listone'!B428)&gt;0,"Ale",""))))))))))</x:f>
      </x:c>
      <x:c r="K428" s="497" t="str">
        <x:f>IF(COUNTIF(Asta!$B$4:$B$47,'_Supporto Listone'!B428)&gt;0,INDEX(Asta!$C$4:$C$47,MATCH('_Supporto Listone'!B428,Asta!$B$4:$B$47,0)),IF(COUNTIF(Asta!$D$4:$D$47,'_Supporto Listone'!B428)&gt;0,INDEX(Asta!$E$4:$E$47,MATCH('_Supporto Listone'!B428,Asta!$D$4:$D$47,0)),IF(COUNTIF(Asta!$F$4:$F$47,'_Supporto Listone'!B428)&gt;0,INDEX(Asta!$G$4:$G$47,MATCH('_Supporto Listone'!B428,Asta!$F$4:$F$47,0)),IF(COUNTIF(Asta!$H$4:$H$47,'_Supporto Listone'!B428)&gt;0,INDEX(Asta!$I$4:$I$47,MATCH('_Supporto Listone'!B428,Asta!$H$4:$H$47,0)),IF(COUNTIF(Asta!$J$4:$J$47,'_Supporto Listone'!B428)&gt;0,INDEX(Asta!$K$4:$K$47,MATCH('_Supporto Listone'!B428,Asta!$J$4:$J$47,0)),IF(COUNTIF(Asta!$L$4:$L$47,'_Supporto Listone'!B428)&gt;0,INDEX(Asta!$M$4:$M$47,MATCH('_Supporto Listone'!B428,Asta!$L$4:$L$47,0)),IF(COUNTIF(Asta!$N$4:$N$47,'_Supporto Listone'!B428)&gt;0,INDEX(Asta!$O$4:$O$47,MATCH('_Supporto Listone'!B428,Asta!$N$4:$N$47,0)),IF(COUNTIF(Asta!$P$4:$P$47,'_Supporto Listone'!B428)&gt;0,INDEX(Asta!$Q$4:$Q$47,MATCH('_Supporto Listone'!B428,Asta!$P$4:$P$47,0)),IF(COUNTIF(Asta!$R$4:$R$47,'_Supporto Listone'!B428)&gt;0,INDEX(Asta!$S$4:$S$47,MATCH('_Supporto Listone'!B428,Asta!$R$4:$R$47,0)),IF(COUNTIF(Asta!$T$4:$T$47,'_Supporto Listone'!B428)&gt;0,INDEX(Asta!$U$4:$U$47,MATCH('_Supporto Listone'!B428,Asta!$T$4:$T$47,0)),""))))))))))</x:f>
      </x:c>
    </x:row>
    <x:row r="429">
      <x:c r="A429" s="448" t="str">
        <x:f>IF($J429&lt;&gt;"",REGEXREPLACE(TO_TEXT('_Supporto Listone'!A429),"(.)","$1"&amp;UNICHAR(822)),'_Supporto Listone'!A429)</x:f>
        <x:v>A</x:v>
      </x:c>
      <x:c r="B429" s="449" t="str">
        <x:f>IF($J429&lt;&gt;"",REGEXREPLACE(TO_TEXT('_Supporto Listone'!B429),"(.)","$1"&amp;UNICHAR(822)),'_Supporto Listone'!B429)</x:f>
        <x:v>Ramos G.</x:v>
      </x:c>
      <x:c r="C429" s="449" t="str">
        <x:f>IF($J429&lt;&gt;"",REGEXREPLACE(TO_TEXT('_Supporto Listone'!C429),"(.)","$1"&amp;UNICHAR(822)),'_Supporto Listone'!C429)</x:f>
        <x:v>Milan</x:v>
      </x:c>
      <x:c r="D429" s="449" t="str">
        <x:f>IF($J429&lt;&gt;"",REGEXREPLACE(TO_TEXT('_Supporto Listone'!D429),"(.)","$1"&amp;UNICHAR(822)),'_Supporto Listone'!D429)</x:f>
        <x:v>Pc</x:v>
      </x:c>
      <x:c r="E429" s="449" t="str">
        <x:f>IF($J429&lt;&gt;"",REGEXREPLACE(TO_TEXT('_Supporto Listone'!E429),"(.)","$1"&amp;UNICHAR(822)),'_Supporto Listone'!E429)</x:f>
        <x:v>Titolare</x:v>
      </x:c>
      <x:c r="F429" s="466" t="n">
        <x:f>IF($J429&lt;&gt;"",REGEXREPLACE(TO_TEXT('_Supporto Listone'!F429),"(.)","$1"&amp;UNICHAR(822)),'_Supporto Listone'!F429)</x:f>
        <x:v>27</x:v>
      </x:c>
      <x:c r="G429" s="466" t="n">
        <x:f>IF($J429&lt;&gt;"",REGEXREPLACE(TO_TEXT('_Supporto Listone'!G429),"(.)","$1"&amp;UNICHAR(822)),'_Supporto Listone'!G429)</x:f>
        <x:v>240</x:v>
      </x:c>
      <x:c r="H429" s="466" t="n">
        <x:f>IF($J429&lt;&gt;"",REGEXREPLACE(TO_TEXT('_Supporto Listone'!H429),"(.)","$1"&amp;UNICHAR(822)),'_Supporto Listone'!H429)</x:f>
        <x:v>121</x:v>
      </x:c>
      <x:c r="I429" s="450" t="str">
        <x:f>IF($J429&lt;&gt;"",REGEXREPLACE(TO_TEXT('_Supporto Listone'!I429),"(.)","$1"&amp;UNICHAR(822)),'_Supporto Listone'!I429)</x:f>
        <x:v>Rigorista</x:v>
      </x:c>
      <x:c r="J429" s="449" t="str">
        <x:f>IF(COUNTIF(Asta!$B$4:$B$47,'_Supporto Listone'!B429)&gt;0,"Simone",IF(COUNTIF(Asta!$D$4:$D$47,'_Supporto Listone'!B429)&gt;0,"Giacomo",IF(COUNTIF(Asta!$F$4:$F$47,'_Supporto Listone'!B429)&gt;0,"Niko",IF(COUNTIF(Asta!$H$4:$H$47,'_Supporto Listone'!B429)&gt;0,"Quici",IF(COUNTIF(Asta!$J$4:$J$47,'_Supporto Listone'!B429)&gt;0,"Fratello Quici",IF(COUNTIF(Asta!$L$4:$L$47,'_Supporto Listone'!B429)&gt;0,"Nicolò",IF(COUNTIF(Asta!$N$4:$N$47,'_Supporto Listone'!B429)&gt;0,"Vi",IF(COUNTIF(Asta!$P$4:$P$47,'_Supporto Listone'!B429)&gt;0,"Lore",IF(COUNTIF(Asta!$R$4:$R$47,'_Supporto Listone'!B429)&gt;0,"Robbo",IF(COUNTIF(Asta!$T$4:$T$47,'_Supporto Listone'!B429)&gt;0,"Ale",""))))))))))</x:f>
      </x:c>
      <x:c r="K429" s="497" t="str">
        <x:f>IF(COUNTIF(Asta!$B$4:$B$47,'_Supporto Listone'!B429)&gt;0,INDEX(Asta!$C$4:$C$47,MATCH('_Supporto Listone'!B429,Asta!$B$4:$B$47,0)),IF(COUNTIF(Asta!$D$4:$D$47,'_Supporto Listone'!B429)&gt;0,INDEX(Asta!$E$4:$E$47,MATCH('_Supporto Listone'!B429,Asta!$D$4:$D$47,0)),IF(COUNTIF(Asta!$F$4:$F$47,'_Supporto Listone'!B429)&gt;0,INDEX(Asta!$G$4:$G$47,MATCH('_Supporto Listone'!B429,Asta!$F$4:$F$47,0)),IF(COUNTIF(Asta!$H$4:$H$47,'_Supporto Listone'!B429)&gt;0,INDEX(Asta!$I$4:$I$47,MATCH('_Supporto Listone'!B429,Asta!$H$4:$H$47,0)),IF(COUNTIF(Asta!$J$4:$J$47,'_Supporto Listone'!B429)&gt;0,INDEX(Asta!$K$4:$K$47,MATCH('_Supporto Listone'!B429,Asta!$J$4:$J$47,0)),IF(COUNTIF(Asta!$L$4:$L$47,'_Supporto Listone'!B429)&gt;0,INDEX(Asta!$M$4:$M$47,MATCH('_Supporto Listone'!B429,Asta!$L$4:$L$47,0)),IF(COUNTIF(Asta!$N$4:$N$47,'_Supporto Listone'!B429)&gt;0,INDEX(Asta!$O$4:$O$47,MATCH('_Supporto Listone'!B429,Asta!$N$4:$N$47,0)),IF(COUNTIF(Asta!$P$4:$P$47,'_Supporto Listone'!B429)&gt;0,INDEX(Asta!$Q$4:$Q$47,MATCH('_Supporto Listone'!B429,Asta!$P$4:$P$47,0)),IF(COUNTIF(Asta!$R$4:$R$47,'_Supporto Listone'!B429)&gt;0,INDEX(Asta!$S$4:$S$47,MATCH('_Supporto Listone'!B429,Asta!$R$4:$R$47,0)),IF(COUNTIF(Asta!$T$4:$T$47,'_Supporto Listone'!B429)&gt;0,INDEX(Asta!$U$4:$U$47,MATCH('_Supporto Listone'!B429,Asta!$T$4:$T$47,0)),""))))))))))</x:f>
      </x:c>
    </x:row>
    <x:row r="430">
      <x:c r="A430" s="448" t="str">
        <x:f>IF($J430&lt;&gt;"",REGEXREPLACE(TO_TEXT('_Supporto Listone'!A430),"(.)","$1"&amp;UNICHAR(822)),'_Supporto Listone'!A430)</x:f>
        <x:v>A</x:v>
      </x:c>
      <x:c r="B430" s="449" t="str">
        <x:f>IF($J430&lt;&gt;"",REGEXREPLACE(TO_TEXT('_Supporto Listone'!B430),"(.)","$1"&amp;UNICHAR(822)),'_Supporto Listone'!B430)</x:f>
        <x:v>Kolo Muani</x:v>
      </x:c>
      <x:c r="C430" s="449" t="str">
        <x:f>IF($J430&lt;&gt;"",REGEXREPLACE(TO_TEXT('_Supporto Listone'!C430),"(.)","$1"&amp;UNICHAR(822)),'_Supporto Listone'!C430)</x:f>
        <x:v>Juventus</x:v>
      </x:c>
      <x:c r="D430" s="449" t="str">
        <x:f>IF($J430&lt;&gt;"",REGEXREPLACE(TO_TEXT('_Supporto Listone'!D430),"(.)","$1"&amp;UNICHAR(822)),'_Supporto Listone'!D430)</x:f>
        <x:v>Pc</x:v>
      </x:c>
      <x:c r="E430" s="449" t="str">
        <x:f>IF($J430&lt;&gt;"",REGEXREPLACE(TO_TEXT('_Supporto Listone'!E430),"(.)","$1"&amp;UNICHAR(822)),'_Supporto Listone'!E430)</x:f>
        <x:v>Titolare / ballottaggio</x:v>
      </x:c>
      <x:c r="F430" s="466" t="n">
        <x:f>IF($J430&lt;&gt;"",REGEXREPLACE(TO_TEXT('_Supporto Listone'!F430),"(.)","$1"&amp;UNICHAR(822)),'_Supporto Listone'!F430)</x:f>
        <x:v>26</x:v>
      </x:c>
      <x:c r="G430" s="466" t="n">
        <x:f>IF($J430&lt;&gt;"",REGEXREPLACE(TO_TEXT('_Supporto Listone'!G430),"(.)","$1"&amp;UNICHAR(822)),'_Supporto Listone'!G430)</x:f>
        <x:v>225</x:v>
      </x:c>
      <x:c r="H430" s="466" t="n">
        <x:f>IF($J430&lt;&gt;"",REGEXREPLACE(TO_TEXT('_Supporto Listone'!H430),"(.)","$1"&amp;UNICHAR(822)),'_Supporto Listone'!H430)</x:f>
        <x:v>113</x:v>
      </x:c>
      <x:c r="I430" s="450" t="str">
        <x:f>IF($J430&lt;&gt;"",REGEXREPLACE(TO_TEXT('_Supporto Listone'!I430),"(.)","$1"&amp;UNICHAR(822)),'_Supporto Listone'!I430)</x:f>
        <x:v>Rigorista</x:v>
      </x:c>
      <x:c r="J430" s="449" t="str">
        <x:f>IF(COUNTIF(Asta!$B$4:$B$47,'_Supporto Listone'!B430)&gt;0,"Simone",IF(COUNTIF(Asta!$D$4:$D$47,'_Supporto Listone'!B430)&gt;0,"Giacomo",IF(COUNTIF(Asta!$F$4:$F$47,'_Supporto Listone'!B430)&gt;0,"Niko",IF(COUNTIF(Asta!$H$4:$H$47,'_Supporto Listone'!B430)&gt;0,"Quici",IF(COUNTIF(Asta!$J$4:$J$47,'_Supporto Listone'!B430)&gt;0,"Fratello Quici",IF(COUNTIF(Asta!$L$4:$L$47,'_Supporto Listone'!B430)&gt;0,"Nicolò",IF(COUNTIF(Asta!$N$4:$N$47,'_Supporto Listone'!B430)&gt;0,"Vi",IF(COUNTIF(Asta!$P$4:$P$47,'_Supporto Listone'!B430)&gt;0,"Lore",IF(COUNTIF(Asta!$R$4:$R$47,'_Supporto Listone'!B430)&gt;0,"Robbo",IF(COUNTIF(Asta!$T$4:$T$47,'_Supporto Listone'!B430)&gt;0,"Ale",""))))))))))</x:f>
      </x:c>
      <x:c r="K430" s="497" t="str">
        <x:f>IF(COUNTIF(Asta!$B$4:$B$47,'_Supporto Listone'!B430)&gt;0,INDEX(Asta!$C$4:$C$47,MATCH('_Supporto Listone'!B430,Asta!$B$4:$B$47,0)),IF(COUNTIF(Asta!$D$4:$D$47,'_Supporto Listone'!B430)&gt;0,INDEX(Asta!$E$4:$E$47,MATCH('_Supporto Listone'!B430,Asta!$D$4:$D$47,0)),IF(COUNTIF(Asta!$F$4:$F$47,'_Supporto Listone'!B430)&gt;0,INDEX(Asta!$G$4:$G$47,MATCH('_Supporto Listone'!B430,Asta!$F$4:$F$47,0)),IF(COUNTIF(Asta!$H$4:$H$47,'_Supporto Listone'!B430)&gt;0,INDEX(Asta!$I$4:$I$47,MATCH('_Supporto Listone'!B430,Asta!$H$4:$H$47,0)),IF(COUNTIF(Asta!$J$4:$J$47,'_Supporto Listone'!B430)&gt;0,INDEX(Asta!$K$4:$K$47,MATCH('_Supporto Listone'!B430,Asta!$J$4:$J$47,0)),IF(COUNTIF(Asta!$L$4:$L$47,'_Supporto Listone'!B430)&gt;0,INDEX(Asta!$M$4:$M$47,MATCH('_Supporto Listone'!B430,Asta!$L$4:$L$47,0)),IF(COUNTIF(Asta!$N$4:$N$47,'_Supporto Listone'!B430)&gt;0,INDEX(Asta!$O$4:$O$47,MATCH('_Supporto Listone'!B430,Asta!$N$4:$N$47,0)),IF(COUNTIF(Asta!$P$4:$P$47,'_Supporto Listone'!B430)&gt;0,INDEX(Asta!$Q$4:$Q$47,MATCH('_Supporto Listone'!B430,Asta!$P$4:$P$47,0)),IF(COUNTIF(Asta!$R$4:$R$47,'_Supporto Listone'!B430)&gt;0,INDEX(Asta!$S$4:$S$47,MATCH('_Supporto Listone'!B430,Asta!$R$4:$R$47,0)),IF(COUNTIF(Asta!$T$4:$T$47,'_Supporto Listone'!B430)&gt;0,INDEX(Asta!$U$4:$U$47,MATCH('_Supporto Listone'!B430,Asta!$T$4:$T$47,0)),""))))))))))</x:f>
      </x:c>
    </x:row>
    <x:row r="431">
      <x:c r="A431" s="448" t="str">
        <x:f>IF($J431&lt;&gt;"",REGEXREPLACE(TO_TEXT('_Supporto Listone'!A431),"(.)","$1"&amp;UNICHAR(822)),'_Supporto Listone'!A431)</x:f>
        <x:v>A</x:v>
      </x:c>
      <x:c r="B431" s="449" t="str">
        <x:f>IF($J431&lt;&gt;"",REGEXREPLACE(TO_TEXT('_Supporto Listone'!B431),"(.)","$1"&amp;UNICHAR(822)),'_Supporto Listone'!B431)</x:f>
        <x:v>Kean</x:v>
      </x:c>
      <x:c r="C431" s="449" t="str">
        <x:f>IF($J431&lt;&gt;"",REGEXREPLACE(TO_TEXT('_Supporto Listone'!C431),"(.)","$1"&amp;UNICHAR(822)),'_Supporto Listone'!C431)</x:f>
        <x:v>Fiorentina</x:v>
      </x:c>
      <x:c r="D431" s="449" t="str">
        <x:f>IF($J431&lt;&gt;"",REGEXREPLACE(TO_TEXT('_Supporto Listone'!D431),"(.)","$1"&amp;UNICHAR(822)),'_Supporto Listone'!D431)</x:f>
        <x:v>Pc</x:v>
      </x:c>
      <x:c r="E431" s="449" t="str">
        <x:f>IF($J431&lt;&gt;"",REGEXREPLACE(TO_TEXT('_Supporto Listone'!E431),"(.)","$1"&amp;UNICHAR(822)),'_Supporto Listone'!E431)</x:f>
        <x:v>Riserva / rotazione</x:v>
      </x:c>
      <x:c r="F431" s="466" t="n">
        <x:f>IF($J431&lt;&gt;"",REGEXREPLACE(TO_TEXT('_Supporto Listone'!F431),"(.)","$1"&amp;UNICHAR(822)),'_Supporto Listone'!F431)</x:f>
        <x:v>25</x:v>
      </x:c>
      <x:c r="G431" s="466" t="n">
        <x:f>IF($J431&lt;&gt;"",REGEXREPLACE(TO_TEXT('_Supporto Listone'!G431),"(.)","$1"&amp;UNICHAR(822)),'_Supporto Listone'!G431)</x:f>
        <x:v>212</x:v>
      </x:c>
      <x:c r="H431" s="466" t="n">
        <x:f>IF($J431&lt;&gt;"",REGEXREPLACE(TO_TEXT('_Supporto Listone'!H431),"(.)","$1"&amp;UNICHAR(822)),'_Supporto Listone'!H431)</x:f>
        <x:v>107</x:v>
      </x:c>
      <x:c r="I431" s="450"/>
      <x:c r="J431" s="449" t="str">
        <x:f>IF(COUNTIF(Asta!$B$4:$B$47,'_Supporto Listone'!B431)&gt;0,"Simone",IF(COUNTIF(Asta!$D$4:$D$47,'_Supporto Listone'!B431)&gt;0,"Giacomo",IF(COUNTIF(Asta!$F$4:$F$47,'_Supporto Listone'!B431)&gt;0,"Niko",IF(COUNTIF(Asta!$H$4:$H$47,'_Supporto Listone'!B431)&gt;0,"Quici",IF(COUNTIF(Asta!$J$4:$J$47,'_Supporto Listone'!B431)&gt;0,"Fratello Quici",IF(COUNTIF(Asta!$L$4:$L$47,'_Supporto Listone'!B431)&gt;0,"Nicolò",IF(COUNTIF(Asta!$N$4:$N$47,'_Supporto Listone'!B431)&gt;0,"Vi",IF(COUNTIF(Asta!$P$4:$P$47,'_Supporto Listone'!B431)&gt;0,"Lore",IF(COUNTIF(Asta!$R$4:$R$47,'_Supporto Listone'!B431)&gt;0,"Robbo",IF(COUNTIF(Asta!$T$4:$T$47,'_Supporto Listone'!B431)&gt;0,"Ale",""))))))))))</x:f>
      </x:c>
      <x:c r="K431" s="497" t="str">
        <x:f>IF(COUNTIF(Asta!$B$4:$B$47,'_Supporto Listone'!B431)&gt;0,INDEX(Asta!$C$4:$C$47,MATCH('_Supporto Listone'!B431,Asta!$B$4:$B$47,0)),IF(COUNTIF(Asta!$D$4:$D$47,'_Supporto Listone'!B431)&gt;0,INDEX(Asta!$E$4:$E$47,MATCH('_Supporto Listone'!B431,Asta!$D$4:$D$47,0)),IF(COUNTIF(Asta!$F$4:$F$47,'_Supporto Listone'!B431)&gt;0,INDEX(Asta!$G$4:$G$47,MATCH('_Supporto Listone'!B431,Asta!$F$4:$F$47,0)),IF(COUNTIF(Asta!$H$4:$H$47,'_Supporto Listone'!B431)&gt;0,INDEX(Asta!$I$4:$I$47,MATCH('_Supporto Listone'!B431,Asta!$H$4:$H$47,0)),IF(COUNTIF(Asta!$J$4:$J$47,'_Supporto Listone'!B431)&gt;0,INDEX(Asta!$K$4:$K$47,MATCH('_Supporto Listone'!B431,Asta!$J$4:$J$47,0)),IF(COUNTIF(Asta!$L$4:$L$47,'_Supporto Listone'!B431)&gt;0,INDEX(Asta!$M$4:$M$47,MATCH('_Supporto Listone'!B431,Asta!$L$4:$L$47,0)),IF(COUNTIF(Asta!$N$4:$N$47,'_Supporto Listone'!B431)&gt;0,INDEX(Asta!$O$4:$O$47,MATCH('_Supporto Listone'!B431,Asta!$N$4:$N$47,0)),IF(COUNTIF(Asta!$P$4:$P$47,'_Supporto Listone'!B431)&gt;0,INDEX(Asta!$Q$4:$Q$47,MATCH('_Supporto Listone'!B431,Asta!$P$4:$P$47,0)),IF(COUNTIF(Asta!$R$4:$R$47,'_Supporto Listone'!B431)&gt;0,INDEX(Asta!$S$4:$S$47,MATCH('_Supporto Listone'!B431,Asta!$R$4:$R$47,0)),IF(COUNTIF(Asta!$T$4:$T$47,'_Supporto Listone'!B431)&gt;0,INDEX(Asta!$U$4:$U$47,MATCH('_Supporto Listone'!B431,Asta!$T$4:$T$47,0)),""))))))))))</x:f>
      </x:c>
    </x:row>
    <x:row r="432">
      <x:c r="A432" s="448" t="str">
        <x:f>IF($J432&lt;&gt;"",REGEXREPLACE(TO_TEXT('_Supporto Listone'!A432),"(.)","$1"&amp;UNICHAR(822)),'_Supporto Listone'!A432)</x:f>
        <x:v>A</x:v>
      </x:c>
      <x:c r="B432" s="449" t="str">
        <x:f>IF($J432&lt;&gt;"",REGEXREPLACE(TO_TEXT('_Supporto Listone'!B432),"(.)","$1"&amp;UNICHAR(822)),'_Supporto Listone'!B432)</x:f>
        <x:v>Yildiz</x:v>
      </x:c>
      <x:c r="C432" s="449" t="str">
        <x:f>IF($J432&lt;&gt;"",REGEXREPLACE(TO_TEXT('_Supporto Listone'!C432),"(.)","$1"&amp;UNICHAR(822)),'_Supporto Listone'!C432)</x:f>
        <x:v>Juventus</x:v>
      </x:c>
      <x:c r="D432" s="449" t="str">
        <x:f>IF($J432&lt;&gt;"",REGEXREPLACE(TO_TEXT('_Supporto Listone'!D432),"(.)","$1"&amp;UNICHAR(822)),'_Supporto Listone'!D432)</x:f>
        <x:v>A</x:v>
      </x:c>
      <x:c r="E432" s="449" t="str">
        <x:f>IF($J432&lt;&gt;"",REGEXREPLACE(TO_TEXT('_Supporto Listone'!E432),"(.)","$1"&amp;UNICHAR(822)),'_Supporto Listone'!E432)</x:f>
        <x:v>Riserva / rotazione</x:v>
      </x:c>
      <x:c r="F432" s="466" t="n">
        <x:f>IF($J432&lt;&gt;"",REGEXREPLACE(TO_TEXT('_Supporto Listone'!F432),"(.)","$1"&amp;UNICHAR(822)),'_Supporto Listone'!F432)</x:f>
        <x:v>23</x:v>
      </x:c>
      <x:c r="G432" s="466" t="n">
        <x:f>IF($J432&lt;&gt;"",REGEXREPLACE(TO_TEXT('_Supporto Listone'!G432),"(.)","$1"&amp;UNICHAR(822)),'_Supporto Listone'!G432)</x:f>
        <x:v>200</x:v>
      </x:c>
      <x:c r="H432" s="466" t="n">
        <x:f>IF($J432&lt;&gt;"",REGEXREPLACE(TO_TEXT('_Supporto Listone'!H432),"(.)","$1"&amp;UNICHAR(822)),'_Supporto Listone'!H432)</x:f>
        <x:v>101</x:v>
      </x:c>
      <x:c r="I432" s="450" t="str">
        <x:f>IF($J432&lt;&gt;"",REGEXREPLACE(TO_TEXT('_Supporto Listone'!I432),"(.)","$1"&amp;UNICHAR(822)),'_Supporto Listone'!I432)</x:f>
        <x:v>Piazzati</x:v>
      </x:c>
      <x:c r="J432" s="449" t="str">
        <x:f>IF(COUNTIF(Asta!$B$4:$B$47,'_Supporto Listone'!B432)&gt;0,"Simone",IF(COUNTIF(Asta!$D$4:$D$47,'_Supporto Listone'!B432)&gt;0,"Giacomo",IF(COUNTIF(Asta!$F$4:$F$47,'_Supporto Listone'!B432)&gt;0,"Niko",IF(COUNTIF(Asta!$H$4:$H$47,'_Supporto Listone'!B432)&gt;0,"Quici",IF(COUNTIF(Asta!$J$4:$J$47,'_Supporto Listone'!B432)&gt;0,"Fratello Quici",IF(COUNTIF(Asta!$L$4:$L$47,'_Supporto Listone'!B432)&gt;0,"Nicolò",IF(COUNTIF(Asta!$N$4:$N$47,'_Supporto Listone'!B432)&gt;0,"Vi",IF(COUNTIF(Asta!$P$4:$P$47,'_Supporto Listone'!B432)&gt;0,"Lore",IF(COUNTIF(Asta!$R$4:$R$47,'_Supporto Listone'!B432)&gt;0,"Robbo",IF(COUNTIF(Asta!$T$4:$T$47,'_Supporto Listone'!B432)&gt;0,"Ale",""))))))))))</x:f>
      </x:c>
      <x:c r="K432" s="497" t="str">
        <x:f>IF(COUNTIF(Asta!$B$4:$B$47,'_Supporto Listone'!B432)&gt;0,INDEX(Asta!$C$4:$C$47,MATCH('_Supporto Listone'!B432,Asta!$B$4:$B$47,0)),IF(COUNTIF(Asta!$D$4:$D$47,'_Supporto Listone'!B432)&gt;0,INDEX(Asta!$E$4:$E$47,MATCH('_Supporto Listone'!B432,Asta!$D$4:$D$47,0)),IF(COUNTIF(Asta!$F$4:$F$47,'_Supporto Listone'!B432)&gt;0,INDEX(Asta!$G$4:$G$47,MATCH('_Supporto Listone'!B432,Asta!$F$4:$F$47,0)),IF(COUNTIF(Asta!$H$4:$H$47,'_Supporto Listone'!B432)&gt;0,INDEX(Asta!$I$4:$I$47,MATCH('_Supporto Listone'!B432,Asta!$H$4:$H$47,0)),IF(COUNTIF(Asta!$J$4:$J$47,'_Supporto Listone'!B432)&gt;0,INDEX(Asta!$K$4:$K$47,MATCH('_Supporto Listone'!B432,Asta!$J$4:$J$47,0)),IF(COUNTIF(Asta!$L$4:$L$47,'_Supporto Listone'!B432)&gt;0,INDEX(Asta!$M$4:$M$47,MATCH('_Supporto Listone'!B432,Asta!$L$4:$L$47,0)),IF(COUNTIF(Asta!$N$4:$N$47,'_Supporto Listone'!B432)&gt;0,INDEX(Asta!$O$4:$O$47,MATCH('_Supporto Listone'!B432,Asta!$N$4:$N$47,0)),IF(COUNTIF(Asta!$P$4:$P$47,'_Supporto Listone'!B432)&gt;0,INDEX(Asta!$Q$4:$Q$47,MATCH('_Supporto Listone'!B432,Asta!$P$4:$P$47,0)),IF(COUNTIF(Asta!$R$4:$R$47,'_Supporto Listone'!B432)&gt;0,INDEX(Asta!$S$4:$S$47,MATCH('_Supporto Listone'!B432,Asta!$R$4:$R$47,0)),IF(COUNTIF(Asta!$T$4:$T$47,'_Supporto Listone'!B432)&gt;0,INDEX(Asta!$U$4:$U$47,MATCH('_Supporto Listone'!B432,Asta!$T$4:$T$47,0)),""))))))))))</x:f>
      </x:c>
    </x:row>
    <x:row r="433">
      <x:c r="A433" s="448" t="str">
        <x:f>IF($J433&lt;&gt;"",REGEXREPLACE(TO_TEXT('_Supporto Listone'!A433),"(.)","$1"&amp;UNICHAR(822)),'_Supporto Listone'!A433)</x:f>
        <x:v>A</x:v>
      </x:c>
      <x:c r="B433" s="449" t="str">
        <x:f>IF($J433&lt;&gt;"",REGEXREPLACE(TO_TEXT('_Supporto Listone'!B433),"(.)","$1"&amp;UNICHAR(822)),'_Supporto Listone'!B433)</x:f>
        <x:v>Douvikas</x:v>
      </x:c>
      <x:c r="C433" s="449" t="str">
        <x:f>IF($J433&lt;&gt;"",REGEXREPLACE(TO_TEXT('_Supporto Listone'!C433),"(.)","$1"&amp;UNICHAR(822)),'_Supporto Listone'!C433)</x:f>
        <x:v>Como</x:v>
      </x:c>
      <x:c r="D433" s="449" t="str">
        <x:f>IF($J433&lt;&gt;"",REGEXREPLACE(TO_TEXT('_Supporto Listone'!D433),"(.)","$1"&amp;UNICHAR(822)),'_Supporto Listone'!D433)</x:f>
        <x:v>Pc</x:v>
      </x:c>
      <x:c r="E433" s="449" t="str">
        <x:f>IF($J433&lt;&gt;"",REGEXREPLACE(TO_TEXT('_Supporto Listone'!E433),"(.)","$1"&amp;UNICHAR(822)),'_Supporto Listone'!E433)</x:f>
        <x:v>Ballottaggio</x:v>
      </x:c>
      <x:c r="F433" s="466" t="n">
        <x:f>IF($J433&lt;&gt;"",REGEXREPLACE(TO_TEXT('_Supporto Listone'!F433),"(.)","$1"&amp;UNICHAR(822)),'_Supporto Listone'!F433)</x:f>
        <x:v>20</x:v>
      </x:c>
      <x:c r="G433" s="466" t="n">
        <x:f>IF($J433&lt;&gt;"",REGEXREPLACE(TO_TEXT('_Supporto Listone'!G433),"(.)","$1"&amp;UNICHAR(822)),'_Supporto Listone'!G433)</x:f>
        <x:v>157</x:v>
      </x:c>
      <x:c r="H433" s="466" t="n">
        <x:f>IF($J433&lt;&gt;"",REGEXREPLACE(TO_TEXT('_Supporto Listone'!H433),"(.)","$1"&amp;UNICHAR(822)),'_Supporto Listone'!H433)</x:f>
        <x:v>79</x:v>
      </x:c>
      <x:c r="I433" s="450" t="str">
        <x:f>IF($J433&lt;&gt;"",REGEXREPLACE(TO_TEXT('_Supporto Listone'!I433),"(.)","$1"&amp;UNICHAR(822)),'_Supporto Listone'!I433)</x:f>
        <x:v>Rigorista</x:v>
      </x:c>
      <x:c r="J433" s="449" t="str">
        <x:f>IF(COUNTIF(Asta!$B$4:$B$47,'_Supporto Listone'!B433)&gt;0,"Simone",IF(COUNTIF(Asta!$D$4:$D$47,'_Supporto Listone'!B433)&gt;0,"Giacomo",IF(COUNTIF(Asta!$F$4:$F$47,'_Supporto Listone'!B433)&gt;0,"Niko",IF(COUNTIF(Asta!$H$4:$H$47,'_Supporto Listone'!B433)&gt;0,"Quici",IF(COUNTIF(Asta!$J$4:$J$47,'_Supporto Listone'!B433)&gt;0,"Fratello Quici",IF(COUNTIF(Asta!$L$4:$L$47,'_Supporto Listone'!B433)&gt;0,"Nicolò",IF(COUNTIF(Asta!$N$4:$N$47,'_Supporto Listone'!B433)&gt;0,"Vi",IF(COUNTIF(Asta!$P$4:$P$47,'_Supporto Listone'!B433)&gt;0,"Lore",IF(COUNTIF(Asta!$R$4:$R$47,'_Supporto Listone'!B433)&gt;0,"Robbo",IF(COUNTIF(Asta!$T$4:$T$47,'_Supporto Listone'!B433)&gt;0,"Ale",""))))))))))</x:f>
      </x:c>
      <x:c r="K433" s="497" t="str">
        <x:f>IF(COUNTIF(Asta!$B$4:$B$47,'_Supporto Listone'!B433)&gt;0,INDEX(Asta!$C$4:$C$47,MATCH('_Supporto Listone'!B433,Asta!$B$4:$B$47,0)),IF(COUNTIF(Asta!$D$4:$D$47,'_Supporto Listone'!B433)&gt;0,INDEX(Asta!$E$4:$E$47,MATCH('_Supporto Listone'!B433,Asta!$D$4:$D$47,0)),IF(COUNTIF(Asta!$F$4:$F$47,'_Supporto Listone'!B433)&gt;0,INDEX(Asta!$G$4:$G$47,MATCH('_Supporto Listone'!B433,Asta!$F$4:$F$47,0)),IF(COUNTIF(Asta!$H$4:$H$47,'_Supporto Listone'!B433)&gt;0,INDEX(Asta!$I$4:$I$47,MATCH('_Supporto Listone'!B433,Asta!$H$4:$H$47,0)),IF(COUNTIF(Asta!$J$4:$J$47,'_Supporto Listone'!B433)&gt;0,INDEX(Asta!$K$4:$K$47,MATCH('_Supporto Listone'!B433,Asta!$J$4:$J$47,0)),IF(COUNTIF(Asta!$L$4:$L$47,'_Supporto Listone'!B433)&gt;0,INDEX(Asta!$M$4:$M$47,MATCH('_Supporto Listone'!B433,Asta!$L$4:$L$47,0)),IF(COUNTIF(Asta!$N$4:$N$47,'_Supporto Listone'!B433)&gt;0,INDEX(Asta!$O$4:$O$47,MATCH('_Supporto Listone'!B433,Asta!$N$4:$N$47,0)),IF(COUNTIF(Asta!$P$4:$P$47,'_Supporto Listone'!B433)&gt;0,INDEX(Asta!$Q$4:$Q$47,MATCH('_Supporto Listone'!B433,Asta!$P$4:$P$47,0)),IF(COUNTIF(Asta!$R$4:$R$47,'_Supporto Listone'!B433)&gt;0,INDEX(Asta!$S$4:$S$47,MATCH('_Supporto Listone'!B433,Asta!$R$4:$R$47,0)),IF(COUNTIF(Asta!$T$4:$T$47,'_Supporto Listone'!B433)&gt;0,INDEX(Asta!$U$4:$U$47,MATCH('_Supporto Listone'!B433,Asta!$T$4:$T$47,0)),""))))))))))</x:f>
      </x:c>
    </x:row>
    <x:row r="434">
      <x:c r="A434" s="448" t="str">
        <x:f>IF($J434&lt;&gt;"",REGEXREPLACE(TO_TEXT('_Supporto Listone'!A434),"(.)","$1"&amp;UNICHAR(822)),'_Supporto Listone'!A434)</x:f>
        <x:v>A</x:v>
      </x:c>
      <x:c r="B434" s="449" t="str">
        <x:f>IF($J434&lt;&gt;"",REGEXREPLACE(TO_TEXT('_Supporto Listone'!B434),"(.)","$1"&amp;UNICHAR(822)),'_Supporto Listone'!B434)</x:f>
        <x:v>Scamacca</x:v>
      </x:c>
      <x:c r="C434" s="449" t="str">
        <x:f>IF($J434&lt;&gt;"",REGEXREPLACE(TO_TEXT('_Supporto Listone'!C434),"(.)","$1"&amp;UNICHAR(822)),'_Supporto Listone'!C434)</x:f>
        <x:v>Atalanta</x:v>
      </x:c>
      <x:c r="D434" s="449" t="str">
        <x:f>IF($J434&lt;&gt;"",REGEXREPLACE(TO_TEXT('_Supporto Listone'!D434),"(.)","$1"&amp;UNICHAR(822)),'_Supporto Listone'!D434)</x:f>
        <x:v>Pc</x:v>
      </x:c>
      <x:c r="E434" s="449" t="str">
        <x:f>IF($J434&lt;&gt;"",REGEXREPLACE(TO_TEXT('_Supporto Listone'!E434),"(.)","$1"&amp;UNICHAR(822)),'_Supporto Listone'!E434)</x:f>
        <x:v>Titolare / ballottaggio</x:v>
      </x:c>
      <x:c r="F434" s="466" t="n">
        <x:f>IF($J434&lt;&gt;"",REGEXREPLACE(TO_TEXT('_Supporto Listone'!F434),"(.)","$1"&amp;UNICHAR(822)),'_Supporto Listone'!F434)</x:f>
        <x:v>19</x:v>
      </x:c>
      <x:c r="G434" s="466" t="n">
        <x:f>IF($J434&lt;&gt;"",REGEXREPLACE(TO_TEXT('_Supporto Listone'!G434),"(.)","$1"&amp;UNICHAR(822)),'_Supporto Listone'!G434)</x:f>
        <x:v>128</x:v>
      </x:c>
      <x:c r="H434" s="466" t="n">
        <x:f>IF($J434&lt;&gt;"",REGEXREPLACE(TO_TEXT('_Supporto Listone'!H434),"(.)","$1"&amp;UNICHAR(822)),'_Supporto Listone'!H434)</x:f>
        <x:v>65</x:v>
      </x:c>
      <x:c r="I434" s="450" t="str">
        <x:f>IF($J434&lt;&gt;"",REGEXREPLACE(TO_TEXT('_Supporto Listone'!I434),"(.)","$1"&amp;UNICHAR(822)),'_Supporto Listone'!I434)</x:f>
        <x:v>Rigorista</x:v>
      </x:c>
      <x:c r="J434" s="449" t="str">
        <x:f>IF(COUNTIF(Asta!$B$4:$B$47,'_Supporto Listone'!B434)&gt;0,"Simone",IF(COUNTIF(Asta!$D$4:$D$47,'_Supporto Listone'!B434)&gt;0,"Giacomo",IF(COUNTIF(Asta!$F$4:$F$47,'_Supporto Listone'!B434)&gt;0,"Niko",IF(COUNTIF(Asta!$H$4:$H$47,'_Supporto Listone'!B434)&gt;0,"Quici",IF(COUNTIF(Asta!$J$4:$J$47,'_Supporto Listone'!B434)&gt;0,"Fratello Quici",IF(COUNTIF(Asta!$L$4:$L$47,'_Supporto Listone'!B434)&gt;0,"Nicolò",IF(COUNTIF(Asta!$N$4:$N$47,'_Supporto Listone'!B434)&gt;0,"Vi",IF(COUNTIF(Asta!$P$4:$P$47,'_Supporto Listone'!B434)&gt;0,"Lore",IF(COUNTIF(Asta!$R$4:$R$47,'_Supporto Listone'!B434)&gt;0,"Robbo",IF(COUNTIF(Asta!$T$4:$T$47,'_Supporto Listone'!B434)&gt;0,"Ale",""))))))))))</x:f>
      </x:c>
      <x:c r="K434" s="497" t="str">
        <x:f>IF(COUNTIF(Asta!$B$4:$B$47,'_Supporto Listone'!B434)&gt;0,INDEX(Asta!$C$4:$C$47,MATCH('_Supporto Listone'!B434,Asta!$B$4:$B$47,0)),IF(COUNTIF(Asta!$D$4:$D$47,'_Supporto Listone'!B434)&gt;0,INDEX(Asta!$E$4:$E$47,MATCH('_Supporto Listone'!B434,Asta!$D$4:$D$47,0)),IF(COUNTIF(Asta!$F$4:$F$47,'_Supporto Listone'!B434)&gt;0,INDEX(Asta!$G$4:$G$47,MATCH('_Supporto Listone'!B434,Asta!$F$4:$F$47,0)),IF(COUNTIF(Asta!$H$4:$H$47,'_Supporto Listone'!B434)&gt;0,INDEX(Asta!$I$4:$I$47,MATCH('_Supporto Listone'!B434,Asta!$H$4:$H$47,0)),IF(COUNTIF(Asta!$J$4:$J$47,'_Supporto Listone'!B434)&gt;0,INDEX(Asta!$K$4:$K$47,MATCH('_Supporto Listone'!B434,Asta!$J$4:$J$47,0)),IF(COUNTIF(Asta!$L$4:$L$47,'_Supporto Listone'!B434)&gt;0,INDEX(Asta!$M$4:$M$47,MATCH('_Supporto Listone'!B434,Asta!$L$4:$L$47,0)),IF(COUNTIF(Asta!$N$4:$N$47,'_Supporto Listone'!B434)&gt;0,INDEX(Asta!$O$4:$O$47,MATCH('_Supporto Listone'!B434,Asta!$N$4:$N$47,0)),IF(COUNTIF(Asta!$P$4:$P$47,'_Supporto Listone'!B434)&gt;0,INDEX(Asta!$Q$4:$Q$47,MATCH('_Supporto Listone'!B434,Asta!$P$4:$P$47,0)),IF(COUNTIF(Asta!$R$4:$R$47,'_Supporto Listone'!B434)&gt;0,INDEX(Asta!$S$4:$S$47,MATCH('_Supporto Listone'!B434,Asta!$R$4:$R$47,0)),IF(COUNTIF(Asta!$T$4:$T$47,'_Supporto Listone'!B434)&gt;0,INDEX(Asta!$U$4:$U$47,MATCH('_Supporto Listone'!B434,Asta!$T$4:$T$47,0)),""))))))))))</x:f>
      </x:c>
    </x:row>
    <x:row r="435">
      <x:c r="A435" s="448" t="str">
        <x:f>IF($J435&lt;&gt;"",REGEXREPLACE(TO_TEXT('_Supporto Listone'!A435),"(.)","$1"&amp;UNICHAR(822)),'_Supporto Listone'!A435)</x:f>
        <x:v>A</x:v>
      </x:c>
      <x:c r="B435" s="449" t="str">
        <x:f>IF($J435&lt;&gt;"",REGEXREPLACE(TO_TEXT('_Supporto Listone'!B435),"(.)","$1"&amp;UNICHAR(822)),'_Supporto Listone'!B435)</x:f>
        <x:v>Davis K.</x:v>
      </x:c>
      <x:c r="C435" s="449" t="str">
        <x:f>IF($J435&lt;&gt;"",REGEXREPLACE(TO_TEXT('_Supporto Listone'!C435),"(.)","$1"&amp;UNICHAR(822)),'_Supporto Listone'!C435)</x:f>
        <x:v>Udinese</x:v>
      </x:c>
      <x:c r="D435" s="449" t="str">
        <x:f>IF($J435&lt;&gt;"",REGEXREPLACE(TO_TEXT('_Supporto Listone'!D435),"(.)","$1"&amp;UNICHAR(822)),'_Supporto Listone'!D435)</x:f>
        <x:v>Pc</x:v>
      </x:c>
      <x:c r="E435" s="449" t="str">
        <x:f>IF($J435&lt;&gt;"",REGEXREPLACE(TO_TEXT('_Supporto Listone'!E435),"(.)","$1"&amp;UNICHAR(822)),'_Supporto Listone'!E435)</x:f>
        <x:v>Titolare</x:v>
      </x:c>
      <x:c r="F435" s="466" t="n">
        <x:f>IF($J435&lt;&gt;"",REGEXREPLACE(TO_TEXT('_Supporto Listone'!F435),"(.)","$1"&amp;UNICHAR(822)),'_Supporto Listone'!F435)</x:f>
        <x:v>19</x:v>
      </x:c>
      <x:c r="G435" s="466" t="n">
        <x:f>IF($J435&lt;&gt;"",REGEXREPLACE(TO_TEXT('_Supporto Listone'!G435),"(.)","$1"&amp;UNICHAR(822)),'_Supporto Listone'!G435)</x:f>
        <x:v>121</x:v>
      </x:c>
      <x:c r="H435" s="466" t="n">
        <x:f>IF($J435&lt;&gt;"",REGEXREPLACE(TO_TEXT('_Supporto Listone'!H435),"(.)","$1"&amp;UNICHAR(822)),'_Supporto Listone'!H435)</x:f>
        <x:v>61</x:v>
      </x:c>
      <x:c r="I435" s="450" t="str">
        <x:f>IF($J435&lt;&gt;"",REGEXREPLACE(TO_TEXT('_Supporto Listone'!I435),"(.)","$1"&amp;UNICHAR(822)),'_Supporto Listone'!I435)</x:f>
        <x:v>Rigorista</x:v>
      </x:c>
      <x:c r="J435" s="449" t="str">
        <x:f>IF(COUNTIF(Asta!$B$4:$B$47,'_Supporto Listone'!B435)&gt;0,"Simone",IF(COUNTIF(Asta!$D$4:$D$47,'_Supporto Listone'!B435)&gt;0,"Giacomo",IF(COUNTIF(Asta!$F$4:$F$47,'_Supporto Listone'!B435)&gt;0,"Niko",IF(COUNTIF(Asta!$H$4:$H$47,'_Supporto Listone'!B435)&gt;0,"Quici",IF(COUNTIF(Asta!$J$4:$J$47,'_Supporto Listone'!B435)&gt;0,"Fratello Quici",IF(COUNTIF(Asta!$L$4:$L$47,'_Supporto Listone'!B435)&gt;0,"Nicolò",IF(COUNTIF(Asta!$N$4:$N$47,'_Supporto Listone'!B435)&gt;0,"Vi",IF(COUNTIF(Asta!$P$4:$P$47,'_Supporto Listone'!B435)&gt;0,"Lore",IF(COUNTIF(Asta!$R$4:$R$47,'_Supporto Listone'!B435)&gt;0,"Robbo",IF(COUNTIF(Asta!$T$4:$T$47,'_Supporto Listone'!B435)&gt;0,"Ale",""))))))))))</x:f>
      </x:c>
      <x:c r="K435" s="497" t="str">
        <x:f>IF(COUNTIF(Asta!$B$4:$B$47,'_Supporto Listone'!B435)&gt;0,INDEX(Asta!$C$4:$C$47,MATCH('_Supporto Listone'!B435,Asta!$B$4:$B$47,0)),IF(COUNTIF(Asta!$D$4:$D$47,'_Supporto Listone'!B435)&gt;0,INDEX(Asta!$E$4:$E$47,MATCH('_Supporto Listone'!B435,Asta!$D$4:$D$47,0)),IF(COUNTIF(Asta!$F$4:$F$47,'_Supporto Listone'!B435)&gt;0,INDEX(Asta!$G$4:$G$47,MATCH('_Supporto Listone'!B435,Asta!$F$4:$F$47,0)),IF(COUNTIF(Asta!$H$4:$H$47,'_Supporto Listone'!B435)&gt;0,INDEX(Asta!$I$4:$I$47,MATCH('_Supporto Listone'!B435,Asta!$H$4:$H$47,0)),IF(COUNTIF(Asta!$J$4:$J$47,'_Supporto Listone'!B435)&gt;0,INDEX(Asta!$K$4:$K$47,MATCH('_Supporto Listone'!B435,Asta!$J$4:$J$47,0)),IF(COUNTIF(Asta!$L$4:$L$47,'_Supporto Listone'!B435)&gt;0,INDEX(Asta!$M$4:$M$47,MATCH('_Supporto Listone'!B435,Asta!$L$4:$L$47,0)),IF(COUNTIF(Asta!$N$4:$N$47,'_Supporto Listone'!B435)&gt;0,INDEX(Asta!$O$4:$O$47,MATCH('_Supporto Listone'!B435,Asta!$N$4:$N$47,0)),IF(COUNTIF(Asta!$P$4:$P$47,'_Supporto Listone'!B435)&gt;0,INDEX(Asta!$Q$4:$Q$47,MATCH('_Supporto Listone'!B435,Asta!$P$4:$P$47,0)),IF(COUNTIF(Asta!$R$4:$R$47,'_Supporto Listone'!B435)&gt;0,INDEX(Asta!$S$4:$S$47,MATCH('_Supporto Listone'!B435,Asta!$R$4:$R$47,0)),IF(COUNTIF(Asta!$T$4:$T$47,'_Supporto Listone'!B435)&gt;0,INDEX(Asta!$U$4:$U$47,MATCH('_Supporto Listone'!B435,Asta!$T$4:$T$47,0)),""))))))))))</x:f>
      </x:c>
    </x:row>
    <x:row r="436">
      <x:c r="A436" s="448" t="str">
        <x:f>IF($J436&lt;&gt;"",REGEXREPLACE(TO_TEXT('_Supporto Listone'!A436),"(.)","$1"&amp;UNICHAR(822)),'_Supporto Listone'!A436)</x:f>
        <x:v>A</x:v>
      </x:c>
      <x:c r="B436" s="449" t="str">
        <x:f>IF($J436&lt;&gt;"",REGEXREPLACE(TO_TEXT('_Supporto Listone'!B436),"(.)","$1"&amp;UNICHAR(822)),'_Supporto Listone'!B436)</x:f>
        <x:v>Krstovic</x:v>
      </x:c>
      <x:c r="C436" s="449" t="str">
        <x:f>IF($J436&lt;&gt;"",REGEXREPLACE(TO_TEXT('_Supporto Listone'!C436),"(.)","$1"&amp;UNICHAR(822)),'_Supporto Listone'!C436)</x:f>
        <x:v>Atalanta</x:v>
      </x:c>
      <x:c r="D436" s="449" t="str">
        <x:f>IF($J436&lt;&gt;"",REGEXREPLACE(TO_TEXT('_Supporto Listone'!D436),"(.)","$1"&amp;UNICHAR(822)),'_Supporto Listone'!D436)</x:f>
        <x:v>Pc</x:v>
      </x:c>
      <x:c r="E436" s="449" t="str">
        <x:f>IF($J436&lt;&gt;"",REGEXREPLACE(TO_TEXT('_Supporto Listone'!E436),"(.)","$1"&amp;UNICHAR(822)),'_Supporto Listone'!E436)</x:f>
        <x:v>Ballottaggio</x:v>
      </x:c>
      <x:c r="F436" s="466" t="n">
        <x:f>IF($J436&lt;&gt;"",REGEXREPLACE(TO_TEXT('_Supporto Listone'!F436),"(.)","$1"&amp;UNICHAR(822)),'_Supporto Listone'!F436)</x:f>
        <x:v>18</x:v>
      </x:c>
      <x:c r="G436" s="466" t="n">
        <x:f>IF($J436&lt;&gt;"",REGEXREPLACE(TO_TEXT('_Supporto Listone'!G436),"(.)","$1"&amp;UNICHAR(822)),'_Supporto Listone'!G436)</x:f>
        <x:v>100</x:v>
      </x:c>
      <x:c r="H436" s="466" t="n">
        <x:f>IF($J436&lt;&gt;"",REGEXREPLACE(TO_TEXT('_Supporto Listone'!H436),"(.)","$1"&amp;UNICHAR(822)),'_Supporto Listone'!H436)</x:f>
        <x:v>50</x:v>
      </x:c>
      <x:c r="I436" s="450" t="str">
        <x:f>IF($J436&lt;&gt;"",REGEXREPLACE(TO_TEXT('_Supporto Listone'!I436),"(.)","$1"&amp;UNICHAR(822)),'_Supporto Listone'!I436)</x:f>
        <x:v>Rigorista</x:v>
      </x:c>
      <x:c r="J436" s="449" t="str">
        <x:f>IF(COUNTIF(Asta!$B$4:$B$47,'_Supporto Listone'!B436)&gt;0,"Simone",IF(COUNTIF(Asta!$D$4:$D$47,'_Supporto Listone'!B436)&gt;0,"Giacomo",IF(COUNTIF(Asta!$F$4:$F$47,'_Supporto Listone'!B436)&gt;0,"Niko",IF(COUNTIF(Asta!$H$4:$H$47,'_Supporto Listone'!B436)&gt;0,"Quici",IF(COUNTIF(Asta!$J$4:$J$47,'_Supporto Listone'!B436)&gt;0,"Fratello Quici",IF(COUNTIF(Asta!$L$4:$L$47,'_Supporto Listone'!B436)&gt;0,"Nicolò",IF(COUNTIF(Asta!$N$4:$N$47,'_Supporto Listone'!B436)&gt;0,"Vi",IF(COUNTIF(Asta!$P$4:$P$47,'_Supporto Listone'!B436)&gt;0,"Lore",IF(COUNTIF(Asta!$R$4:$R$47,'_Supporto Listone'!B436)&gt;0,"Robbo",IF(COUNTIF(Asta!$T$4:$T$47,'_Supporto Listone'!B436)&gt;0,"Ale",""))))))))))</x:f>
      </x:c>
      <x:c r="K436" s="497" t="str">
        <x:f>IF(COUNTIF(Asta!$B$4:$B$47,'_Supporto Listone'!B436)&gt;0,INDEX(Asta!$C$4:$C$47,MATCH('_Supporto Listone'!B436,Asta!$B$4:$B$47,0)),IF(COUNTIF(Asta!$D$4:$D$47,'_Supporto Listone'!B436)&gt;0,INDEX(Asta!$E$4:$E$47,MATCH('_Supporto Listone'!B436,Asta!$D$4:$D$47,0)),IF(COUNTIF(Asta!$F$4:$F$47,'_Supporto Listone'!B436)&gt;0,INDEX(Asta!$G$4:$G$47,MATCH('_Supporto Listone'!B436,Asta!$F$4:$F$47,0)),IF(COUNTIF(Asta!$H$4:$H$47,'_Supporto Listone'!B436)&gt;0,INDEX(Asta!$I$4:$I$47,MATCH('_Supporto Listone'!B436,Asta!$H$4:$H$47,0)),IF(COUNTIF(Asta!$J$4:$J$47,'_Supporto Listone'!B436)&gt;0,INDEX(Asta!$K$4:$K$47,MATCH('_Supporto Listone'!B436,Asta!$J$4:$J$47,0)),IF(COUNTIF(Asta!$L$4:$L$47,'_Supporto Listone'!B436)&gt;0,INDEX(Asta!$M$4:$M$47,MATCH('_Supporto Listone'!B436,Asta!$L$4:$L$47,0)),IF(COUNTIF(Asta!$N$4:$N$47,'_Supporto Listone'!B436)&gt;0,INDEX(Asta!$O$4:$O$47,MATCH('_Supporto Listone'!B436,Asta!$N$4:$N$47,0)),IF(COUNTIF(Asta!$P$4:$P$47,'_Supporto Listone'!B436)&gt;0,INDEX(Asta!$Q$4:$Q$47,MATCH('_Supporto Listone'!B436,Asta!$P$4:$P$47,0)),IF(COUNTIF(Asta!$R$4:$R$47,'_Supporto Listone'!B436)&gt;0,INDEX(Asta!$S$4:$S$47,MATCH('_Supporto Listone'!B436,Asta!$R$4:$R$47,0)),IF(COUNTIF(Asta!$T$4:$T$47,'_Supporto Listone'!B436)&gt;0,INDEX(Asta!$U$4:$U$47,MATCH('_Supporto Listone'!B436,Asta!$T$4:$T$47,0)),""))))))))))</x:f>
      </x:c>
    </x:row>
    <x:row r="437">
      <x:c r="A437" s="448" t="str">
        <x:f>IF($J437&lt;&gt;"",REGEXREPLACE(TO_TEXT('_Supporto Listone'!A437),"(.)","$1"&amp;UNICHAR(822)),'_Supporto Listone'!A437)</x:f>
        <x:v>A</x:v>
      </x:c>
      <x:c r="B437" s="449" t="str">
        <x:f>IF($J437&lt;&gt;"",REGEXREPLACE(TO_TEXT('_Supporto Listone'!B437),"(.)","$1"&amp;UNICHAR(822)),'_Supporto Listone'!B437)</x:f>
        <x:v>Leao</x:v>
      </x:c>
      <x:c r="C437" s="449" t="str">
        <x:f>IF($J437&lt;&gt;"",REGEXREPLACE(TO_TEXT('_Supporto Listone'!C437),"(.)","$1"&amp;UNICHAR(822)),'_Supporto Listone'!C437)</x:f>
        <x:v>Milan</x:v>
      </x:c>
      <x:c r="D437" s="449" t="str">
        <x:f>IF($J437&lt;&gt;"",REGEXREPLACE(TO_TEXT('_Supporto Listone'!D437),"(.)","$1"&amp;UNICHAR(822)),'_Supporto Listone'!D437)</x:f>
        <x:v>A</x:v>
      </x:c>
      <x:c r="E437" s="449" t="str">
        <x:f>IF($J437&lt;&gt;"",REGEXREPLACE(TO_TEXT('_Supporto Listone'!E437),"(.)","$1"&amp;UNICHAR(822)),'_Supporto Listone'!E437)</x:f>
        <x:v>Riserva / rotazione</x:v>
      </x:c>
      <x:c r="F437" s="466" t="n">
        <x:f>IF($J437&lt;&gt;"",REGEXREPLACE(TO_TEXT('_Supporto Listone'!F437),"(.)","$1"&amp;UNICHAR(822)),'_Supporto Listone'!F437)</x:f>
        <x:v>18</x:v>
      </x:c>
      <x:c r="G437" s="466" t="n">
        <x:f>IF($J437&lt;&gt;"",REGEXREPLACE(TO_TEXT('_Supporto Listone'!G437),"(.)","$1"&amp;UNICHAR(822)),'_Supporto Listone'!G437)</x:f>
        <x:v>120</x:v>
      </x:c>
      <x:c r="H437" s="466" t="n">
        <x:f>IF($J437&lt;&gt;"",REGEXREPLACE(TO_TEXT('_Supporto Listone'!H437),"(.)","$1"&amp;UNICHAR(822)),'_Supporto Listone'!H437)</x:f>
        <x:v>60</x:v>
      </x:c>
      <x:c r="I437" s="450"/>
      <x:c r="J437" s="449" t="str">
        <x:f>IF(COUNTIF(Asta!$B$4:$B$47,'_Supporto Listone'!B437)&gt;0,"Simone",IF(COUNTIF(Asta!$D$4:$D$47,'_Supporto Listone'!B437)&gt;0,"Giacomo",IF(COUNTIF(Asta!$F$4:$F$47,'_Supporto Listone'!B437)&gt;0,"Niko",IF(COUNTIF(Asta!$H$4:$H$47,'_Supporto Listone'!B437)&gt;0,"Quici",IF(COUNTIF(Asta!$J$4:$J$47,'_Supporto Listone'!B437)&gt;0,"Fratello Quici",IF(COUNTIF(Asta!$L$4:$L$47,'_Supporto Listone'!B437)&gt;0,"Nicolò",IF(COUNTIF(Asta!$N$4:$N$47,'_Supporto Listone'!B437)&gt;0,"Vi",IF(COUNTIF(Asta!$P$4:$P$47,'_Supporto Listone'!B437)&gt;0,"Lore",IF(COUNTIF(Asta!$R$4:$R$47,'_Supporto Listone'!B437)&gt;0,"Robbo",IF(COUNTIF(Asta!$T$4:$T$47,'_Supporto Listone'!B437)&gt;0,"Ale",""))))))))))</x:f>
      </x:c>
      <x:c r="K437" s="497" t="str">
        <x:f>IF(COUNTIF(Asta!$B$4:$B$47,'_Supporto Listone'!B437)&gt;0,INDEX(Asta!$C$4:$C$47,MATCH('_Supporto Listone'!B437,Asta!$B$4:$B$47,0)),IF(COUNTIF(Asta!$D$4:$D$47,'_Supporto Listone'!B437)&gt;0,INDEX(Asta!$E$4:$E$47,MATCH('_Supporto Listone'!B437,Asta!$D$4:$D$47,0)),IF(COUNTIF(Asta!$F$4:$F$47,'_Supporto Listone'!B437)&gt;0,INDEX(Asta!$G$4:$G$47,MATCH('_Supporto Listone'!B437,Asta!$F$4:$F$47,0)),IF(COUNTIF(Asta!$H$4:$H$47,'_Supporto Listone'!B437)&gt;0,INDEX(Asta!$I$4:$I$47,MATCH('_Supporto Listone'!B437,Asta!$H$4:$H$47,0)),IF(COUNTIF(Asta!$J$4:$J$47,'_Supporto Listone'!B437)&gt;0,INDEX(Asta!$K$4:$K$47,MATCH('_Supporto Listone'!B437,Asta!$J$4:$J$47,0)),IF(COUNTIF(Asta!$L$4:$L$47,'_Supporto Listone'!B437)&gt;0,INDEX(Asta!$M$4:$M$47,MATCH('_Supporto Listone'!B437,Asta!$L$4:$L$47,0)),IF(COUNTIF(Asta!$N$4:$N$47,'_Supporto Listone'!B437)&gt;0,INDEX(Asta!$O$4:$O$47,MATCH('_Supporto Listone'!B437,Asta!$N$4:$N$47,0)),IF(COUNTIF(Asta!$P$4:$P$47,'_Supporto Listone'!B437)&gt;0,INDEX(Asta!$Q$4:$Q$47,MATCH('_Supporto Listone'!B437,Asta!$P$4:$P$47,0)),IF(COUNTIF(Asta!$R$4:$R$47,'_Supporto Listone'!B437)&gt;0,INDEX(Asta!$S$4:$S$47,MATCH('_Supporto Listone'!B437,Asta!$R$4:$R$47,0)),IF(COUNTIF(Asta!$T$4:$T$47,'_Supporto Listone'!B437)&gt;0,INDEX(Asta!$U$4:$U$47,MATCH('_Supporto Listone'!B437,Asta!$T$4:$T$47,0)),""))))))))))</x:f>
      </x:c>
    </x:row>
    <x:row r="438">
      <x:c r="A438" s="448" t="str">
        <x:f>IF($J438&lt;&gt;"",REGEXREPLACE(TO_TEXT('_Supporto Listone'!A438),"(.)","$1"&amp;UNICHAR(822)),'_Supporto Listone'!A438)</x:f>
        <x:v>A</x:v>
      </x:c>
      <x:c r="B438" s="449" t="str">
        <x:f>IF($J438&lt;&gt;"",REGEXREPLACE(TO_TEXT('_Supporto Listone'!B438),"(.)","$1"&amp;UNICHAR(822)),'_Supporto Listone'!B438)</x:f>
        <x:v>Berardi</x:v>
      </x:c>
      <x:c r="C438" s="449" t="str">
        <x:f>IF($J438&lt;&gt;"",REGEXREPLACE(TO_TEXT('_Supporto Listone'!C438),"(.)","$1"&amp;UNICHAR(822)),'_Supporto Listone'!C438)</x:f>
        <x:v>Sassuolo</x:v>
      </x:c>
      <x:c r="D438" s="449" t="str">
        <x:f>IF($J438&lt;&gt;"",REGEXREPLACE(TO_TEXT('_Supporto Listone'!D438),"(.)","$1"&amp;UNICHAR(822)),'_Supporto Listone'!D438)</x:f>
        <x:v>A</x:v>
      </x:c>
      <x:c r="E438" s="449" t="str">
        <x:f>IF($J438&lt;&gt;"",REGEXREPLACE(TO_TEXT('_Supporto Listone'!E438),"(.)","$1"&amp;UNICHAR(822)),'_Supporto Listone'!E438)</x:f>
        <x:v>Titolare</x:v>
      </x:c>
      <x:c r="F438" s="466" t="n">
        <x:f>IF($J438&lt;&gt;"",REGEXREPLACE(TO_TEXT('_Supporto Listone'!F438),"(.)","$1"&amp;UNICHAR(822)),'_Supporto Listone'!F438)</x:f>
        <x:v>18</x:v>
      </x:c>
      <x:c r="G438" s="466" t="n">
        <x:f>IF($J438&lt;&gt;"",REGEXREPLACE(TO_TEXT('_Supporto Listone'!G438),"(.)","$1"&amp;UNICHAR(822)),'_Supporto Listone'!G438)</x:f>
        <x:v>115</x:v>
      </x:c>
      <x:c r="H438" s="466" t="n">
        <x:f>IF($J438&lt;&gt;"",REGEXREPLACE(TO_TEXT('_Supporto Listone'!H438),"(.)","$1"&amp;UNICHAR(822)),'_Supporto Listone'!H438)</x:f>
        <x:v>58</x:v>
      </x:c>
      <x:c r="I438" s="450" t="str">
        <x:f>IF($J438&lt;&gt;"",REGEXREPLACE(TO_TEXT('_Supporto Listone'!I438),"(.)","$1"&amp;UNICHAR(822)),'_Supporto Listone'!I438)</x:f>
        <x:v>Rigorista · Piazzati</x:v>
      </x:c>
      <x:c r="J438" s="449" t="str">
        <x:f>IF(COUNTIF(Asta!$B$4:$B$47,'_Supporto Listone'!B438)&gt;0,"Simone",IF(COUNTIF(Asta!$D$4:$D$47,'_Supporto Listone'!B438)&gt;0,"Giacomo",IF(COUNTIF(Asta!$F$4:$F$47,'_Supporto Listone'!B438)&gt;0,"Niko",IF(COUNTIF(Asta!$H$4:$H$47,'_Supporto Listone'!B438)&gt;0,"Quici",IF(COUNTIF(Asta!$J$4:$J$47,'_Supporto Listone'!B438)&gt;0,"Fratello Quici",IF(COUNTIF(Asta!$L$4:$L$47,'_Supporto Listone'!B438)&gt;0,"Nicolò",IF(COUNTIF(Asta!$N$4:$N$47,'_Supporto Listone'!B438)&gt;0,"Vi",IF(COUNTIF(Asta!$P$4:$P$47,'_Supporto Listone'!B438)&gt;0,"Lore",IF(COUNTIF(Asta!$R$4:$R$47,'_Supporto Listone'!B438)&gt;0,"Robbo",IF(COUNTIF(Asta!$T$4:$T$47,'_Supporto Listone'!B438)&gt;0,"Ale",""))))))))))</x:f>
      </x:c>
      <x:c r="K438" s="497" t="str">
        <x:f>IF(COUNTIF(Asta!$B$4:$B$47,'_Supporto Listone'!B438)&gt;0,INDEX(Asta!$C$4:$C$47,MATCH('_Supporto Listone'!B438,Asta!$B$4:$B$47,0)),IF(COUNTIF(Asta!$D$4:$D$47,'_Supporto Listone'!B438)&gt;0,INDEX(Asta!$E$4:$E$47,MATCH('_Supporto Listone'!B438,Asta!$D$4:$D$47,0)),IF(COUNTIF(Asta!$F$4:$F$47,'_Supporto Listone'!B438)&gt;0,INDEX(Asta!$G$4:$G$47,MATCH('_Supporto Listone'!B438,Asta!$F$4:$F$47,0)),IF(COUNTIF(Asta!$H$4:$H$47,'_Supporto Listone'!B438)&gt;0,INDEX(Asta!$I$4:$I$47,MATCH('_Supporto Listone'!B438,Asta!$H$4:$H$47,0)),IF(COUNTIF(Asta!$J$4:$J$47,'_Supporto Listone'!B438)&gt;0,INDEX(Asta!$K$4:$K$47,MATCH('_Supporto Listone'!B438,Asta!$J$4:$J$47,0)),IF(COUNTIF(Asta!$L$4:$L$47,'_Supporto Listone'!B438)&gt;0,INDEX(Asta!$M$4:$M$47,MATCH('_Supporto Listone'!B438,Asta!$L$4:$L$47,0)),IF(COUNTIF(Asta!$N$4:$N$47,'_Supporto Listone'!B438)&gt;0,INDEX(Asta!$O$4:$O$47,MATCH('_Supporto Listone'!B438,Asta!$N$4:$N$47,0)),IF(COUNTIF(Asta!$P$4:$P$47,'_Supporto Listone'!B438)&gt;0,INDEX(Asta!$Q$4:$Q$47,MATCH('_Supporto Listone'!B438,Asta!$P$4:$P$47,0)),IF(COUNTIF(Asta!$R$4:$R$47,'_Supporto Listone'!B438)&gt;0,INDEX(Asta!$S$4:$S$47,MATCH('_Supporto Listone'!B438,Asta!$R$4:$R$47,0)),IF(COUNTIF(Asta!$T$4:$T$47,'_Supporto Listone'!B438)&gt;0,INDEX(Asta!$U$4:$U$47,MATCH('_Supporto Listone'!B438,Asta!$T$4:$T$47,0)),""))))))))))</x:f>
      </x:c>
    </x:row>
    <x:row r="439">
      <x:c r="A439" s="448" t="str">
        <x:f>IF($J439&lt;&gt;"",REGEXREPLACE(TO_TEXT('_Supporto Listone'!A439),"(.)","$1"&amp;UNICHAR(822)),'_Supporto Listone'!A439)</x:f>
        <x:v>A</x:v>
      </x:c>
      <x:c r="B439" s="449" t="str">
        <x:f>IF($J439&lt;&gt;"",REGEXREPLACE(TO_TEXT('_Supporto Listone'!B439),"(.)","$1"&amp;UNICHAR(822)),'_Supporto Listone'!B439)</x:f>
        <x:v>De Ketelaere</x:v>
      </x:c>
      <x:c r="C439" s="449" t="str">
        <x:f>IF($J439&lt;&gt;"",REGEXREPLACE(TO_TEXT('_Supporto Listone'!C439),"(.)","$1"&amp;UNICHAR(822)),'_Supporto Listone'!C439)</x:f>
        <x:v>Atalanta</x:v>
      </x:c>
      <x:c r="D439" s="449" t="str">
        <x:f>IF($J439&lt;&gt;"",REGEXREPLACE(TO_TEXT('_Supporto Listone'!D439),"(.)","$1"&amp;UNICHAR(822)),'_Supporto Listone'!D439)</x:f>
        <x:v>A</x:v>
      </x:c>
      <x:c r="E439" s="449" t="str">
        <x:f>IF($J439&lt;&gt;"",REGEXREPLACE(TO_TEXT('_Supporto Listone'!E439),"(.)","$1"&amp;UNICHAR(822)),'_Supporto Listone'!E439)</x:f>
        <x:v>Titolare</x:v>
      </x:c>
      <x:c r="F439" s="466" t="n">
        <x:f>IF($J439&lt;&gt;"",REGEXREPLACE(TO_TEXT('_Supporto Listone'!F439),"(.)","$1"&amp;UNICHAR(822)),'_Supporto Listone'!F439)</x:f>
        <x:v>17</x:v>
      </x:c>
      <x:c r="G439" s="466" t="n">
        <x:f>IF($J439&lt;&gt;"",REGEXREPLACE(TO_TEXT('_Supporto Listone'!G439),"(.)","$1"&amp;UNICHAR(822)),'_Supporto Listone'!G439)</x:f>
        <x:v>106</x:v>
      </x:c>
      <x:c r="H439" s="466" t="n">
        <x:f>IF($J439&lt;&gt;"",REGEXREPLACE(TO_TEXT('_Supporto Listone'!H439),"(.)","$1"&amp;UNICHAR(822)),'_Supporto Listone'!H439)</x:f>
        <x:v>53</x:v>
      </x:c>
      <x:c r="I439" s="450" t="str">
        <x:f>IF($J439&lt;&gt;"",REGEXREPLACE(TO_TEXT('_Supporto Listone'!I439),"(.)","$1"&amp;UNICHAR(822)),'_Supporto Listone'!I439)</x:f>
        <x:v>Piazzati</x:v>
      </x:c>
      <x:c r="J439" s="449" t="str">
        <x:f>IF(COUNTIF(Asta!$B$4:$B$47,'_Supporto Listone'!B439)&gt;0,"Simone",IF(COUNTIF(Asta!$D$4:$D$47,'_Supporto Listone'!B439)&gt;0,"Giacomo",IF(COUNTIF(Asta!$F$4:$F$47,'_Supporto Listone'!B439)&gt;0,"Niko",IF(COUNTIF(Asta!$H$4:$H$47,'_Supporto Listone'!B439)&gt;0,"Quici",IF(COUNTIF(Asta!$J$4:$J$47,'_Supporto Listone'!B439)&gt;0,"Fratello Quici",IF(COUNTIF(Asta!$L$4:$L$47,'_Supporto Listone'!B439)&gt;0,"Nicolò",IF(COUNTIF(Asta!$N$4:$N$47,'_Supporto Listone'!B439)&gt;0,"Vi",IF(COUNTIF(Asta!$P$4:$P$47,'_Supporto Listone'!B439)&gt;0,"Lore",IF(COUNTIF(Asta!$R$4:$R$47,'_Supporto Listone'!B439)&gt;0,"Robbo",IF(COUNTIF(Asta!$T$4:$T$47,'_Supporto Listone'!B439)&gt;0,"Ale",""))))))))))</x:f>
      </x:c>
      <x:c r="K439" s="497" t="str">
        <x:f>IF(COUNTIF(Asta!$B$4:$B$47,'_Supporto Listone'!B439)&gt;0,INDEX(Asta!$C$4:$C$47,MATCH('_Supporto Listone'!B439,Asta!$B$4:$B$47,0)),IF(COUNTIF(Asta!$D$4:$D$47,'_Supporto Listone'!B439)&gt;0,INDEX(Asta!$E$4:$E$47,MATCH('_Supporto Listone'!B439,Asta!$D$4:$D$47,0)),IF(COUNTIF(Asta!$F$4:$F$47,'_Supporto Listone'!B439)&gt;0,INDEX(Asta!$G$4:$G$47,MATCH('_Supporto Listone'!B439,Asta!$F$4:$F$47,0)),IF(COUNTIF(Asta!$H$4:$H$47,'_Supporto Listone'!B439)&gt;0,INDEX(Asta!$I$4:$I$47,MATCH('_Supporto Listone'!B439,Asta!$H$4:$H$47,0)),IF(COUNTIF(Asta!$J$4:$J$47,'_Supporto Listone'!B439)&gt;0,INDEX(Asta!$K$4:$K$47,MATCH('_Supporto Listone'!B439,Asta!$J$4:$J$47,0)),IF(COUNTIF(Asta!$L$4:$L$47,'_Supporto Listone'!B439)&gt;0,INDEX(Asta!$M$4:$M$47,MATCH('_Supporto Listone'!B439,Asta!$L$4:$L$47,0)),IF(COUNTIF(Asta!$N$4:$N$47,'_Supporto Listone'!B439)&gt;0,INDEX(Asta!$O$4:$O$47,MATCH('_Supporto Listone'!B439,Asta!$N$4:$N$47,0)),IF(COUNTIF(Asta!$P$4:$P$47,'_Supporto Listone'!B439)&gt;0,INDEX(Asta!$Q$4:$Q$47,MATCH('_Supporto Listone'!B439,Asta!$P$4:$P$47,0)),IF(COUNTIF(Asta!$R$4:$R$47,'_Supporto Listone'!B439)&gt;0,INDEX(Asta!$S$4:$S$47,MATCH('_Supporto Listone'!B439,Asta!$R$4:$R$47,0)),IF(COUNTIF(Asta!$T$4:$T$47,'_Supporto Listone'!B439)&gt;0,INDEX(Asta!$U$4:$U$47,MATCH('_Supporto Listone'!B439,Asta!$T$4:$T$47,0)),""))))))))))</x:f>
      </x:c>
    </x:row>
    <x:row r="440">
      <x:c r="A440" s="448" t="str">
        <x:f>IF($J440&lt;&gt;"",REGEXREPLACE(TO_TEXT('_Supporto Listone'!A440),"(.)","$1"&amp;UNICHAR(822)),'_Supporto Listone'!A440)</x:f>
        <x:v>A</x:v>
      </x:c>
      <x:c r="B440" s="449" t="str">
        <x:f>IF($J440&lt;&gt;"",REGEXREPLACE(TO_TEXT('_Supporto Listone'!B440),"(.)","$1"&amp;UNICHAR(822)),'_Supporto Listone'!B440)</x:f>
        <x:v>Dovbyk</x:v>
      </x:c>
      <x:c r="C440" s="449" t="str">
        <x:f>IF($J440&lt;&gt;"",REGEXREPLACE(TO_TEXT('_Supporto Listone'!C440),"(.)","$1"&amp;UNICHAR(822)),'_Supporto Listone'!C440)</x:f>
        <x:v>Bologna</x:v>
      </x:c>
      <x:c r="D440" s="449" t="str">
        <x:f>IF($J440&lt;&gt;"",REGEXREPLACE(TO_TEXT('_Supporto Listone'!D440),"(.)","$1"&amp;UNICHAR(822)),'_Supporto Listone'!D440)</x:f>
        <x:v>Pc</x:v>
      </x:c>
      <x:c r="E440" s="449" t="str">
        <x:f>IF($J440&lt;&gt;"",REGEXREPLACE(TO_TEXT('_Supporto Listone'!E440),"(.)","$1"&amp;UNICHAR(822)),'_Supporto Listone'!E440)</x:f>
        <x:v>Titolare / ballottaggio</x:v>
      </x:c>
      <x:c r="F440" s="466" t="n">
        <x:f>IF($J440&lt;&gt;"",REGEXREPLACE(TO_TEXT('_Supporto Listone'!F440),"(.)","$1"&amp;UNICHAR(822)),'_Supporto Listone'!F440)</x:f>
        <x:v>16</x:v>
      </x:c>
      <x:c r="G440" s="466" t="n">
        <x:f>IF($J440&lt;&gt;"",REGEXREPLACE(TO_TEXT('_Supporto Listone'!G440),"(.)","$1"&amp;UNICHAR(822)),'_Supporto Listone'!G440)</x:f>
        <x:v>84</x:v>
      </x:c>
      <x:c r="H440" s="466" t="n">
        <x:f>IF($J440&lt;&gt;"",REGEXREPLACE(TO_TEXT('_Supporto Listone'!H440),"(.)","$1"&amp;UNICHAR(822)),'_Supporto Listone'!H440)</x:f>
        <x:v>42</x:v>
      </x:c>
      <x:c r="I440" s="450" t="str">
        <x:f>IF($J440&lt;&gt;"",REGEXREPLACE(TO_TEXT('_Supporto Listone'!I440),"(.)","$1"&amp;UNICHAR(822)),'_Supporto Listone'!I440)</x:f>
        <x:v>Rigorista</x:v>
      </x:c>
      <x:c r="J440" s="449" t="str">
        <x:f>IF(COUNTIF(Asta!$B$4:$B$47,'_Supporto Listone'!B440)&gt;0,"Simone",IF(COUNTIF(Asta!$D$4:$D$47,'_Supporto Listone'!B440)&gt;0,"Giacomo",IF(COUNTIF(Asta!$F$4:$F$47,'_Supporto Listone'!B440)&gt;0,"Niko",IF(COUNTIF(Asta!$H$4:$H$47,'_Supporto Listone'!B440)&gt;0,"Quici",IF(COUNTIF(Asta!$J$4:$J$47,'_Supporto Listone'!B440)&gt;0,"Fratello Quici",IF(COUNTIF(Asta!$L$4:$L$47,'_Supporto Listone'!B440)&gt;0,"Nicolò",IF(COUNTIF(Asta!$N$4:$N$47,'_Supporto Listone'!B440)&gt;0,"Vi",IF(COUNTIF(Asta!$P$4:$P$47,'_Supporto Listone'!B440)&gt;0,"Lore",IF(COUNTIF(Asta!$R$4:$R$47,'_Supporto Listone'!B440)&gt;0,"Robbo",IF(COUNTIF(Asta!$T$4:$T$47,'_Supporto Listone'!B440)&gt;0,"Ale",""))))))))))</x:f>
      </x:c>
      <x:c r="K440" s="497" t="str">
        <x:f>IF(COUNTIF(Asta!$B$4:$B$47,'_Supporto Listone'!B440)&gt;0,INDEX(Asta!$C$4:$C$47,MATCH('_Supporto Listone'!B440,Asta!$B$4:$B$47,0)),IF(COUNTIF(Asta!$D$4:$D$47,'_Supporto Listone'!B440)&gt;0,INDEX(Asta!$E$4:$E$47,MATCH('_Supporto Listone'!B440,Asta!$D$4:$D$47,0)),IF(COUNTIF(Asta!$F$4:$F$47,'_Supporto Listone'!B440)&gt;0,INDEX(Asta!$G$4:$G$47,MATCH('_Supporto Listone'!B440,Asta!$F$4:$F$47,0)),IF(COUNTIF(Asta!$H$4:$H$47,'_Supporto Listone'!B440)&gt;0,INDEX(Asta!$I$4:$I$47,MATCH('_Supporto Listone'!B440,Asta!$H$4:$H$47,0)),IF(COUNTIF(Asta!$J$4:$J$47,'_Supporto Listone'!B440)&gt;0,INDEX(Asta!$K$4:$K$47,MATCH('_Supporto Listone'!B440,Asta!$J$4:$J$47,0)),IF(COUNTIF(Asta!$L$4:$L$47,'_Supporto Listone'!B440)&gt;0,INDEX(Asta!$M$4:$M$47,MATCH('_Supporto Listone'!B440,Asta!$L$4:$L$47,0)),IF(COUNTIF(Asta!$N$4:$N$47,'_Supporto Listone'!B440)&gt;0,INDEX(Asta!$O$4:$O$47,MATCH('_Supporto Listone'!B440,Asta!$N$4:$N$47,0)),IF(COUNTIF(Asta!$P$4:$P$47,'_Supporto Listone'!B440)&gt;0,INDEX(Asta!$Q$4:$Q$47,MATCH('_Supporto Listone'!B440,Asta!$P$4:$P$47,0)),IF(COUNTIF(Asta!$R$4:$R$47,'_Supporto Listone'!B440)&gt;0,INDEX(Asta!$S$4:$S$47,MATCH('_Supporto Listone'!B440,Asta!$R$4:$R$47,0)),IF(COUNTIF(Asta!$T$4:$T$47,'_Supporto Listone'!B440)&gt;0,INDEX(Asta!$U$4:$U$47,MATCH('_Supporto Listone'!B440,Asta!$T$4:$T$47,0)),""))))))))))</x:f>
      </x:c>
    </x:row>
    <x:row r="441">
      <x:c r="A441" s="448" t="str">
        <x:f>IF($J441&lt;&gt;"",REGEXREPLACE(TO_TEXT('_Supporto Listone'!A441),"(.)","$1"&amp;UNICHAR(822)),'_Supporto Listone'!A441)</x:f>
        <x:v>A</x:v>
      </x:c>
      <x:c r="B441" s="449" t="str">
        <x:f>IF($J441&lt;&gt;"",REGEXREPLACE(TO_TEXT('_Supporto Listone'!B441),"(.)","$1"&amp;UNICHAR(822)),'_Supporto Listone'!B441)</x:f>
        <x:v>Esposito F.P.</x:v>
      </x:c>
      <x:c r="C441" s="449" t="str">
        <x:f>IF($J441&lt;&gt;"",REGEXREPLACE(TO_TEXT('_Supporto Listone'!C441),"(.)","$1"&amp;UNICHAR(822)),'_Supporto Listone'!C441)</x:f>
        <x:v>Inter</x:v>
      </x:c>
      <x:c r="D441" s="449" t="str">
        <x:f>IF($J441&lt;&gt;"",REGEXREPLACE(TO_TEXT('_Supporto Listone'!D441),"(.)","$1"&amp;UNICHAR(822)),'_Supporto Listone'!D441)</x:f>
        <x:v>Pc</x:v>
      </x:c>
      <x:c r="E441" s="449" t="str">
        <x:f>IF($J441&lt;&gt;"",REGEXREPLACE(TO_TEXT('_Supporto Listone'!E441),"(.)","$1"&amp;UNICHAR(822)),'_Supporto Listone'!E441)</x:f>
        <x:v>Ballottaggio</x:v>
      </x:c>
      <x:c r="F441" s="466" t="n">
        <x:f>IF($J441&lt;&gt;"",REGEXREPLACE(TO_TEXT('_Supporto Listone'!F441),"(.)","$1"&amp;UNICHAR(822)),'_Supporto Listone'!F441)</x:f>
        <x:v>16</x:v>
      </x:c>
      <x:c r="G441" s="466" t="n">
        <x:f>IF($J441&lt;&gt;"",REGEXREPLACE(TO_TEXT('_Supporto Listone'!G441),"(.)","$1"&amp;UNICHAR(822)),'_Supporto Listone'!G441)</x:f>
        <x:v>93</x:v>
      </x:c>
      <x:c r="H441" s="466" t="n">
        <x:f>IF($J441&lt;&gt;"",REGEXREPLACE(TO_TEXT('_Supporto Listone'!H441),"(.)","$1"&amp;UNICHAR(822)),'_Supporto Listone'!H441)</x:f>
        <x:v>47</x:v>
      </x:c>
      <x:c r="I441" s="450"/>
      <x:c r="J441" s="449" t="str">
        <x:f>IF(COUNTIF(Asta!$B$4:$B$47,'_Supporto Listone'!B441)&gt;0,"Simone",IF(COUNTIF(Asta!$D$4:$D$47,'_Supporto Listone'!B441)&gt;0,"Giacomo",IF(COUNTIF(Asta!$F$4:$F$47,'_Supporto Listone'!B441)&gt;0,"Niko",IF(COUNTIF(Asta!$H$4:$H$47,'_Supporto Listone'!B441)&gt;0,"Quici",IF(COUNTIF(Asta!$J$4:$J$47,'_Supporto Listone'!B441)&gt;0,"Fratello Quici",IF(COUNTIF(Asta!$L$4:$L$47,'_Supporto Listone'!B441)&gt;0,"Nicolò",IF(COUNTIF(Asta!$N$4:$N$47,'_Supporto Listone'!B441)&gt;0,"Vi",IF(COUNTIF(Asta!$P$4:$P$47,'_Supporto Listone'!B441)&gt;0,"Lore",IF(COUNTIF(Asta!$R$4:$R$47,'_Supporto Listone'!B441)&gt;0,"Robbo",IF(COUNTIF(Asta!$T$4:$T$47,'_Supporto Listone'!B441)&gt;0,"Ale",""))))))))))</x:f>
      </x:c>
      <x:c r="K441" s="497" t="str">
        <x:f>IF(COUNTIF(Asta!$B$4:$B$47,'_Supporto Listone'!B441)&gt;0,INDEX(Asta!$C$4:$C$47,MATCH('_Supporto Listone'!B441,Asta!$B$4:$B$47,0)),IF(COUNTIF(Asta!$D$4:$D$47,'_Supporto Listone'!B441)&gt;0,INDEX(Asta!$E$4:$E$47,MATCH('_Supporto Listone'!B441,Asta!$D$4:$D$47,0)),IF(COUNTIF(Asta!$F$4:$F$47,'_Supporto Listone'!B441)&gt;0,INDEX(Asta!$G$4:$G$47,MATCH('_Supporto Listone'!B441,Asta!$F$4:$F$47,0)),IF(COUNTIF(Asta!$H$4:$H$47,'_Supporto Listone'!B441)&gt;0,INDEX(Asta!$I$4:$I$47,MATCH('_Supporto Listone'!B441,Asta!$H$4:$H$47,0)),IF(COUNTIF(Asta!$J$4:$J$47,'_Supporto Listone'!B441)&gt;0,INDEX(Asta!$K$4:$K$47,MATCH('_Supporto Listone'!B441,Asta!$J$4:$J$47,0)),IF(COUNTIF(Asta!$L$4:$L$47,'_Supporto Listone'!B441)&gt;0,INDEX(Asta!$M$4:$M$47,MATCH('_Supporto Listone'!B441,Asta!$L$4:$L$47,0)),IF(COUNTIF(Asta!$N$4:$N$47,'_Supporto Listone'!B441)&gt;0,INDEX(Asta!$O$4:$O$47,MATCH('_Supporto Listone'!B441,Asta!$N$4:$N$47,0)),IF(COUNTIF(Asta!$P$4:$P$47,'_Supporto Listone'!B441)&gt;0,INDEX(Asta!$Q$4:$Q$47,MATCH('_Supporto Listone'!B441,Asta!$P$4:$P$47,0)),IF(COUNTIF(Asta!$R$4:$R$47,'_Supporto Listone'!B441)&gt;0,INDEX(Asta!$S$4:$S$47,MATCH('_Supporto Listone'!B441,Asta!$R$4:$R$47,0)),IF(COUNTIF(Asta!$T$4:$T$47,'_Supporto Listone'!B441)&gt;0,INDEX(Asta!$U$4:$U$47,MATCH('_Supporto Listone'!B441,Asta!$T$4:$T$47,0)),""))))))))))</x:f>
      </x:c>
    </x:row>
    <x:row r="442">
      <x:c r="A442" s="448" t="str">
        <x:f>IF($J442&lt;&gt;"",REGEXREPLACE(TO_TEXT('_Supporto Listone'!A442),"(.)","$1"&amp;UNICHAR(822)),'_Supporto Listone'!A442)</x:f>
        <x:v>A</x:v>
      </x:c>
      <x:c r="B442" s="449" t="str">
        <x:f>IF($J442&lt;&gt;"",REGEXREPLACE(TO_TEXT('_Supporto Listone'!B442),"(.)","$1"&amp;UNICHAR(822)),'_Supporto Listone'!B442)</x:f>
        <x:v>Pellegrino M.</x:v>
      </x:c>
      <x:c r="C442" s="449" t="str">
        <x:f>IF($J442&lt;&gt;"",REGEXREPLACE(TO_TEXT('_Supporto Listone'!C442),"(.)","$1"&amp;UNICHAR(822)),'_Supporto Listone'!C442)</x:f>
        <x:v>Parma</x:v>
      </x:c>
      <x:c r="D442" s="449" t="str">
        <x:f>IF($J442&lt;&gt;"",REGEXREPLACE(TO_TEXT('_Supporto Listone'!D442),"(.)","$1"&amp;UNICHAR(822)),'_Supporto Listone'!D442)</x:f>
        <x:v>Pc</x:v>
      </x:c>
      <x:c r="E442" s="449" t="str">
        <x:f>IF($J442&lt;&gt;"",REGEXREPLACE(TO_TEXT('_Supporto Listone'!E442),"(.)","$1"&amp;UNICHAR(822)),'_Supporto Listone'!E442)</x:f>
        <x:v>Riserva / rotazione</x:v>
      </x:c>
      <x:c r="F442" s="466" t="n">
        <x:f>IF($J442&lt;&gt;"",REGEXREPLACE(TO_TEXT('_Supporto Listone'!F442),"(.)","$1"&amp;UNICHAR(822)),'_Supporto Listone'!F442)</x:f>
        <x:v>15</x:v>
      </x:c>
      <x:c r="G442" s="466" t="n">
        <x:f>IF($J442&lt;&gt;"",REGEXREPLACE(TO_TEXT('_Supporto Listone'!G442),"(.)","$1"&amp;UNICHAR(822)),'_Supporto Listone'!G442)</x:f>
        <x:v>81</x:v>
      </x:c>
      <x:c r="H442" s="466" t="n">
        <x:f>IF($J442&lt;&gt;"",REGEXREPLACE(TO_TEXT('_Supporto Listone'!H442),"(.)","$1"&amp;UNICHAR(822)),'_Supporto Listone'!H442)</x:f>
        <x:v>41</x:v>
      </x:c>
      <x:c r="I442" s="450"/>
      <x:c r="J442" s="449" t="str">
        <x:f>IF(COUNTIF(Asta!$B$4:$B$47,'_Supporto Listone'!B442)&gt;0,"Simone",IF(COUNTIF(Asta!$D$4:$D$47,'_Supporto Listone'!B442)&gt;0,"Giacomo",IF(COUNTIF(Asta!$F$4:$F$47,'_Supporto Listone'!B442)&gt;0,"Niko",IF(COUNTIF(Asta!$H$4:$H$47,'_Supporto Listone'!B442)&gt;0,"Quici",IF(COUNTIF(Asta!$J$4:$J$47,'_Supporto Listone'!B442)&gt;0,"Fratello Quici",IF(COUNTIF(Asta!$L$4:$L$47,'_Supporto Listone'!B442)&gt;0,"Nicolò",IF(COUNTIF(Asta!$N$4:$N$47,'_Supporto Listone'!B442)&gt;0,"Vi",IF(COUNTIF(Asta!$P$4:$P$47,'_Supporto Listone'!B442)&gt;0,"Lore",IF(COUNTIF(Asta!$R$4:$R$47,'_Supporto Listone'!B442)&gt;0,"Robbo",IF(COUNTIF(Asta!$T$4:$T$47,'_Supporto Listone'!B442)&gt;0,"Ale",""))))))))))</x:f>
      </x:c>
      <x:c r="K442" s="497" t="str">
        <x:f>IF(COUNTIF(Asta!$B$4:$B$47,'_Supporto Listone'!B442)&gt;0,INDEX(Asta!$C$4:$C$47,MATCH('_Supporto Listone'!B442,Asta!$B$4:$B$47,0)),IF(COUNTIF(Asta!$D$4:$D$47,'_Supporto Listone'!B442)&gt;0,INDEX(Asta!$E$4:$E$47,MATCH('_Supporto Listone'!B442,Asta!$D$4:$D$47,0)),IF(COUNTIF(Asta!$F$4:$F$47,'_Supporto Listone'!B442)&gt;0,INDEX(Asta!$G$4:$G$47,MATCH('_Supporto Listone'!B442,Asta!$F$4:$F$47,0)),IF(COUNTIF(Asta!$H$4:$H$47,'_Supporto Listone'!B442)&gt;0,INDEX(Asta!$I$4:$I$47,MATCH('_Supporto Listone'!B442,Asta!$H$4:$H$47,0)),IF(COUNTIF(Asta!$J$4:$J$47,'_Supporto Listone'!B442)&gt;0,INDEX(Asta!$K$4:$K$47,MATCH('_Supporto Listone'!B442,Asta!$J$4:$J$47,0)),IF(COUNTIF(Asta!$L$4:$L$47,'_Supporto Listone'!B442)&gt;0,INDEX(Asta!$M$4:$M$47,MATCH('_Supporto Listone'!B442,Asta!$L$4:$L$47,0)),IF(COUNTIF(Asta!$N$4:$N$47,'_Supporto Listone'!B442)&gt;0,INDEX(Asta!$O$4:$O$47,MATCH('_Supporto Listone'!B442,Asta!$N$4:$N$47,0)),IF(COUNTIF(Asta!$P$4:$P$47,'_Supporto Listone'!B442)&gt;0,INDEX(Asta!$Q$4:$Q$47,MATCH('_Supporto Listone'!B442,Asta!$P$4:$P$47,0)),IF(COUNTIF(Asta!$R$4:$R$47,'_Supporto Listone'!B442)&gt;0,INDEX(Asta!$S$4:$S$47,MATCH('_Supporto Listone'!B442,Asta!$R$4:$R$47,0)),IF(COUNTIF(Asta!$T$4:$T$47,'_Supporto Listone'!B442)&gt;0,INDEX(Asta!$U$4:$U$47,MATCH('_Supporto Listone'!B442,Asta!$T$4:$T$47,0)),""))))))))))</x:f>
      </x:c>
    </x:row>
    <x:row r="443">
      <x:c r="A443" s="448" t="str">
        <x:f>IF($J443&lt;&gt;"",REGEXREPLACE(TO_TEXT('_Supporto Listone'!A443),"(.)","$1"&amp;UNICHAR(822)),'_Supporto Listone'!A443)</x:f>
        <x:v>A</x:v>
      </x:c>
      <x:c r="B443" s="449" t="str">
        <x:f>IF($J443&lt;&gt;"",REGEXREPLACE(TO_TEXT('_Supporto Listone'!B443),"(.)","$1"&amp;UNICHAR(822)),'_Supporto Listone'!B443)</x:f>
        <x:v>Laurientè</x:v>
      </x:c>
      <x:c r="C443" s="449" t="str">
        <x:f>IF($J443&lt;&gt;"",REGEXREPLACE(TO_TEXT('_Supporto Listone'!C443),"(.)","$1"&amp;UNICHAR(822)),'_Supporto Listone'!C443)</x:f>
        <x:v>Sassuolo</x:v>
      </x:c>
      <x:c r="D443" s="449" t="str">
        <x:f>IF($J443&lt;&gt;"",REGEXREPLACE(TO_TEXT('_Supporto Listone'!D443),"(.)","$1"&amp;UNICHAR(822)),'_Supporto Listone'!D443)</x:f>
        <x:v>A</x:v>
      </x:c>
      <x:c r="E443" s="449" t="str">
        <x:f>IF($J443&lt;&gt;"",REGEXREPLACE(TO_TEXT('_Supporto Listone'!E443),"(.)","$1"&amp;UNICHAR(822)),'_Supporto Listone'!E443)</x:f>
        <x:v>Titolare</x:v>
      </x:c>
      <x:c r="F443" s="466" t="n">
        <x:f>IF($J443&lt;&gt;"",REGEXREPLACE(TO_TEXT('_Supporto Listone'!F443),"(.)","$1"&amp;UNICHAR(822)),'_Supporto Listone'!F443)</x:f>
        <x:v>15</x:v>
      </x:c>
      <x:c r="G443" s="466" t="n">
        <x:f>IF($J443&lt;&gt;"",REGEXREPLACE(TO_TEXT('_Supporto Listone'!G443),"(.)","$1"&amp;UNICHAR(822)),'_Supporto Listone'!G443)</x:f>
        <x:v>88</x:v>
      </x:c>
      <x:c r="H443" s="466" t="n">
        <x:f>IF($J443&lt;&gt;"",REGEXREPLACE(TO_TEXT('_Supporto Listone'!H443),"(.)","$1"&amp;UNICHAR(822)),'_Supporto Listone'!H443)</x:f>
        <x:v>44</x:v>
      </x:c>
      <x:c r="I443" s="450" t="str">
        <x:f>IF($J443&lt;&gt;"",REGEXREPLACE(TO_TEXT('_Supporto Listone'!I443),"(.)","$1"&amp;UNICHAR(822)),'_Supporto Listone'!I443)</x:f>
        <x:v>Rigorista · Piazzati</x:v>
      </x:c>
      <x:c r="J443" s="449" t="str">
        <x:f>IF(COUNTIF(Asta!$B$4:$B$47,'_Supporto Listone'!B443)&gt;0,"Simone",IF(COUNTIF(Asta!$D$4:$D$47,'_Supporto Listone'!B443)&gt;0,"Giacomo",IF(COUNTIF(Asta!$F$4:$F$47,'_Supporto Listone'!B443)&gt;0,"Niko",IF(COUNTIF(Asta!$H$4:$H$47,'_Supporto Listone'!B443)&gt;0,"Quici",IF(COUNTIF(Asta!$J$4:$J$47,'_Supporto Listone'!B443)&gt;0,"Fratello Quici",IF(COUNTIF(Asta!$L$4:$L$47,'_Supporto Listone'!B443)&gt;0,"Nicolò",IF(COUNTIF(Asta!$N$4:$N$47,'_Supporto Listone'!B443)&gt;0,"Vi",IF(COUNTIF(Asta!$P$4:$P$47,'_Supporto Listone'!B443)&gt;0,"Lore",IF(COUNTIF(Asta!$R$4:$R$47,'_Supporto Listone'!B443)&gt;0,"Robbo",IF(COUNTIF(Asta!$T$4:$T$47,'_Supporto Listone'!B443)&gt;0,"Ale",""))))))))))</x:f>
      </x:c>
      <x:c r="K443" s="497" t="str">
        <x:f>IF(COUNTIF(Asta!$B$4:$B$47,'_Supporto Listone'!B443)&gt;0,INDEX(Asta!$C$4:$C$47,MATCH('_Supporto Listone'!B443,Asta!$B$4:$B$47,0)),IF(COUNTIF(Asta!$D$4:$D$47,'_Supporto Listone'!B443)&gt;0,INDEX(Asta!$E$4:$E$47,MATCH('_Supporto Listone'!B443,Asta!$D$4:$D$47,0)),IF(COUNTIF(Asta!$F$4:$F$47,'_Supporto Listone'!B443)&gt;0,INDEX(Asta!$G$4:$G$47,MATCH('_Supporto Listone'!B443,Asta!$F$4:$F$47,0)),IF(COUNTIF(Asta!$H$4:$H$47,'_Supporto Listone'!B443)&gt;0,INDEX(Asta!$I$4:$I$47,MATCH('_Supporto Listone'!B443,Asta!$H$4:$H$47,0)),IF(COUNTIF(Asta!$J$4:$J$47,'_Supporto Listone'!B443)&gt;0,INDEX(Asta!$K$4:$K$47,MATCH('_Supporto Listone'!B443,Asta!$J$4:$J$47,0)),IF(COUNTIF(Asta!$L$4:$L$47,'_Supporto Listone'!B443)&gt;0,INDEX(Asta!$M$4:$M$47,MATCH('_Supporto Listone'!B443,Asta!$L$4:$L$47,0)),IF(COUNTIF(Asta!$N$4:$N$47,'_Supporto Listone'!B443)&gt;0,INDEX(Asta!$O$4:$O$47,MATCH('_Supporto Listone'!B443,Asta!$N$4:$N$47,0)),IF(COUNTIF(Asta!$P$4:$P$47,'_Supporto Listone'!B443)&gt;0,INDEX(Asta!$Q$4:$Q$47,MATCH('_Supporto Listone'!B443,Asta!$P$4:$P$47,0)),IF(COUNTIF(Asta!$R$4:$R$47,'_Supporto Listone'!B443)&gt;0,INDEX(Asta!$S$4:$S$47,MATCH('_Supporto Listone'!B443,Asta!$R$4:$R$47,0)),IF(COUNTIF(Asta!$T$4:$T$47,'_Supporto Listone'!B443)&gt;0,INDEX(Asta!$U$4:$U$47,MATCH('_Supporto Listone'!B443,Asta!$T$4:$T$47,0)),""))))))))))</x:f>
      </x:c>
    </x:row>
    <x:row r="444">
      <x:c r="A444" s="448" t="str">
        <x:f>IF($J444&lt;&gt;"",REGEXREPLACE(TO_TEXT('_Supporto Listone'!A444),"(.)","$1"&amp;UNICHAR(822)),'_Supporto Listone'!A444)</x:f>
        <x:v>A</x:v>
      </x:c>
      <x:c r="B444" s="449" t="str">
        <x:f>IF($J444&lt;&gt;"",REGEXREPLACE(TO_TEXT('_Supporto Listone'!B444),"(.)","$1"&amp;UNICHAR(822)),'_Supporto Listone'!B444)</x:f>
        <x:v>Simeone</x:v>
      </x:c>
      <x:c r="C444" s="449" t="str">
        <x:f>IF($J444&lt;&gt;"",REGEXREPLACE(TO_TEXT('_Supporto Listone'!C444),"(.)","$1"&amp;UNICHAR(822)),'_Supporto Listone'!C444)</x:f>
        <x:v>Torino</x:v>
      </x:c>
      <x:c r="D444" s="449" t="str">
        <x:f>IF($J444&lt;&gt;"",REGEXREPLACE(TO_TEXT('_Supporto Listone'!D444),"(.)","$1"&amp;UNICHAR(822)),'_Supporto Listone'!D444)</x:f>
        <x:v>Pc</x:v>
      </x:c>
      <x:c r="E444" s="449" t="str">
        <x:f>IF($J444&lt;&gt;"",REGEXREPLACE(TO_TEXT('_Supporto Listone'!E444),"(.)","$1"&amp;UNICHAR(822)),'_Supporto Listone'!E444)</x:f>
        <x:v>Titolare</x:v>
      </x:c>
      <x:c r="F444" s="466" t="n">
        <x:f>IF($J444&lt;&gt;"",REGEXREPLACE(TO_TEXT('_Supporto Listone'!F444),"(.)","$1"&amp;UNICHAR(822)),'_Supporto Listone'!F444)</x:f>
        <x:v>15</x:v>
      </x:c>
      <x:c r="G444" s="466" t="n">
        <x:f>IF($J444&lt;&gt;"",REGEXREPLACE(TO_TEXT('_Supporto Listone'!G444),"(.)","$1"&amp;UNICHAR(822)),'_Supporto Listone'!G444)</x:f>
        <x:v>82</x:v>
      </x:c>
      <x:c r="H444" s="466" t="n">
        <x:f>IF($J444&lt;&gt;"",REGEXREPLACE(TO_TEXT('_Supporto Listone'!H444),"(.)","$1"&amp;UNICHAR(822)),'_Supporto Listone'!H444)</x:f>
        <x:v>41</x:v>
      </x:c>
      <x:c r="I444" s="450" t="str">
        <x:f>IF($J444&lt;&gt;"",REGEXREPLACE(TO_TEXT('_Supporto Listone'!I444),"(.)","$1"&amp;UNICHAR(822)),'_Supporto Listone'!I444)</x:f>
        <x:v>Rigorista</x:v>
      </x:c>
      <x:c r="J444" s="449" t="str">
        <x:f>IF(COUNTIF(Asta!$B$4:$B$47,'_Supporto Listone'!B444)&gt;0,"Simone",IF(COUNTIF(Asta!$D$4:$D$47,'_Supporto Listone'!B444)&gt;0,"Giacomo",IF(COUNTIF(Asta!$F$4:$F$47,'_Supporto Listone'!B444)&gt;0,"Niko",IF(COUNTIF(Asta!$H$4:$H$47,'_Supporto Listone'!B444)&gt;0,"Quici",IF(COUNTIF(Asta!$J$4:$J$47,'_Supporto Listone'!B444)&gt;0,"Fratello Quici",IF(COUNTIF(Asta!$L$4:$L$47,'_Supporto Listone'!B444)&gt;0,"Nicolò",IF(COUNTIF(Asta!$N$4:$N$47,'_Supporto Listone'!B444)&gt;0,"Vi",IF(COUNTIF(Asta!$P$4:$P$47,'_Supporto Listone'!B444)&gt;0,"Lore",IF(COUNTIF(Asta!$R$4:$R$47,'_Supporto Listone'!B444)&gt;0,"Robbo",IF(COUNTIF(Asta!$T$4:$T$47,'_Supporto Listone'!B444)&gt;0,"Ale",""))))))))))</x:f>
      </x:c>
      <x:c r="K444" s="497" t="str">
        <x:f>IF(COUNTIF(Asta!$B$4:$B$47,'_Supporto Listone'!B444)&gt;0,INDEX(Asta!$C$4:$C$47,MATCH('_Supporto Listone'!B444,Asta!$B$4:$B$47,0)),IF(COUNTIF(Asta!$D$4:$D$47,'_Supporto Listone'!B444)&gt;0,INDEX(Asta!$E$4:$E$47,MATCH('_Supporto Listone'!B444,Asta!$D$4:$D$47,0)),IF(COUNTIF(Asta!$F$4:$F$47,'_Supporto Listone'!B444)&gt;0,INDEX(Asta!$G$4:$G$47,MATCH('_Supporto Listone'!B444,Asta!$F$4:$F$47,0)),IF(COUNTIF(Asta!$H$4:$H$47,'_Supporto Listone'!B444)&gt;0,INDEX(Asta!$I$4:$I$47,MATCH('_Supporto Listone'!B444,Asta!$H$4:$H$47,0)),IF(COUNTIF(Asta!$J$4:$J$47,'_Supporto Listone'!B444)&gt;0,INDEX(Asta!$K$4:$K$47,MATCH('_Supporto Listone'!B444,Asta!$J$4:$J$47,0)),IF(COUNTIF(Asta!$L$4:$L$47,'_Supporto Listone'!B444)&gt;0,INDEX(Asta!$M$4:$M$47,MATCH('_Supporto Listone'!B444,Asta!$L$4:$L$47,0)),IF(COUNTIF(Asta!$N$4:$N$47,'_Supporto Listone'!B444)&gt;0,INDEX(Asta!$O$4:$O$47,MATCH('_Supporto Listone'!B444,Asta!$N$4:$N$47,0)),IF(COUNTIF(Asta!$P$4:$P$47,'_Supporto Listone'!B444)&gt;0,INDEX(Asta!$Q$4:$Q$47,MATCH('_Supporto Listone'!B444,Asta!$P$4:$P$47,0)),IF(COUNTIF(Asta!$R$4:$R$47,'_Supporto Listone'!B444)&gt;0,INDEX(Asta!$S$4:$S$47,MATCH('_Supporto Listone'!B444,Asta!$R$4:$R$47,0)),IF(COUNTIF(Asta!$T$4:$T$47,'_Supporto Listone'!B444)&gt;0,INDEX(Asta!$U$4:$U$47,MATCH('_Supporto Listone'!B444,Asta!$T$4:$T$47,0)),""))))))))))</x:f>
      </x:c>
    </x:row>
    <x:row r="445">
      <x:c r="A445" s="448" t="str">
        <x:f>IF($J445&lt;&gt;"",REGEXREPLACE(TO_TEXT('_Supporto Listone'!A445),"(.)","$1"&amp;UNICHAR(822)),'_Supporto Listone'!A445)</x:f>
        <x:v>A</x:v>
      </x:c>
      <x:c r="B445" s="449" t="str">
        <x:f>IF($J445&lt;&gt;"",REGEXREPLACE(TO_TEXT('_Supporto Listone'!B445),"(.)","$1"&amp;UNICHAR(822)),'_Supporto Listone'!B445)</x:f>
        <x:v>Santos A.</x:v>
      </x:c>
      <x:c r="C445" s="449" t="str">
        <x:f>IF($J445&lt;&gt;"",REGEXREPLACE(TO_TEXT('_Supporto Listone'!C445),"(.)","$1"&amp;UNICHAR(822)),'_Supporto Listone'!C445)</x:f>
        <x:v>Napoli</x:v>
      </x:c>
      <x:c r="D445" s="449" t="str">
        <x:f>IF($J445&lt;&gt;"",REGEXREPLACE(TO_TEXT('_Supporto Listone'!D445),"(.)","$1"&amp;UNICHAR(822)),'_Supporto Listone'!D445)</x:f>
        <x:v>W;A</x:v>
      </x:c>
      <x:c r="E445" s="449" t="str">
        <x:f>IF($J445&lt;&gt;"",REGEXREPLACE(TO_TEXT('_Supporto Listone'!E445),"(.)","$1"&amp;UNICHAR(822)),'_Supporto Listone'!E445)</x:f>
        <x:v>Titolare</x:v>
      </x:c>
      <x:c r="F445" s="466" t="n">
        <x:f>IF($J445&lt;&gt;"",REGEXREPLACE(TO_TEXT('_Supporto Listone'!F445),"(.)","$1"&amp;UNICHAR(822)),'_Supporto Listone'!F445)</x:f>
        <x:v>14</x:v>
      </x:c>
      <x:c r="G445" s="466" t="n">
        <x:f>IF($J445&lt;&gt;"",REGEXREPLACE(TO_TEXT('_Supporto Listone'!G445),"(.)","$1"&amp;UNICHAR(822)),'_Supporto Listone'!G445)</x:f>
        <x:v>60</x:v>
      </x:c>
      <x:c r="H445" s="466" t="n">
        <x:f>IF($J445&lt;&gt;"",REGEXREPLACE(TO_TEXT('_Supporto Listone'!H445),"(.)","$1"&amp;UNICHAR(822)),'_Supporto Listone'!H445)</x:f>
        <x:v>30</x:v>
      </x:c>
      <x:c r="I445" s="450"/>
      <x:c r="J445" s="449" t="str">
        <x:f>IF(COUNTIF(Asta!$B$4:$B$47,'_Supporto Listone'!B445)&gt;0,"Simone",IF(COUNTIF(Asta!$D$4:$D$47,'_Supporto Listone'!B445)&gt;0,"Giacomo",IF(COUNTIF(Asta!$F$4:$F$47,'_Supporto Listone'!B445)&gt;0,"Niko",IF(COUNTIF(Asta!$H$4:$H$47,'_Supporto Listone'!B445)&gt;0,"Quici",IF(COUNTIF(Asta!$J$4:$J$47,'_Supporto Listone'!B445)&gt;0,"Fratello Quici",IF(COUNTIF(Asta!$L$4:$L$47,'_Supporto Listone'!B445)&gt;0,"Nicolò",IF(COUNTIF(Asta!$N$4:$N$47,'_Supporto Listone'!B445)&gt;0,"Vi",IF(COUNTIF(Asta!$P$4:$P$47,'_Supporto Listone'!B445)&gt;0,"Lore",IF(COUNTIF(Asta!$R$4:$R$47,'_Supporto Listone'!B445)&gt;0,"Robbo",IF(COUNTIF(Asta!$T$4:$T$47,'_Supporto Listone'!B445)&gt;0,"Ale",""))))))))))</x:f>
      </x:c>
      <x:c r="K445" s="497" t="str">
        <x:f>IF(COUNTIF(Asta!$B$4:$B$47,'_Supporto Listone'!B445)&gt;0,INDEX(Asta!$C$4:$C$47,MATCH('_Supporto Listone'!B445,Asta!$B$4:$B$47,0)),IF(COUNTIF(Asta!$D$4:$D$47,'_Supporto Listone'!B445)&gt;0,INDEX(Asta!$E$4:$E$47,MATCH('_Supporto Listone'!B445,Asta!$D$4:$D$47,0)),IF(COUNTIF(Asta!$F$4:$F$47,'_Supporto Listone'!B445)&gt;0,INDEX(Asta!$G$4:$G$47,MATCH('_Supporto Listone'!B445,Asta!$F$4:$F$47,0)),IF(COUNTIF(Asta!$H$4:$H$47,'_Supporto Listone'!B445)&gt;0,INDEX(Asta!$I$4:$I$47,MATCH('_Supporto Listone'!B445,Asta!$H$4:$H$47,0)),IF(COUNTIF(Asta!$J$4:$J$47,'_Supporto Listone'!B445)&gt;0,INDEX(Asta!$K$4:$K$47,MATCH('_Supporto Listone'!B445,Asta!$J$4:$J$47,0)),IF(COUNTIF(Asta!$L$4:$L$47,'_Supporto Listone'!B445)&gt;0,INDEX(Asta!$M$4:$M$47,MATCH('_Supporto Listone'!B445,Asta!$L$4:$L$47,0)),IF(COUNTIF(Asta!$N$4:$N$47,'_Supporto Listone'!B445)&gt;0,INDEX(Asta!$O$4:$O$47,MATCH('_Supporto Listone'!B445,Asta!$N$4:$N$47,0)),IF(COUNTIF(Asta!$P$4:$P$47,'_Supporto Listone'!B445)&gt;0,INDEX(Asta!$Q$4:$Q$47,MATCH('_Supporto Listone'!B445,Asta!$P$4:$P$47,0)),IF(COUNTIF(Asta!$R$4:$R$47,'_Supporto Listone'!B445)&gt;0,INDEX(Asta!$S$4:$S$47,MATCH('_Supporto Listone'!B445,Asta!$R$4:$R$47,0)),IF(COUNTIF(Asta!$T$4:$T$47,'_Supporto Listone'!B445)&gt;0,INDEX(Asta!$U$4:$U$47,MATCH('_Supporto Listone'!B445,Asta!$T$4:$T$47,0)),""))))))))))</x:f>
      </x:c>
    </x:row>
    <x:row r="446">
      <x:c r="A446" s="448" t="str">
        <x:f>IF($J446&lt;&gt;"",REGEXREPLACE(TO_TEXT('_Supporto Listone'!A446),"(.)","$1"&amp;UNICHAR(822)),'_Supporto Listone'!A446)</x:f>
        <x:v>A</x:v>
      </x:c>
      <x:c r="B446" s="449" t="str">
        <x:f>IF($J446&lt;&gt;"",REGEXREPLACE(TO_TEXT('_Supporto Listone'!B446),"(.)","$1"&amp;UNICHAR(822)),'_Supporto Listone'!B446)</x:f>
        <x:v>Castro S.</x:v>
      </x:c>
      <x:c r="C446" s="449" t="str">
        <x:f>IF($J446&lt;&gt;"",REGEXREPLACE(TO_TEXT('_Supporto Listone'!C446),"(.)","$1"&amp;UNICHAR(822)),'_Supporto Listone'!C446)</x:f>
        <x:v>Roma</x:v>
      </x:c>
      <x:c r="D446" s="449" t="str">
        <x:f>IF($J446&lt;&gt;"",REGEXREPLACE(TO_TEXT('_Supporto Listone'!D446),"(.)","$1"&amp;UNICHAR(822)),'_Supporto Listone'!D446)</x:f>
        <x:v>Pc</x:v>
      </x:c>
      <x:c r="E446" s="449" t="str">
        <x:f>IF($J446&lt;&gt;"",REGEXREPLACE(TO_TEXT('_Supporto Listone'!E446),"(.)","$1"&amp;UNICHAR(822)),'_Supporto Listone'!E446)</x:f>
        <x:v>Ballottaggio</x:v>
      </x:c>
      <x:c r="F446" s="466" t="n">
        <x:f>IF($J446&lt;&gt;"",REGEXREPLACE(TO_TEXT('_Supporto Listone'!F446),"(.)","$1"&amp;UNICHAR(822)),'_Supporto Listone'!F446)</x:f>
        <x:v>14</x:v>
      </x:c>
      <x:c r="G446" s="466" t="n">
        <x:f>IF($J446&lt;&gt;"",REGEXREPLACE(TO_TEXT('_Supporto Listone'!G446),"(.)","$1"&amp;UNICHAR(822)),'_Supporto Listone'!G446)</x:f>
        <x:v>83</x:v>
      </x:c>
      <x:c r="H446" s="466" t="n">
        <x:f>IF($J446&lt;&gt;"",REGEXREPLACE(TO_TEXT('_Supporto Listone'!H446),"(.)","$1"&amp;UNICHAR(822)),'_Supporto Listone'!H446)</x:f>
        <x:v>42</x:v>
      </x:c>
      <x:c r="I446" s="450" t="str">
        <x:f>IF($J446&lt;&gt;"",REGEXREPLACE(TO_TEXT('_Supporto Listone'!I446),"(.)","$1"&amp;UNICHAR(822)),'_Supporto Listone'!I446)</x:f>
        <x:v>Rigorista</x:v>
      </x:c>
      <x:c r="J446" s="449" t="str">
        <x:f>IF(COUNTIF(Asta!$B$4:$B$47,'_Supporto Listone'!B446)&gt;0,"Simone",IF(COUNTIF(Asta!$D$4:$D$47,'_Supporto Listone'!B446)&gt;0,"Giacomo",IF(COUNTIF(Asta!$F$4:$F$47,'_Supporto Listone'!B446)&gt;0,"Niko",IF(COUNTIF(Asta!$H$4:$H$47,'_Supporto Listone'!B446)&gt;0,"Quici",IF(COUNTIF(Asta!$J$4:$J$47,'_Supporto Listone'!B446)&gt;0,"Fratello Quici",IF(COUNTIF(Asta!$L$4:$L$47,'_Supporto Listone'!B446)&gt;0,"Nicolò",IF(COUNTIF(Asta!$N$4:$N$47,'_Supporto Listone'!B446)&gt;0,"Vi",IF(COUNTIF(Asta!$P$4:$P$47,'_Supporto Listone'!B446)&gt;0,"Lore",IF(COUNTIF(Asta!$R$4:$R$47,'_Supporto Listone'!B446)&gt;0,"Robbo",IF(COUNTIF(Asta!$T$4:$T$47,'_Supporto Listone'!B446)&gt;0,"Ale",""))))))))))</x:f>
      </x:c>
      <x:c r="K446" s="497" t="str">
        <x:f>IF(COUNTIF(Asta!$B$4:$B$47,'_Supporto Listone'!B446)&gt;0,INDEX(Asta!$C$4:$C$47,MATCH('_Supporto Listone'!B446,Asta!$B$4:$B$47,0)),IF(COUNTIF(Asta!$D$4:$D$47,'_Supporto Listone'!B446)&gt;0,INDEX(Asta!$E$4:$E$47,MATCH('_Supporto Listone'!B446,Asta!$D$4:$D$47,0)),IF(COUNTIF(Asta!$F$4:$F$47,'_Supporto Listone'!B446)&gt;0,INDEX(Asta!$G$4:$G$47,MATCH('_Supporto Listone'!B446,Asta!$F$4:$F$47,0)),IF(COUNTIF(Asta!$H$4:$H$47,'_Supporto Listone'!B446)&gt;0,INDEX(Asta!$I$4:$I$47,MATCH('_Supporto Listone'!B446,Asta!$H$4:$H$47,0)),IF(COUNTIF(Asta!$J$4:$J$47,'_Supporto Listone'!B446)&gt;0,INDEX(Asta!$K$4:$K$47,MATCH('_Supporto Listone'!B446,Asta!$J$4:$J$47,0)),IF(COUNTIF(Asta!$L$4:$L$47,'_Supporto Listone'!B446)&gt;0,INDEX(Asta!$M$4:$M$47,MATCH('_Supporto Listone'!B446,Asta!$L$4:$L$47,0)),IF(COUNTIF(Asta!$N$4:$N$47,'_Supporto Listone'!B446)&gt;0,INDEX(Asta!$O$4:$O$47,MATCH('_Supporto Listone'!B446,Asta!$N$4:$N$47,0)),IF(COUNTIF(Asta!$P$4:$P$47,'_Supporto Listone'!B446)&gt;0,INDEX(Asta!$Q$4:$Q$47,MATCH('_Supporto Listone'!B446,Asta!$P$4:$P$47,0)),IF(COUNTIF(Asta!$R$4:$R$47,'_Supporto Listone'!B446)&gt;0,INDEX(Asta!$S$4:$S$47,MATCH('_Supporto Listone'!B446,Asta!$R$4:$R$47,0)),IF(COUNTIF(Asta!$T$4:$T$47,'_Supporto Listone'!B446)&gt;0,INDEX(Asta!$U$4:$U$47,MATCH('_Supporto Listone'!B446,Asta!$T$4:$T$47,0)),""))))))))))</x:f>
      </x:c>
    </x:row>
    <x:row r="447">
      <x:c r="A447" s="448" t="str">
        <x:f>IF($J447&lt;&gt;"",REGEXREPLACE(TO_TEXT('_Supporto Listone'!A447),"(.)","$1"&amp;UNICHAR(822)),'_Supporto Listone'!A447)</x:f>
        <x:v>A</x:v>
      </x:c>
      <x:c r="B447" s="449" t="str">
        <x:f>IF($J447&lt;&gt;"",REGEXREPLACE(TO_TEXT('_Supporto Listone'!B447),"(.)","$1"&amp;UNICHAR(822)),'_Supporto Listone'!B447)</x:f>
        <x:v>Dybala</x:v>
      </x:c>
      <x:c r="C447" s="449" t="str">
        <x:f>IF($J447&lt;&gt;"",REGEXREPLACE(TO_TEXT('_Supporto Listone'!C447),"(.)","$1"&amp;UNICHAR(822)),'_Supporto Listone'!C447)</x:f>
        <x:v>Roma</x:v>
      </x:c>
      <x:c r="D447" s="449" t="str">
        <x:f>IF($J447&lt;&gt;"",REGEXREPLACE(TO_TEXT('_Supporto Listone'!D447),"(.)","$1"&amp;UNICHAR(822)),'_Supporto Listone'!D447)</x:f>
        <x:v>A</x:v>
      </x:c>
      <x:c r="E447" s="449" t="str">
        <x:f>IF($J447&lt;&gt;"",REGEXREPLACE(TO_TEXT('_Supporto Listone'!E447),"(.)","$1"&amp;UNICHAR(822)),'_Supporto Listone'!E447)</x:f>
        <x:v>Titolare / ballottaggio</x:v>
      </x:c>
      <x:c r="F447" s="466" t="n">
        <x:f>IF($J447&lt;&gt;"",REGEXREPLACE(TO_TEXT('_Supporto Listone'!F447),"(.)","$1"&amp;UNICHAR(822)),'_Supporto Listone'!F447)</x:f>
        <x:v>14</x:v>
      </x:c>
      <x:c r="G447" s="466" t="n">
        <x:f>IF($J447&lt;&gt;"",REGEXREPLACE(TO_TEXT('_Supporto Listone'!G447),"(.)","$1"&amp;UNICHAR(822)),'_Supporto Listone'!G447)</x:f>
        <x:v>67</x:v>
      </x:c>
      <x:c r="H447" s="466" t="n">
        <x:f>IF($J447&lt;&gt;"",REGEXREPLACE(TO_TEXT('_Supporto Listone'!H447),"(.)","$1"&amp;UNICHAR(822)),'_Supporto Listone'!H447)</x:f>
        <x:v>34</x:v>
      </x:c>
      <x:c r="I447" s="450" t="str">
        <x:f>IF($J447&lt;&gt;"",REGEXREPLACE(TO_TEXT('_Supporto Listone'!I447),"(.)","$1"&amp;UNICHAR(822)),'_Supporto Listone'!I447)</x:f>
        <x:v>Rigorista · Piazzati</x:v>
      </x:c>
      <x:c r="J447" s="449" t="str">
        <x:f>IF(COUNTIF(Asta!$B$4:$B$47,'_Supporto Listone'!B447)&gt;0,"Simone",IF(COUNTIF(Asta!$D$4:$D$47,'_Supporto Listone'!B447)&gt;0,"Giacomo",IF(COUNTIF(Asta!$F$4:$F$47,'_Supporto Listone'!B447)&gt;0,"Niko",IF(COUNTIF(Asta!$H$4:$H$47,'_Supporto Listone'!B447)&gt;0,"Quici",IF(COUNTIF(Asta!$J$4:$J$47,'_Supporto Listone'!B447)&gt;0,"Fratello Quici",IF(COUNTIF(Asta!$L$4:$L$47,'_Supporto Listone'!B447)&gt;0,"Nicolò",IF(COUNTIF(Asta!$N$4:$N$47,'_Supporto Listone'!B447)&gt;0,"Vi",IF(COUNTIF(Asta!$P$4:$P$47,'_Supporto Listone'!B447)&gt;0,"Lore",IF(COUNTIF(Asta!$R$4:$R$47,'_Supporto Listone'!B447)&gt;0,"Robbo",IF(COUNTIF(Asta!$T$4:$T$47,'_Supporto Listone'!B447)&gt;0,"Ale",""))))))))))</x:f>
      </x:c>
      <x:c r="K447" s="497" t="str">
        <x:f>IF(COUNTIF(Asta!$B$4:$B$47,'_Supporto Listone'!B447)&gt;0,INDEX(Asta!$C$4:$C$47,MATCH('_Supporto Listone'!B447,Asta!$B$4:$B$47,0)),IF(COUNTIF(Asta!$D$4:$D$47,'_Supporto Listone'!B447)&gt;0,INDEX(Asta!$E$4:$E$47,MATCH('_Supporto Listone'!B447,Asta!$D$4:$D$47,0)),IF(COUNTIF(Asta!$F$4:$F$47,'_Supporto Listone'!B447)&gt;0,INDEX(Asta!$G$4:$G$47,MATCH('_Supporto Listone'!B447,Asta!$F$4:$F$47,0)),IF(COUNTIF(Asta!$H$4:$H$47,'_Supporto Listone'!B447)&gt;0,INDEX(Asta!$I$4:$I$47,MATCH('_Supporto Listone'!B447,Asta!$H$4:$H$47,0)),IF(COUNTIF(Asta!$J$4:$J$47,'_Supporto Listone'!B447)&gt;0,INDEX(Asta!$K$4:$K$47,MATCH('_Supporto Listone'!B447,Asta!$J$4:$J$47,0)),IF(COUNTIF(Asta!$L$4:$L$47,'_Supporto Listone'!B447)&gt;0,INDEX(Asta!$M$4:$M$47,MATCH('_Supporto Listone'!B447,Asta!$L$4:$L$47,0)),IF(COUNTIF(Asta!$N$4:$N$47,'_Supporto Listone'!B447)&gt;0,INDEX(Asta!$O$4:$O$47,MATCH('_Supporto Listone'!B447,Asta!$N$4:$N$47,0)),IF(COUNTIF(Asta!$P$4:$P$47,'_Supporto Listone'!B447)&gt;0,INDEX(Asta!$Q$4:$Q$47,MATCH('_Supporto Listone'!B447,Asta!$P$4:$P$47,0)),IF(COUNTIF(Asta!$R$4:$R$47,'_Supporto Listone'!B447)&gt;0,INDEX(Asta!$S$4:$S$47,MATCH('_Supporto Listone'!B447,Asta!$R$4:$R$47,0)),IF(COUNTIF(Asta!$T$4:$T$47,'_Supporto Listone'!B447)&gt;0,INDEX(Asta!$U$4:$U$47,MATCH('_Supporto Listone'!B447,Asta!$T$4:$T$47,0)),""))))))))))</x:f>
      </x:c>
    </x:row>
    <x:row r="448">
      <x:c r="A448" s="448" t="str">
        <x:f>IF($J448&lt;&gt;"",REGEXREPLACE(TO_TEXT('_Supporto Listone'!A448),"(.)","$1"&amp;UNICHAR(822)),'_Supporto Listone'!A448)</x:f>
        <x:v>A</x:v>
      </x:c>
      <x:c r="B448" s="449" t="str">
        <x:f>IF($J448&lt;&gt;"",REGEXREPLACE(TO_TEXT('_Supporto Listone'!B448),"(.)","$1"&amp;UNICHAR(822)),'_Supporto Listone'!B448)</x:f>
        <x:v>Raspadori</x:v>
      </x:c>
      <x:c r="C448" s="449" t="str">
        <x:f>IF($J448&lt;&gt;"",REGEXREPLACE(TO_TEXT('_Supporto Listone'!C448),"(.)","$1"&amp;UNICHAR(822)),'_Supporto Listone'!C448)</x:f>
        <x:v>Atalanta</x:v>
      </x:c>
      <x:c r="D448" s="449" t="str">
        <x:f>IF($J448&lt;&gt;"",REGEXREPLACE(TO_TEXT('_Supporto Listone'!D448),"(.)","$1"&amp;UNICHAR(822)),'_Supporto Listone'!D448)</x:f>
        <x:v>A</x:v>
      </x:c>
      <x:c r="E448" s="449" t="str">
        <x:f>IF($J448&lt;&gt;"",REGEXREPLACE(TO_TEXT('_Supporto Listone'!E448),"(.)","$1"&amp;UNICHAR(822)),'_Supporto Listone'!E448)</x:f>
        <x:v>Ballottaggio</x:v>
      </x:c>
      <x:c r="F448" s="466" t="n">
        <x:f>IF($J448&lt;&gt;"",REGEXREPLACE(TO_TEXT('_Supporto Listone'!F448),"(.)","$1"&amp;UNICHAR(822)),'_Supporto Listone'!F448)</x:f>
        <x:v>13</x:v>
      </x:c>
      <x:c r="G448" s="466" t="n">
        <x:f>IF($J448&lt;&gt;"",REGEXREPLACE(TO_TEXT('_Supporto Listone'!G448),"(.)","$1"&amp;UNICHAR(822)),'_Supporto Listone'!G448)</x:f>
        <x:v>62</x:v>
      </x:c>
      <x:c r="H448" s="466" t="n">
        <x:f>IF($J448&lt;&gt;"",REGEXREPLACE(TO_TEXT('_Supporto Listone'!H448),"(.)","$1"&amp;UNICHAR(822)),'_Supporto Listone'!H448)</x:f>
        <x:v>31</x:v>
      </x:c>
      <x:c r="I448" s="450"/>
      <x:c r="J448" s="449" t="str">
        <x:f>IF(COUNTIF(Asta!$B$4:$B$47,'_Supporto Listone'!B448)&gt;0,"Simone",IF(COUNTIF(Asta!$D$4:$D$47,'_Supporto Listone'!B448)&gt;0,"Giacomo",IF(COUNTIF(Asta!$F$4:$F$47,'_Supporto Listone'!B448)&gt;0,"Niko",IF(COUNTIF(Asta!$H$4:$H$47,'_Supporto Listone'!B448)&gt;0,"Quici",IF(COUNTIF(Asta!$J$4:$J$47,'_Supporto Listone'!B448)&gt;0,"Fratello Quici",IF(COUNTIF(Asta!$L$4:$L$47,'_Supporto Listone'!B448)&gt;0,"Nicolò",IF(COUNTIF(Asta!$N$4:$N$47,'_Supporto Listone'!B448)&gt;0,"Vi",IF(COUNTIF(Asta!$P$4:$P$47,'_Supporto Listone'!B448)&gt;0,"Lore",IF(COUNTIF(Asta!$R$4:$R$47,'_Supporto Listone'!B448)&gt;0,"Robbo",IF(COUNTIF(Asta!$T$4:$T$47,'_Supporto Listone'!B448)&gt;0,"Ale",""))))))))))</x:f>
      </x:c>
      <x:c r="K448" s="497" t="str">
        <x:f>IF(COUNTIF(Asta!$B$4:$B$47,'_Supporto Listone'!B448)&gt;0,INDEX(Asta!$C$4:$C$47,MATCH('_Supporto Listone'!B448,Asta!$B$4:$B$47,0)),IF(COUNTIF(Asta!$D$4:$D$47,'_Supporto Listone'!B448)&gt;0,INDEX(Asta!$E$4:$E$47,MATCH('_Supporto Listone'!B448,Asta!$D$4:$D$47,0)),IF(COUNTIF(Asta!$F$4:$F$47,'_Supporto Listone'!B448)&gt;0,INDEX(Asta!$G$4:$G$47,MATCH('_Supporto Listone'!B448,Asta!$F$4:$F$47,0)),IF(COUNTIF(Asta!$H$4:$H$47,'_Supporto Listone'!B448)&gt;0,INDEX(Asta!$I$4:$I$47,MATCH('_Supporto Listone'!B448,Asta!$H$4:$H$47,0)),IF(COUNTIF(Asta!$J$4:$J$47,'_Supporto Listone'!B448)&gt;0,INDEX(Asta!$K$4:$K$47,MATCH('_Supporto Listone'!B448,Asta!$J$4:$J$47,0)),IF(COUNTIF(Asta!$L$4:$L$47,'_Supporto Listone'!B448)&gt;0,INDEX(Asta!$M$4:$M$47,MATCH('_Supporto Listone'!B448,Asta!$L$4:$L$47,0)),IF(COUNTIF(Asta!$N$4:$N$47,'_Supporto Listone'!B448)&gt;0,INDEX(Asta!$O$4:$O$47,MATCH('_Supporto Listone'!B448,Asta!$N$4:$N$47,0)),IF(COUNTIF(Asta!$P$4:$P$47,'_Supporto Listone'!B448)&gt;0,INDEX(Asta!$Q$4:$Q$47,MATCH('_Supporto Listone'!B448,Asta!$P$4:$P$47,0)),IF(COUNTIF(Asta!$R$4:$R$47,'_Supporto Listone'!B448)&gt;0,INDEX(Asta!$S$4:$S$47,MATCH('_Supporto Listone'!B448,Asta!$R$4:$R$47,0)),IF(COUNTIF(Asta!$T$4:$T$47,'_Supporto Listone'!B448)&gt;0,INDEX(Asta!$U$4:$U$47,MATCH('_Supporto Listone'!B448,Asta!$T$4:$T$47,0)),""))))))))))</x:f>
      </x:c>
    </x:row>
    <x:row r="449">
      <x:c r="A449" s="448" t="str">
        <x:f>IF($J449&lt;&gt;"",REGEXREPLACE(TO_TEXT('_Supporto Listone'!A449),"(.)","$1"&amp;UNICHAR(822)),'_Supporto Listone'!A449)</x:f>
        <x:v>A</x:v>
      </x:c>
      <x:c r="B449" s="449" t="str">
        <x:f>IF($J449&lt;&gt;"",REGEXREPLACE(TO_TEXT('_Supporto Listone'!B449),"(.)","$1"&amp;UNICHAR(822)),'_Supporto Listone'!B449)</x:f>
        <x:v>Esposito Se.</x:v>
      </x:c>
      <x:c r="C449" s="449" t="str">
        <x:f>IF($J449&lt;&gt;"",REGEXREPLACE(TO_TEXT('_Supporto Listone'!C449),"(.)","$1"&amp;UNICHAR(822)),'_Supporto Listone'!C449)</x:f>
        <x:v>Cagliari</x:v>
      </x:c>
      <x:c r="D449" s="449" t="str">
        <x:f>IF($J449&lt;&gt;"",REGEXREPLACE(TO_TEXT('_Supporto Listone'!D449),"(.)","$1"&amp;UNICHAR(822)),'_Supporto Listone'!D449)</x:f>
        <x:v>A</x:v>
      </x:c>
      <x:c r="E449" s="449" t="str">
        <x:f>IF($J449&lt;&gt;"",REGEXREPLACE(TO_TEXT('_Supporto Listone'!E449),"(.)","$1"&amp;UNICHAR(822)),'_Supporto Listone'!E449)</x:f>
        <x:v>Riserva / rotazione</x:v>
      </x:c>
      <x:c r="F449" s="466" t="n">
        <x:f>IF($J449&lt;&gt;"",REGEXREPLACE(TO_TEXT('_Supporto Listone'!F449),"(.)","$1"&amp;UNICHAR(822)),'_Supporto Listone'!F449)</x:f>
        <x:v>13</x:v>
      </x:c>
      <x:c r="G449" s="466" t="n">
        <x:f>IF($J449&lt;&gt;"",REGEXREPLACE(TO_TEXT('_Supporto Listone'!G449),"(.)","$1"&amp;UNICHAR(822)),'_Supporto Listone'!G449)</x:f>
        <x:v>50</x:v>
      </x:c>
      <x:c r="H449" s="466" t="n">
        <x:f>IF($J449&lt;&gt;"",REGEXREPLACE(TO_TEXT('_Supporto Listone'!H449),"(.)","$1"&amp;UNICHAR(822)),'_Supporto Listone'!H449)</x:f>
        <x:v>25</x:v>
      </x:c>
      <x:c r="I449" s="450"/>
      <x:c r="J449" s="449" t="str">
        <x:f>IF(COUNTIF(Asta!$B$4:$B$47,'_Supporto Listone'!B449)&gt;0,"Simone",IF(COUNTIF(Asta!$D$4:$D$47,'_Supporto Listone'!B449)&gt;0,"Giacomo",IF(COUNTIF(Asta!$F$4:$F$47,'_Supporto Listone'!B449)&gt;0,"Niko",IF(COUNTIF(Asta!$H$4:$H$47,'_Supporto Listone'!B449)&gt;0,"Quici",IF(COUNTIF(Asta!$J$4:$J$47,'_Supporto Listone'!B449)&gt;0,"Fratello Quici",IF(COUNTIF(Asta!$L$4:$L$47,'_Supporto Listone'!B449)&gt;0,"Nicolò",IF(COUNTIF(Asta!$N$4:$N$47,'_Supporto Listone'!B449)&gt;0,"Vi",IF(COUNTIF(Asta!$P$4:$P$47,'_Supporto Listone'!B449)&gt;0,"Lore",IF(COUNTIF(Asta!$R$4:$R$47,'_Supporto Listone'!B449)&gt;0,"Robbo",IF(COUNTIF(Asta!$T$4:$T$47,'_Supporto Listone'!B449)&gt;0,"Ale",""))))))))))</x:f>
      </x:c>
      <x:c r="K449" s="497" t="str">
        <x:f>IF(COUNTIF(Asta!$B$4:$B$47,'_Supporto Listone'!B449)&gt;0,INDEX(Asta!$C$4:$C$47,MATCH('_Supporto Listone'!B449,Asta!$B$4:$B$47,0)),IF(COUNTIF(Asta!$D$4:$D$47,'_Supporto Listone'!B449)&gt;0,INDEX(Asta!$E$4:$E$47,MATCH('_Supporto Listone'!B449,Asta!$D$4:$D$47,0)),IF(COUNTIF(Asta!$F$4:$F$47,'_Supporto Listone'!B449)&gt;0,INDEX(Asta!$G$4:$G$47,MATCH('_Supporto Listone'!B449,Asta!$F$4:$F$47,0)),IF(COUNTIF(Asta!$H$4:$H$47,'_Supporto Listone'!B449)&gt;0,INDEX(Asta!$I$4:$I$47,MATCH('_Supporto Listone'!B449,Asta!$H$4:$H$47,0)),IF(COUNTIF(Asta!$J$4:$J$47,'_Supporto Listone'!B449)&gt;0,INDEX(Asta!$K$4:$K$47,MATCH('_Supporto Listone'!B449,Asta!$J$4:$J$47,0)),IF(COUNTIF(Asta!$L$4:$L$47,'_Supporto Listone'!B449)&gt;0,INDEX(Asta!$M$4:$M$47,MATCH('_Supporto Listone'!B449,Asta!$L$4:$L$47,0)),IF(COUNTIF(Asta!$N$4:$N$47,'_Supporto Listone'!B449)&gt;0,INDEX(Asta!$O$4:$O$47,MATCH('_Supporto Listone'!B449,Asta!$N$4:$N$47,0)),IF(COUNTIF(Asta!$P$4:$P$47,'_Supporto Listone'!B449)&gt;0,INDEX(Asta!$Q$4:$Q$47,MATCH('_Supporto Listone'!B449,Asta!$P$4:$P$47,0)),IF(COUNTIF(Asta!$R$4:$R$47,'_Supporto Listone'!B449)&gt;0,INDEX(Asta!$S$4:$S$47,MATCH('_Supporto Listone'!B449,Asta!$R$4:$R$47,0)),IF(COUNTIF(Asta!$T$4:$T$47,'_Supporto Listone'!B449)&gt;0,INDEX(Asta!$U$4:$U$47,MATCH('_Supporto Listone'!B449,Asta!$T$4:$T$47,0)),""))))))))))</x:f>
      </x:c>
    </x:row>
    <x:row r="450">
      <x:c r="A450" s="448" t="str">
        <x:f>IF($J450&lt;&gt;"",REGEXREPLACE(TO_TEXT('_Supporto Listone'!A450),"(.)","$1"&amp;UNICHAR(822)),'_Supporto Listone'!A450)</x:f>
        <x:v>A</x:v>
      </x:c>
      <x:c r="B450" s="449" t="str">
        <x:f>IF($J450&lt;&gt;"",REGEXREPLACE(TO_TEXT('_Supporto Listone'!B450),"(.)","$1"&amp;UNICHAR(822)),'_Supporto Listone'!B450)</x:f>
        <x:v>Nkunku</x:v>
      </x:c>
      <x:c r="C450" s="449" t="str">
        <x:f>IF($J450&lt;&gt;"",REGEXREPLACE(TO_TEXT('_Supporto Listone'!C450),"(.)","$1"&amp;UNICHAR(822)),'_Supporto Listone'!C450)</x:f>
        <x:v>Milan</x:v>
      </x:c>
      <x:c r="D450" s="449" t="str">
        <x:f>IF($J450&lt;&gt;"",REGEXREPLACE(TO_TEXT('_Supporto Listone'!D450),"(.)","$1"&amp;UNICHAR(822)),'_Supporto Listone'!D450)</x:f>
        <x:v>A</x:v>
      </x:c>
      <x:c r="E450" s="449" t="str">
        <x:f>IF($J450&lt;&gt;"",REGEXREPLACE(TO_TEXT('_Supporto Listone'!E450),"(.)","$1"&amp;UNICHAR(822)),'_Supporto Listone'!E450)</x:f>
        <x:v>Riserva / rotazione</x:v>
      </x:c>
      <x:c r="F450" s="466" t="n">
        <x:f>IF($J450&lt;&gt;"",REGEXREPLACE(TO_TEXT('_Supporto Listone'!F450),"(.)","$1"&amp;UNICHAR(822)),'_Supporto Listone'!F450)</x:f>
        <x:v>13</x:v>
      </x:c>
      <x:c r="G450" s="466" t="n">
        <x:f>IF($J450&lt;&gt;"",REGEXREPLACE(TO_TEXT('_Supporto Listone'!G450),"(.)","$1"&amp;UNICHAR(822)),'_Supporto Listone'!G450)</x:f>
        <x:v>52</x:v>
      </x:c>
      <x:c r="H450" s="466" t="n">
        <x:f>IF($J450&lt;&gt;"",REGEXREPLACE(TO_TEXT('_Supporto Listone'!H450),"(.)","$1"&amp;UNICHAR(822)),'_Supporto Listone'!H450)</x:f>
        <x:v>26</x:v>
      </x:c>
      <x:c r="I450" s="450"/>
      <x:c r="J450" s="449" t="str">
        <x:f>IF(COUNTIF(Asta!$B$4:$B$47,'_Supporto Listone'!B450)&gt;0,"Simone",IF(COUNTIF(Asta!$D$4:$D$47,'_Supporto Listone'!B450)&gt;0,"Giacomo",IF(COUNTIF(Asta!$F$4:$F$47,'_Supporto Listone'!B450)&gt;0,"Niko",IF(COUNTIF(Asta!$H$4:$H$47,'_Supporto Listone'!B450)&gt;0,"Quici",IF(COUNTIF(Asta!$J$4:$J$47,'_Supporto Listone'!B450)&gt;0,"Fratello Quici",IF(COUNTIF(Asta!$L$4:$L$47,'_Supporto Listone'!B450)&gt;0,"Nicolò",IF(COUNTIF(Asta!$N$4:$N$47,'_Supporto Listone'!B450)&gt;0,"Vi",IF(COUNTIF(Asta!$P$4:$P$47,'_Supporto Listone'!B450)&gt;0,"Lore",IF(COUNTIF(Asta!$R$4:$R$47,'_Supporto Listone'!B450)&gt;0,"Robbo",IF(COUNTIF(Asta!$T$4:$T$47,'_Supporto Listone'!B450)&gt;0,"Ale",""))))))))))</x:f>
      </x:c>
      <x:c r="K450" s="497" t="str">
        <x:f>IF(COUNTIF(Asta!$B$4:$B$47,'_Supporto Listone'!B450)&gt;0,INDEX(Asta!$C$4:$C$47,MATCH('_Supporto Listone'!B450,Asta!$B$4:$B$47,0)),IF(COUNTIF(Asta!$D$4:$D$47,'_Supporto Listone'!B450)&gt;0,INDEX(Asta!$E$4:$E$47,MATCH('_Supporto Listone'!B450,Asta!$D$4:$D$47,0)),IF(COUNTIF(Asta!$F$4:$F$47,'_Supporto Listone'!B450)&gt;0,INDEX(Asta!$G$4:$G$47,MATCH('_Supporto Listone'!B450,Asta!$F$4:$F$47,0)),IF(COUNTIF(Asta!$H$4:$H$47,'_Supporto Listone'!B450)&gt;0,INDEX(Asta!$I$4:$I$47,MATCH('_Supporto Listone'!B450,Asta!$H$4:$H$47,0)),IF(COUNTIF(Asta!$J$4:$J$47,'_Supporto Listone'!B450)&gt;0,INDEX(Asta!$K$4:$K$47,MATCH('_Supporto Listone'!B450,Asta!$J$4:$J$47,0)),IF(COUNTIF(Asta!$L$4:$L$47,'_Supporto Listone'!B450)&gt;0,INDEX(Asta!$M$4:$M$47,MATCH('_Supporto Listone'!B450,Asta!$L$4:$L$47,0)),IF(COUNTIF(Asta!$N$4:$N$47,'_Supporto Listone'!B450)&gt;0,INDEX(Asta!$O$4:$O$47,MATCH('_Supporto Listone'!B450,Asta!$N$4:$N$47,0)),IF(COUNTIF(Asta!$P$4:$P$47,'_Supporto Listone'!B450)&gt;0,INDEX(Asta!$Q$4:$Q$47,MATCH('_Supporto Listone'!B450,Asta!$P$4:$P$47,0)),IF(COUNTIF(Asta!$R$4:$R$47,'_Supporto Listone'!B450)&gt;0,INDEX(Asta!$S$4:$S$47,MATCH('_Supporto Listone'!B450,Asta!$R$4:$R$47,0)),IF(COUNTIF(Asta!$T$4:$T$47,'_Supporto Listone'!B450)&gt;0,INDEX(Asta!$U$4:$U$47,MATCH('_Supporto Listone'!B450,Asta!$T$4:$T$47,0)),""))))))))))</x:f>
      </x:c>
    </x:row>
    <x:row r="451">
      <x:c r="A451" s="448" t="str">
        <x:f>IF($J451&lt;&gt;"",REGEXREPLACE(TO_TEXT('_Supporto Listone'!A451),"(.)","$1"&amp;UNICHAR(822)),'_Supporto Listone'!A451)</x:f>
        <x:v>A</x:v>
      </x:c>
      <x:c r="B451" s="449" t="str">
        <x:f>IF($J451&lt;&gt;"",REGEXREPLACE(TO_TEXT('_Supporto Listone'!B451),"(.)","$1"&amp;UNICHAR(822)),'_Supporto Listone'!B451)</x:f>
        <x:v>Pinamonti</x:v>
      </x:c>
      <x:c r="C451" s="449" t="str">
        <x:f>IF($J451&lt;&gt;"",REGEXREPLACE(TO_TEXT('_Supporto Listone'!C451),"(.)","$1"&amp;UNICHAR(822)),'_Supporto Listone'!C451)</x:f>
        <x:v>Sassuolo</x:v>
      </x:c>
      <x:c r="D451" s="449" t="str">
        <x:f>IF($J451&lt;&gt;"",REGEXREPLACE(TO_TEXT('_Supporto Listone'!D451),"(.)","$1"&amp;UNICHAR(822)),'_Supporto Listone'!D451)</x:f>
        <x:v>Pc</x:v>
      </x:c>
      <x:c r="E451" s="449" t="str">
        <x:f>IF($J451&lt;&gt;"",REGEXREPLACE(TO_TEXT('_Supporto Listone'!E451),"(.)","$1"&amp;UNICHAR(822)),'_Supporto Listone'!E451)</x:f>
        <x:v>Riserva / rotazione</x:v>
      </x:c>
      <x:c r="F451" s="466" t="n">
        <x:f>IF($J451&lt;&gt;"",REGEXREPLACE(TO_TEXT('_Supporto Listone'!F451),"(.)","$1"&amp;UNICHAR(822)),'_Supporto Listone'!F451)</x:f>
        <x:v>13</x:v>
      </x:c>
      <x:c r="G451" s="466" t="n">
        <x:f>IF($J451&lt;&gt;"",REGEXREPLACE(TO_TEXT('_Supporto Listone'!G451),"(.)","$1"&amp;UNICHAR(822)),'_Supporto Listone'!G451)</x:f>
        <x:v>58</x:v>
      </x:c>
      <x:c r="H451" s="466" t="n">
        <x:f>IF($J451&lt;&gt;"",REGEXREPLACE(TO_TEXT('_Supporto Listone'!H451),"(.)","$1"&amp;UNICHAR(822)),'_Supporto Listone'!H451)</x:f>
        <x:v>29</x:v>
      </x:c>
      <x:c r="I451" s="450"/>
      <x:c r="J451" s="449" t="str">
        <x:f>IF(COUNTIF(Asta!$B$4:$B$47,'_Supporto Listone'!B451)&gt;0,"Simone",IF(COUNTIF(Asta!$D$4:$D$47,'_Supporto Listone'!B451)&gt;0,"Giacomo",IF(COUNTIF(Asta!$F$4:$F$47,'_Supporto Listone'!B451)&gt;0,"Niko",IF(COUNTIF(Asta!$H$4:$H$47,'_Supporto Listone'!B451)&gt;0,"Quici",IF(COUNTIF(Asta!$J$4:$J$47,'_Supporto Listone'!B451)&gt;0,"Fratello Quici",IF(COUNTIF(Asta!$L$4:$L$47,'_Supporto Listone'!B451)&gt;0,"Nicolò",IF(COUNTIF(Asta!$N$4:$N$47,'_Supporto Listone'!B451)&gt;0,"Vi",IF(COUNTIF(Asta!$P$4:$P$47,'_Supporto Listone'!B451)&gt;0,"Lore",IF(COUNTIF(Asta!$R$4:$R$47,'_Supporto Listone'!B451)&gt;0,"Robbo",IF(COUNTIF(Asta!$T$4:$T$47,'_Supporto Listone'!B451)&gt;0,"Ale",""))))))))))</x:f>
      </x:c>
      <x:c r="K451" s="497" t="str">
        <x:f>IF(COUNTIF(Asta!$B$4:$B$47,'_Supporto Listone'!B451)&gt;0,INDEX(Asta!$C$4:$C$47,MATCH('_Supporto Listone'!B451,Asta!$B$4:$B$47,0)),IF(COUNTIF(Asta!$D$4:$D$47,'_Supporto Listone'!B451)&gt;0,INDEX(Asta!$E$4:$E$47,MATCH('_Supporto Listone'!B451,Asta!$D$4:$D$47,0)),IF(COUNTIF(Asta!$F$4:$F$47,'_Supporto Listone'!B451)&gt;0,INDEX(Asta!$G$4:$G$47,MATCH('_Supporto Listone'!B451,Asta!$F$4:$F$47,0)),IF(COUNTIF(Asta!$H$4:$H$47,'_Supporto Listone'!B451)&gt;0,INDEX(Asta!$I$4:$I$47,MATCH('_Supporto Listone'!B451,Asta!$H$4:$H$47,0)),IF(COUNTIF(Asta!$J$4:$J$47,'_Supporto Listone'!B451)&gt;0,INDEX(Asta!$K$4:$K$47,MATCH('_Supporto Listone'!B451,Asta!$J$4:$J$47,0)),IF(COUNTIF(Asta!$L$4:$L$47,'_Supporto Listone'!B451)&gt;0,INDEX(Asta!$M$4:$M$47,MATCH('_Supporto Listone'!B451,Asta!$L$4:$L$47,0)),IF(COUNTIF(Asta!$N$4:$N$47,'_Supporto Listone'!B451)&gt;0,INDEX(Asta!$O$4:$O$47,MATCH('_Supporto Listone'!B451,Asta!$N$4:$N$47,0)),IF(COUNTIF(Asta!$P$4:$P$47,'_Supporto Listone'!B451)&gt;0,INDEX(Asta!$Q$4:$Q$47,MATCH('_Supporto Listone'!B451,Asta!$P$4:$P$47,0)),IF(COUNTIF(Asta!$R$4:$R$47,'_Supporto Listone'!B451)&gt;0,INDEX(Asta!$S$4:$S$47,MATCH('_Supporto Listone'!B451,Asta!$R$4:$R$47,0)),IF(COUNTIF(Asta!$T$4:$T$47,'_Supporto Listone'!B451)&gt;0,INDEX(Asta!$U$4:$U$47,MATCH('_Supporto Listone'!B451,Asta!$T$4:$T$47,0)),""))))))))))</x:f>
      </x:c>
    </x:row>
    <x:row r="452">
      <x:c r="A452" s="448" t="str">
        <x:f>IF($J452&lt;&gt;"",REGEXREPLACE(TO_TEXT('_Supporto Listone'!A452),"(.)","$1"&amp;UNICHAR(822)),'_Supporto Listone'!A452)</x:f>
        <x:v>A</x:v>
      </x:c>
      <x:c r="B452" s="449" t="str">
        <x:f>IF($J452&lt;&gt;"",REGEXREPLACE(TO_TEXT('_Supporto Listone'!B452),"(.)","$1"&amp;UNICHAR(822)),'_Supporto Listone'!B452)</x:f>
        <x:v>Soulè</x:v>
      </x:c>
      <x:c r="C452" s="449" t="str">
        <x:f>IF($J452&lt;&gt;"",REGEXREPLACE(TO_TEXT('_Supporto Listone'!C452),"(.)","$1"&amp;UNICHAR(822)),'_Supporto Listone'!C452)</x:f>
        <x:v>Roma</x:v>
      </x:c>
      <x:c r="D452" s="449" t="str">
        <x:f>IF($J452&lt;&gt;"",REGEXREPLACE(TO_TEXT('_Supporto Listone'!D452),"(.)","$1"&amp;UNICHAR(822)),'_Supporto Listone'!D452)</x:f>
        <x:v>A</x:v>
      </x:c>
      <x:c r="E452" s="449" t="str">
        <x:f>IF($J452&lt;&gt;"",REGEXREPLACE(TO_TEXT('_Supporto Listone'!E452),"(.)","$1"&amp;UNICHAR(822)),'_Supporto Listone'!E452)</x:f>
        <x:v>Ballottaggio</x:v>
      </x:c>
      <x:c r="F452" s="466" t="n">
        <x:f>IF($J452&lt;&gt;"",REGEXREPLACE(TO_TEXT('_Supporto Listone'!F452),"(.)","$1"&amp;UNICHAR(822)),'_Supporto Listone'!F452)</x:f>
        <x:v>12</x:v>
      </x:c>
      <x:c r="G452" s="466" t="n">
        <x:f>IF($J452&lt;&gt;"",REGEXREPLACE(TO_TEXT('_Supporto Listone'!G452),"(.)","$1"&amp;UNICHAR(822)),'_Supporto Listone'!G452)</x:f>
        <x:v>55</x:v>
      </x:c>
      <x:c r="H452" s="466" t="n">
        <x:f>IF($J452&lt;&gt;"",REGEXREPLACE(TO_TEXT('_Supporto Listone'!H452),"(.)","$1"&amp;UNICHAR(822)),'_Supporto Listone'!H452)</x:f>
        <x:v>28</x:v>
      </x:c>
      <x:c r="I452" s="450"/>
      <x:c r="J452" s="449" t="str">
        <x:f>IF(COUNTIF(Asta!$B$4:$B$47,'_Supporto Listone'!B452)&gt;0,"Simone",IF(COUNTIF(Asta!$D$4:$D$47,'_Supporto Listone'!B452)&gt;0,"Giacomo",IF(COUNTIF(Asta!$F$4:$F$47,'_Supporto Listone'!B452)&gt;0,"Niko",IF(COUNTIF(Asta!$H$4:$H$47,'_Supporto Listone'!B452)&gt;0,"Quici",IF(COUNTIF(Asta!$J$4:$J$47,'_Supporto Listone'!B452)&gt;0,"Fratello Quici",IF(COUNTIF(Asta!$L$4:$L$47,'_Supporto Listone'!B452)&gt;0,"Nicolò",IF(COUNTIF(Asta!$N$4:$N$47,'_Supporto Listone'!B452)&gt;0,"Vi",IF(COUNTIF(Asta!$P$4:$P$47,'_Supporto Listone'!B452)&gt;0,"Lore",IF(COUNTIF(Asta!$R$4:$R$47,'_Supporto Listone'!B452)&gt;0,"Robbo",IF(COUNTIF(Asta!$T$4:$T$47,'_Supporto Listone'!B452)&gt;0,"Ale",""))))))))))</x:f>
      </x:c>
      <x:c r="K452" s="497" t="str">
        <x:f>IF(COUNTIF(Asta!$B$4:$B$47,'_Supporto Listone'!B452)&gt;0,INDEX(Asta!$C$4:$C$47,MATCH('_Supporto Listone'!B452,Asta!$B$4:$B$47,0)),IF(COUNTIF(Asta!$D$4:$D$47,'_Supporto Listone'!B452)&gt;0,INDEX(Asta!$E$4:$E$47,MATCH('_Supporto Listone'!B452,Asta!$D$4:$D$47,0)),IF(COUNTIF(Asta!$F$4:$F$47,'_Supporto Listone'!B452)&gt;0,INDEX(Asta!$G$4:$G$47,MATCH('_Supporto Listone'!B452,Asta!$F$4:$F$47,0)),IF(COUNTIF(Asta!$H$4:$H$47,'_Supporto Listone'!B452)&gt;0,INDEX(Asta!$I$4:$I$47,MATCH('_Supporto Listone'!B452,Asta!$H$4:$H$47,0)),IF(COUNTIF(Asta!$J$4:$J$47,'_Supporto Listone'!B452)&gt;0,INDEX(Asta!$K$4:$K$47,MATCH('_Supporto Listone'!B452,Asta!$J$4:$J$47,0)),IF(COUNTIF(Asta!$L$4:$L$47,'_Supporto Listone'!B452)&gt;0,INDEX(Asta!$M$4:$M$47,MATCH('_Supporto Listone'!B452,Asta!$L$4:$L$47,0)),IF(COUNTIF(Asta!$N$4:$N$47,'_Supporto Listone'!B452)&gt;0,INDEX(Asta!$O$4:$O$47,MATCH('_Supporto Listone'!B452,Asta!$N$4:$N$47,0)),IF(COUNTIF(Asta!$P$4:$P$47,'_Supporto Listone'!B452)&gt;0,INDEX(Asta!$Q$4:$Q$47,MATCH('_Supporto Listone'!B452,Asta!$P$4:$P$47,0)),IF(COUNTIF(Asta!$R$4:$R$47,'_Supporto Listone'!B452)&gt;0,INDEX(Asta!$S$4:$S$47,MATCH('_Supporto Listone'!B452,Asta!$R$4:$R$47,0)),IF(COUNTIF(Asta!$T$4:$T$47,'_Supporto Listone'!B452)&gt;0,INDEX(Asta!$U$4:$U$47,MATCH('_Supporto Listone'!B452,Asta!$T$4:$T$47,0)),""))))))))))</x:f>
      </x:c>
    </x:row>
    <x:row r="453">
      <x:c r="A453" s="448" t="str">
        <x:f>IF($J453&lt;&gt;"",REGEXREPLACE(TO_TEXT('_Supporto Listone'!A453),"(.)","$1"&amp;UNICHAR(822)),'_Supporto Listone'!A453)</x:f>
        <x:v>A</x:v>
      </x:c>
      <x:c r="B453" s="449" t="str">
        <x:f>IF($J453&lt;&gt;"",REGEXREPLACE(TO_TEXT('_Supporto Listone'!B453),"(.)","$1"&amp;UNICHAR(822)),'_Supporto Listone'!B453)</x:f>
        <x:v>Adams A.</x:v>
      </x:c>
      <x:c r="C453" s="449" t="str">
        <x:f>IF($J453&lt;&gt;"",REGEXREPLACE(TO_TEXT('_Supporto Listone'!C453),"(.)","$1"&amp;UNICHAR(822)),'_Supporto Listone'!C453)</x:f>
        <x:v>Venezia</x:v>
      </x:c>
      <x:c r="D453" s="449" t="str">
        <x:f>IF($J453&lt;&gt;"",REGEXREPLACE(TO_TEXT('_Supporto Listone'!D453),"(.)","$1"&amp;UNICHAR(822)),'_Supporto Listone'!D453)</x:f>
        <x:v>Pc</x:v>
      </x:c>
      <x:c r="E453" s="449" t="str">
        <x:f>IF($J453&lt;&gt;"",REGEXREPLACE(TO_TEXT('_Supporto Listone'!E453),"(.)","$1"&amp;UNICHAR(822)),'_Supporto Listone'!E453)</x:f>
        <x:v>Titolare / ballottaggio</x:v>
      </x:c>
      <x:c r="F453" s="466" t="n">
        <x:f>IF($J453&lt;&gt;"",REGEXREPLACE(TO_TEXT('_Supporto Listone'!F453),"(.)","$1"&amp;UNICHAR(822)),'_Supporto Listone'!F453)</x:f>
        <x:v>12</x:v>
      </x:c>
      <x:c r="G453" s="466" t="n">
        <x:f>IF($J453&lt;&gt;"",REGEXREPLACE(TO_TEXT('_Supporto Listone'!G453),"(.)","$1"&amp;UNICHAR(822)),'_Supporto Listone'!G453)</x:f>
        <x:v>52</x:v>
      </x:c>
      <x:c r="H453" s="466" t="n">
        <x:f>IF($J453&lt;&gt;"",REGEXREPLACE(TO_TEXT('_Supporto Listone'!H453),"(.)","$1"&amp;UNICHAR(822)),'_Supporto Listone'!H453)</x:f>
        <x:v>26</x:v>
      </x:c>
      <x:c r="I453" s="450" t="str">
        <x:f>IF($J453&lt;&gt;"",REGEXREPLACE(TO_TEXT('_Supporto Listone'!I453),"(.)","$1"&amp;UNICHAR(822)),'_Supporto Listone'!I453)</x:f>
        <x:v>Rigorista</x:v>
      </x:c>
      <x:c r="J453" s="449" t="str">
        <x:f>IF(COUNTIF(Asta!$B$4:$B$47,'_Supporto Listone'!B453)&gt;0,"Simone",IF(COUNTIF(Asta!$D$4:$D$47,'_Supporto Listone'!B453)&gt;0,"Giacomo",IF(COUNTIF(Asta!$F$4:$F$47,'_Supporto Listone'!B453)&gt;0,"Niko",IF(COUNTIF(Asta!$H$4:$H$47,'_Supporto Listone'!B453)&gt;0,"Quici",IF(COUNTIF(Asta!$J$4:$J$47,'_Supporto Listone'!B453)&gt;0,"Fratello Quici",IF(COUNTIF(Asta!$L$4:$L$47,'_Supporto Listone'!B453)&gt;0,"Nicolò",IF(COUNTIF(Asta!$N$4:$N$47,'_Supporto Listone'!B453)&gt;0,"Vi",IF(COUNTIF(Asta!$P$4:$P$47,'_Supporto Listone'!B453)&gt;0,"Lore",IF(COUNTIF(Asta!$R$4:$R$47,'_Supporto Listone'!B453)&gt;0,"Robbo",IF(COUNTIF(Asta!$T$4:$T$47,'_Supporto Listone'!B453)&gt;0,"Ale",""))))))))))</x:f>
      </x:c>
      <x:c r="K453" s="497" t="str">
        <x:f>IF(COUNTIF(Asta!$B$4:$B$47,'_Supporto Listone'!B453)&gt;0,INDEX(Asta!$C$4:$C$47,MATCH('_Supporto Listone'!B453,Asta!$B$4:$B$47,0)),IF(COUNTIF(Asta!$D$4:$D$47,'_Supporto Listone'!B453)&gt;0,INDEX(Asta!$E$4:$E$47,MATCH('_Supporto Listone'!B453,Asta!$D$4:$D$47,0)),IF(COUNTIF(Asta!$F$4:$F$47,'_Supporto Listone'!B453)&gt;0,INDEX(Asta!$G$4:$G$47,MATCH('_Supporto Listone'!B453,Asta!$F$4:$F$47,0)),IF(COUNTIF(Asta!$H$4:$H$47,'_Supporto Listone'!B453)&gt;0,INDEX(Asta!$I$4:$I$47,MATCH('_Supporto Listone'!B453,Asta!$H$4:$H$47,0)),IF(COUNTIF(Asta!$J$4:$J$47,'_Supporto Listone'!B453)&gt;0,INDEX(Asta!$K$4:$K$47,MATCH('_Supporto Listone'!B453,Asta!$J$4:$J$47,0)),IF(COUNTIF(Asta!$L$4:$L$47,'_Supporto Listone'!B453)&gt;0,INDEX(Asta!$M$4:$M$47,MATCH('_Supporto Listone'!B453,Asta!$L$4:$L$47,0)),IF(COUNTIF(Asta!$N$4:$N$47,'_Supporto Listone'!B453)&gt;0,INDEX(Asta!$O$4:$O$47,MATCH('_Supporto Listone'!B453,Asta!$N$4:$N$47,0)),IF(COUNTIF(Asta!$P$4:$P$47,'_Supporto Listone'!B453)&gt;0,INDEX(Asta!$Q$4:$Q$47,MATCH('_Supporto Listone'!B453,Asta!$P$4:$P$47,0)),IF(COUNTIF(Asta!$R$4:$R$47,'_Supporto Listone'!B453)&gt;0,INDEX(Asta!$S$4:$S$47,MATCH('_Supporto Listone'!B453,Asta!$R$4:$R$47,0)),IF(COUNTIF(Asta!$T$4:$T$47,'_Supporto Listone'!B453)&gt;0,INDEX(Asta!$U$4:$U$47,MATCH('_Supporto Listone'!B453,Asta!$T$4:$T$47,0)),""))))))))))</x:f>
      </x:c>
    </x:row>
    <x:row r="454">
      <x:c r="A454" s="448" t="str">
        <x:f>IF($J454&lt;&gt;"",REGEXREPLACE(TO_TEXT('_Supporto Listone'!A454),"(.)","$1"&amp;UNICHAR(822)),'_Supporto Listone'!A454)</x:f>
        <x:v>A</x:v>
      </x:c>
      <x:c r="B454" s="449" t="str">
        <x:f>IF($J454&lt;&gt;"",REGEXREPLACE(TO_TEXT('_Supporto Listone'!B454),"(.)","$1"&amp;UNICHAR(822)),'_Supporto Listone'!B454)</x:f>
        <x:v>Diao</x:v>
      </x:c>
      <x:c r="C454" s="449" t="str">
        <x:f>IF($J454&lt;&gt;"",REGEXREPLACE(TO_TEXT('_Supporto Listone'!C454),"(.)","$1"&amp;UNICHAR(822)),'_Supporto Listone'!C454)</x:f>
        <x:v>Como</x:v>
      </x:c>
      <x:c r="D454" s="449" t="str">
        <x:f>IF($J454&lt;&gt;"",REGEXREPLACE(TO_TEXT('_Supporto Listone'!D454),"(.)","$1"&amp;UNICHAR(822)),'_Supporto Listone'!D454)</x:f>
        <x:v>W;A</x:v>
      </x:c>
      <x:c r="E454" s="449" t="str">
        <x:f>IF($J454&lt;&gt;"",REGEXREPLACE(TO_TEXT('_Supporto Listone'!E454),"(.)","$1"&amp;UNICHAR(822)),'_Supporto Listone'!E454)</x:f>
        <x:v>Titolare / ballottaggio</x:v>
      </x:c>
      <x:c r="F454" s="466" t="n">
        <x:f>IF($J454&lt;&gt;"",REGEXREPLACE(TO_TEXT('_Supporto Listone'!F454),"(.)","$1"&amp;UNICHAR(822)),'_Supporto Listone'!F454)</x:f>
        <x:v>11</x:v>
      </x:c>
      <x:c r="G454" s="466" t="n">
        <x:f>IF($J454&lt;&gt;"",REGEXREPLACE(TO_TEXT('_Supporto Listone'!G454),"(.)","$1"&amp;UNICHAR(822)),'_Supporto Listone'!G454)</x:f>
        <x:v>50</x:v>
      </x:c>
      <x:c r="H454" s="466" t="n">
        <x:f>IF($J454&lt;&gt;"",REGEXREPLACE(TO_TEXT('_Supporto Listone'!H454),"(.)","$1"&amp;UNICHAR(822)),'_Supporto Listone'!H454)</x:f>
        <x:v>25</x:v>
      </x:c>
      <x:c r="I454" s="450"/>
      <x:c r="J454" s="449" t="str">
        <x:f>IF(COUNTIF(Asta!$B$4:$B$47,'_Supporto Listone'!B454)&gt;0,"Simone",IF(COUNTIF(Asta!$D$4:$D$47,'_Supporto Listone'!B454)&gt;0,"Giacomo",IF(COUNTIF(Asta!$F$4:$F$47,'_Supporto Listone'!B454)&gt;0,"Niko",IF(COUNTIF(Asta!$H$4:$H$47,'_Supporto Listone'!B454)&gt;0,"Quici",IF(COUNTIF(Asta!$J$4:$J$47,'_Supporto Listone'!B454)&gt;0,"Fratello Quici",IF(COUNTIF(Asta!$L$4:$L$47,'_Supporto Listone'!B454)&gt;0,"Nicolò",IF(COUNTIF(Asta!$N$4:$N$47,'_Supporto Listone'!B454)&gt;0,"Vi",IF(COUNTIF(Asta!$P$4:$P$47,'_Supporto Listone'!B454)&gt;0,"Lore",IF(COUNTIF(Asta!$R$4:$R$47,'_Supporto Listone'!B454)&gt;0,"Robbo",IF(COUNTIF(Asta!$T$4:$T$47,'_Supporto Listone'!B454)&gt;0,"Ale",""))))))))))</x:f>
      </x:c>
      <x:c r="K454" s="497" t="str">
        <x:f>IF(COUNTIF(Asta!$B$4:$B$47,'_Supporto Listone'!B454)&gt;0,INDEX(Asta!$C$4:$C$47,MATCH('_Supporto Listone'!B454,Asta!$B$4:$B$47,0)),IF(COUNTIF(Asta!$D$4:$D$47,'_Supporto Listone'!B454)&gt;0,INDEX(Asta!$E$4:$E$47,MATCH('_Supporto Listone'!B454,Asta!$D$4:$D$47,0)),IF(COUNTIF(Asta!$F$4:$F$47,'_Supporto Listone'!B454)&gt;0,INDEX(Asta!$G$4:$G$47,MATCH('_Supporto Listone'!B454,Asta!$F$4:$F$47,0)),IF(COUNTIF(Asta!$H$4:$H$47,'_Supporto Listone'!B454)&gt;0,INDEX(Asta!$I$4:$I$47,MATCH('_Supporto Listone'!B454,Asta!$H$4:$H$47,0)),IF(COUNTIF(Asta!$J$4:$J$47,'_Supporto Listone'!B454)&gt;0,INDEX(Asta!$K$4:$K$47,MATCH('_Supporto Listone'!B454,Asta!$J$4:$J$47,0)),IF(COUNTIF(Asta!$L$4:$L$47,'_Supporto Listone'!B454)&gt;0,INDEX(Asta!$M$4:$M$47,MATCH('_Supporto Listone'!B454,Asta!$L$4:$L$47,0)),IF(COUNTIF(Asta!$N$4:$N$47,'_Supporto Listone'!B454)&gt;0,INDEX(Asta!$O$4:$O$47,MATCH('_Supporto Listone'!B454,Asta!$N$4:$N$47,0)),IF(COUNTIF(Asta!$P$4:$P$47,'_Supporto Listone'!B454)&gt;0,INDEX(Asta!$Q$4:$Q$47,MATCH('_Supporto Listone'!B454,Asta!$P$4:$P$47,0)),IF(COUNTIF(Asta!$R$4:$R$47,'_Supporto Listone'!B454)&gt;0,INDEX(Asta!$S$4:$S$47,MATCH('_Supporto Listone'!B454,Asta!$R$4:$R$47,0)),IF(COUNTIF(Asta!$T$4:$T$47,'_Supporto Listone'!B454)&gt;0,INDEX(Asta!$U$4:$U$47,MATCH('_Supporto Listone'!B454,Asta!$T$4:$T$47,0)),""))))))))))</x:f>
      </x:c>
    </x:row>
    <x:row r="455">
      <x:c r="A455" s="448" t="str">
        <x:f>IF($J455&lt;&gt;"",REGEXREPLACE(TO_TEXT('_Supporto Listone'!A455),"(.)","$1"&amp;UNICHAR(822)),'_Supporto Listone'!A455)</x:f>
        <x:v>A</x:v>
      </x:c>
      <x:c r="B455" s="449" t="str">
        <x:f>IF($J455&lt;&gt;"",REGEXREPLACE(TO_TEXT('_Supporto Listone'!B455),"(.)","$1"&amp;UNICHAR(822)),'_Supporto Listone'!B455)</x:f>
        <x:v>Colombo</x:v>
      </x:c>
      <x:c r="C455" s="449" t="str">
        <x:f>IF($J455&lt;&gt;"",REGEXREPLACE(TO_TEXT('_Supporto Listone'!C455),"(.)","$1"&amp;UNICHAR(822)),'_Supporto Listone'!C455)</x:f>
        <x:v>Genoa</x:v>
      </x:c>
      <x:c r="D455" s="449" t="str">
        <x:f>IF($J455&lt;&gt;"",REGEXREPLACE(TO_TEXT('_Supporto Listone'!D455),"(.)","$1"&amp;UNICHAR(822)),'_Supporto Listone'!D455)</x:f>
        <x:v>Pc</x:v>
      </x:c>
      <x:c r="E455" s="449" t="str">
        <x:f>IF($J455&lt;&gt;"",REGEXREPLACE(TO_TEXT('_Supporto Listone'!E455),"(.)","$1"&amp;UNICHAR(822)),'_Supporto Listone'!E455)</x:f>
        <x:v>Titolare / ballottaggio</x:v>
      </x:c>
      <x:c r="F455" s="466" t="n">
        <x:f>IF($J455&lt;&gt;"",REGEXREPLACE(TO_TEXT('_Supporto Listone'!F455),"(.)","$1"&amp;UNICHAR(822)),'_Supporto Listone'!F455)</x:f>
        <x:v>11</x:v>
      </x:c>
      <x:c r="G455" s="466" t="n">
        <x:f>IF($J455&lt;&gt;"",REGEXREPLACE(TO_TEXT('_Supporto Listone'!G455),"(.)","$1"&amp;UNICHAR(822)),'_Supporto Listone'!G455)</x:f>
        <x:v>63</x:v>
      </x:c>
      <x:c r="H455" s="466" t="n">
        <x:f>IF($J455&lt;&gt;"",REGEXREPLACE(TO_TEXT('_Supporto Listone'!H455),"(.)","$1"&amp;UNICHAR(822)),'_Supporto Listone'!H455)</x:f>
        <x:v>32</x:v>
      </x:c>
      <x:c r="I455" s="450" t="str">
        <x:f>IF($J455&lt;&gt;"",REGEXREPLACE(TO_TEXT('_Supporto Listone'!I455),"(.)","$1"&amp;UNICHAR(822)),'_Supporto Listone'!I455)</x:f>
        <x:v>Rigorista</x:v>
      </x:c>
      <x:c r="J455" s="449" t="str">
        <x:f>IF(COUNTIF(Asta!$B$4:$B$47,'_Supporto Listone'!B455)&gt;0,"Simone",IF(COUNTIF(Asta!$D$4:$D$47,'_Supporto Listone'!B455)&gt;0,"Giacomo",IF(COUNTIF(Asta!$F$4:$F$47,'_Supporto Listone'!B455)&gt;0,"Niko",IF(COUNTIF(Asta!$H$4:$H$47,'_Supporto Listone'!B455)&gt;0,"Quici",IF(COUNTIF(Asta!$J$4:$J$47,'_Supporto Listone'!B455)&gt;0,"Fratello Quici",IF(COUNTIF(Asta!$L$4:$L$47,'_Supporto Listone'!B455)&gt;0,"Nicolò",IF(COUNTIF(Asta!$N$4:$N$47,'_Supporto Listone'!B455)&gt;0,"Vi",IF(COUNTIF(Asta!$P$4:$P$47,'_Supporto Listone'!B455)&gt;0,"Lore",IF(COUNTIF(Asta!$R$4:$R$47,'_Supporto Listone'!B455)&gt;0,"Robbo",IF(COUNTIF(Asta!$T$4:$T$47,'_Supporto Listone'!B455)&gt;0,"Ale",""))))))))))</x:f>
      </x:c>
      <x:c r="K455" s="497" t="str">
        <x:f>IF(COUNTIF(Asta!$B$4:$B$47,'_Supporto Listone'!B455)&gt;0,INDEX(Asta!$C$4:$C$47,MATCH('_Supporto Listone'!B455,Asta!$B$4:$B$47,0)),IF(COUNTIF(Asta!$D$4:$D$47,'_Supporto Listone'!B455)&gt;0,INDEX(Asta!$E$4:$E$47,MATCH('_Supporto Listone'!B455,Asta!$D$4:$D$47,0)),IF(COUNTIF(Asta!$F$4:$F$47,'_Supporto Listone'!B455)&gt;0,INDEX(Asta!$G$4:$G$47,MATCH('_Supporto Listone'!B455,Asta!$F$4:$F$47,0)),IF(COUNTIF(Asta!$H$4:$H$47,'_Supporto Listone'!B455)&gt;0,INDEX(Asta!$I$4:$I$47,MATCH('_Supporto Listone'!B455,Asta!$H$4:$H$47,0)),IF(COUNTIF(Asta!$J$4:$J$47,'_Supporto Listone'!B455)&gt;0,INDEX(Asta!$K$4:$K$47,MATCH('_Supporto Listone'!B455,Asta!$J$4:$J$47,0)),IF(COUNTIF(Asta!$L$4:$L$47,'_Supporto Listone'!B455)&gt;0,INDEX(Asta!$M$4:$M$47,MATCH('_Supporto Listone'!B455,Asta!$L$4:$L$47,0)),IF(COUNTIF(Asta!$N$4:$N$47,'_Supporto Listone'!B455)&gt;0,INDEX(Asta!$O$4:$O$47,MATCH('_Supporto Listone'!B455,Asta!$N$4:$N$47,0)),IF(COUNTIF(Asta!$P$4:$P$47,'_Supporto Listone'!B455)&gt;0,INDEX(Asta!$Q$4:$Q$47,MATCH('_Supporto Listone'!B455,Asta!$P$4:$P$47,0)),IF(COUNTIF(Asta!$R$4:$R$47,'_Supporto Listone'!B455)&gt;0,INDEX(Asta!$S$4:$S$47,MATCH('_Supporto Listone'!B455,Asta!$R$4:$R$47,0)),IF(COUNTIF(Asta!$T$4:$T$47,'_Supporto Listone'!B455)&gt;0,INDEX(Asta!$U$4:$U$47,MATCH('_Supporto Listone'!B455,Asta!$T$4:$T$47,0)),""))))))))))</x:f>
      </x:c>
    </x:row>
    <x:row r="456">
      <x:c r="A456" s="448" t="str">
        <x:f>IF($J456&lt;&gt;"",REGEXREPLACE(TO_TEXT('_Supporto Listone'!A456),"(.)","$1"&amp;UNICHAR(822)),'_Supporto Listone'!A456)</x:f>
        <x:v>A</x:v>
      </x:c>
      <x:c r="B456" s="449" t="str">
        <x:f>IF($J456&lt;&gt;"",REGEXREPLACE(TO_TEXT('_Supporto Listone'!B456),"(.)","$1"&amp;UNICHAR(822)),'_Supporto Listone'!B456)</x:f>
        <x:v>Dia</x:v>
      </x:c>
      <x:c r="C456" s="449" t="str">
        <x:f>IF($J456&lt;&gt;"",REGEXREPLACE(TO_TEXT('_Supporto Listone'!C456),"(.)","$1"&amp;UNICHAR(822)),'_Supporto Listone'!C456)</x:f>
        <x:v>Lazio</x:v>
      </x:c>
      <x:c r="D456" s="449" t="str">
        <x:f>IF($J456&lt;&gt;"",REGEXREPLACE(TO_TEXT('_Supporto Listone'!D456),"(.)","$1"&amp;UNICHAR(822)),'_Supporto Listone'!D456)</x:f>
        <x:v>A</x:v>
      </x:c>
      <x:c r="E456" s="449" t="str">
        <x:f>IF($J456&lt;&gt;"",REGEXREPLACE(TO_TEXT('_Supporto Listone'!E456),"(.)","$1"&amp;UNICHAR(822)),'_Supporto Listone'!E456)</x:f>
        <x:v>Riserva / rotazione</x:v>
      </x:c>
      <x:c r="F456" s="466" t="n">
        <x:f>IF($J456&lt;&gt;"",REGEXREPLACE(TO_TEXT('_Supporto Listone'!F456),"(.)","$1"&amp;UNICHAR(822)),'_Supporto Listone'!F456)</x:f>
        <x:v>10</x:v>
      </x:c>
      <x:c r="G456" s="466" t="n">
        <x:f>IF($J456&lt;&gt;"",REGEXREPLACE(TO_TEXT('_Supporto Listone'!G456),"(.)","$1"&amp;UNICHAR(822)),'_Supporto Listone'!G456)</x:f>
        <x:v>31</x:v>
      </x:c>
      <x:c r="H456" s="466" t="n">
        <x:f>IF($J456&lt;&gt;"",REGEXREPLACE(TO_TEXT('_Supporto Listone'!H456),"(.)","$1"&amp;UNICHAR(822)),'_Supporto Listone'!H456)</x:f>
        <x:v>16</x:v>
      </x:c>
      <x:c r="I456" s="450"/>
      <x:c r="J456" s="449" t="str">
        <x:f>IF(COUNTIF(Asta!$B$4:$B$47,'_Supporto Listone'!B456)&gt;0,"Simone",IF(COUNTIF(Asta!$D$4:$D$47,'_Supporto Listone'!B456)&gt;0,"Giacomo",IF(COUNTIF(Asta!$F$4:$F$47,'_Supporto Listone'!B456)&gt;0,"Niko",IF(COUNTIF(Asta!$H$4:$H$47,'_Supporto Listone'!B456)&gt;0,"Quici",IF(COUNTIF(Asta!$J$4:$J$47,'_Supporto Listone'!B456)&gt;0,"Fratello Quici",IF(COUNTIF(Asta!$L$4:$L$47,'_Supporto Listone'!B456)&gt;0,"Nicolò",IF(COUNTIF(Asta!$N$4:$N$47,'_Supporto Listone'!B456)&gt;0,"Vi",IF(COUNTIF(Asta!$P$4:$P$47,'_Supporto Listone'!B456)&gt;0,"Lore",IF(COUNTIF(Asta!$R$4:$R$47,'_Supporto Listone'!B456)&gt;0,"Robbo",IF(COUNTIF(Asta!$T$4:$T$47,'_Supporto Listone'!B456)&gt;0,"Ale",""))))))))))</x:f>
      </x:c>
      <x:c r="K456" s="497" t="str">
        <x:f>IF(COUNTIF(Asta!$B$4:$B$47,'_Supporto Listone'!B456)&gt;0,INDEX(Asta!$C$4:$C$47,MATCH('_Supporto Listone'!B456,Asta!$B$4:$B$47,0)),IF(COUNTIF(Asta!$D$4:$D$47,'_Supporto Listone'!B456)&gt;0,INDEX(Asta!$E$4:$E$47,MATCH('_Supporto Listone'!B456,Asta!$D$4:$D$47,0)),IF(COUNTIF(Asta!$F$4:$F$47,'_Supporto Listone'!B456)&gt;0,INDEX(Asta!$G$4:$G$47,MATCH('_Supporto Listone'!B456,Asta!$F$4:$F$47,0)),IF(COUNTIF(Asta!$H$4:$H$47,'_Supporto Listone'!B456)&gt;0,INDEX(Asta!$I$4:$I$47,MATCH('_Supporto Listone'!B456,Asta!$H$4:$H$47,0)),IF(COUNTIF(Asta!$J$4:$J$47,'_Supporto Listone'!B456)&gt;0,INDEX(Asta!$K$4:$K$47,MATCH('_Supporto Listone'!B456,Asta!$J$4:$J$47,0)),IF(COUNTIF(Asta!$L$4:$L$47,'_Supporto Listone'!B456)&gt;0,INDEX(Asta!$M$4:$M$47,MATCH('_Supporto Listone'!B456,Asta!$L$4:$L$47,0)),IF(COUNTIF(Asta!$N$4:$N$47,'_Supporto Listone'!B456)&gt;0,INDEX(Asta!$O$4:$O$47,MATCH('_Supporto Listone'!B456,Asta!$N$4:$N$47,0)),IF(COUNTIF(Asta!$P$4:$P$47,'_Supporto Listone'!B456)&gt;0,INDEX(Asta!$Q$4:$Q$47,MATCH('_Supporto Listone'!B456,Asta!$P$4:$P$47,0)),IF(COUNTIF(Asta!$R$4:$R$47,'_Supporto Listone'!B456)&gt;0,INDEX(Asta!$S$4:$S$47,MATCH('_Supporto Listone'!B456,Asta!$R$4:$R$47,0)),IF(COUNTIF(Asta!$T$4:$T$47,'_Supporto Listone'!B456)&gt;0,INDEX(Asta!$U$4:$U$47,MATCH('_Supporto Listone'!B456,Asta!$T$4:$T$47,0)),""))))))))))</x:f>
      </x:c>
    </x:row>
    <x:row r="457">
      <x:c r="A457" s="448" t="str">
        <x:f>IF($J457&lt;&gt;"",REGEXREPLACE(TO_TEXT('_Supporto Listone'!A457),"(.)","$1"&amp;UNICHAR(822)),'_Supporto Listone'!A457)</x:f>
        <x:v>A</x:v>
      </x:c>
      <x:c r="B457" s="449" t="str">
        <x:f>IF($J457&lt;&gt;"",REGEXREPLACE(TO_TEXT('_Supporto Listone'!B457),"(.)","$1"&amp;UNICHAR(822)),'_Supporto Listone'!B457)</x:f>
        <x:v>Ratkov</x:v>
      </x:c>
      <x:c r="C457" s="449" t="str">
        <x:f>IF($J457&lt;&gt;"",REGEXREPLACE(TO_TEXT('_Supporto Listone'!C457),"(.)","$1"&amp;UNICHAR(822)),'_Supporto Listone'!C457)</x:f>
        <x:v>Lazio</x:v>
      </x:c>
      <x:c r="D457" s="449" t="str">
        <x:f>IF($J457&lt;&gt;"",REGEXREPLACE(TO_TEXT('_Supporto Listone'!D457),"(.)","$1"&amp;UNICHAR(822)),'_Supporto Listone'!D457)</x:f>
        <x:v>Pc</x:v>
      </x:c>
      <x:c r="E457" s="449" t="str">
        <x:f>IF($J457&lt;&gt;"",REGEXREPLACE(TO_TEXT('_Supporto Listone'!E457),"(.)","$1"&amp;UNICHAR(822)),'_Supporto Listone'!E457)</x:f>
        <x:v>Riserva / rotazione</x:v>
      </x:c>
      <x:c r="F457" s="466" t="n">
        <x:f>IF($J457&lt;&gt;"",REGEXREPLACE(TO_TEXT('_Supporto Listone'!F457),"(.)","$1"&amp;UNICHAR(822)),'_Supporto Listone'!F457)</x:f>
        <x:v>10</x:v>
      </x:c>
      <x:c r="G457" s="466" t="n">
        <x:f>IF($J457&lt;&gt;"",REGEXREPLACE(TO_TEXT('_Supporto Listone'!G457),"(.)","$1"&amp;UNICHAR(822)),'_Supporto Listone'!G457)</x:f>
        <x:v>32</x:v>
      </x:c>
      <x:c r="H457" s="466" t="n">
        <x:f>IF($J457&lt;&gt;"",REGEXREPLACE(TO_TEXT('_Supporto Listone'!H457),"(.)","$1"&amp;UNICHAR(822)),'_Supporto Listone'!H457)</x:f>
        <x:v>16</x:v>
      </x:c>
      <x:c r="I457" s="450"/>
      <x:c r="J457" s="449" t="str">
        <x:f>IF(COUNTIF(Asta!$B$4:$B$47,'_Supporto Listone'!B457)&gt;0,"Simone",IF(COUNTIF(Asta!$D$4:$D$47,'_Supporto Listone'!B457)&gt;0,"Giacomo",IF(COUNTIF(Asta!$F$4:$F$47,'_Supporto Listone'!B457)&gt;0,"Niko",IF(COUNTIF(Asta!$H$4:$H$47,'_Supporto Listone'!B457)&gt;0,"Quici",IF(COUNTIF(Asta!$J$4:$J$47,'_Supporto Listone'!B457)&gt;0,"Fratello Quici",IF(COUNTIF(Asta!$L$4:$L$47,'_Supporto Listone'!B457)&gt;0,"Nicolò",IF(COUNTIF(Asta!$N$4:$N$47,'_Supporto Listone'!B457)&gt;0,"Vi",IF(COUNTIF(Asta!$P$4:$P$47,'_Supporto Listone'!B457)&gt;0,"Lore",IF(COUNTIF(Asta!$R$4:$R$47,'_Supporto Listone'!B457)&gt;0,"Robbo",IF(COUNTIF(Asta!$T$4:$T$47,'_Supporto Listone'!B457)&gt;0,"Ale",""))))))))))</x:f>
      </x:c>
      <x:c r="K457" s="497" t="str">
        <x:f>IF(COUNTIF(Asta!$B$4:$B$47,'_Supporto Listone'!B457)&gt;0,INDEX(Asta!$C$4:$C$47,MATCH('_Supporto Listone'!B457,Asta!$B$4:$B$47,0)),IF(COUNTIF(Asta!$D$4:$D$47,'_Supporto Listone'!B457)&gt;0,INDEX(Asta!$E$4:$E$47,MATCH('_Supporto Listone'!B457,Asta!$D$4:$D$47,0)),IF(COUNTIF(Asta!$F$4:$F$47,'_Supporto Listone'!B457)&gt;0,INDEX(Asta!$G$4:$G$47,MATCH('_Supporto Listone'!B457,Asta!$F$4:$F$47,0)),IF(COUNTIF(Asta!$H$4:$H$47,'_Supporto Listone'!B457)&gt;0,INDEX(Asta!$I$4:$I$47,MATCH('_Supporto Listone'!B457,Asta!$H$4:$H$47,0)),IF(COUNTIF(Asta!$J$4:$J$47,'_Supporto Listone'!B457)&gt;0,INDEX(Asta!$K$4:$K$47,MATCH('_Supporto Listone'!B457,Asta!$J$4:$J$47,0)),IF(COUNTIF(Asta!$L$4:$L$47,'_Supporto Listone'!B457)&gt;0,INDEX(Asta!$M$4:$M$47,MATCH('_Supporto Listone'!B457,Asta!$L$4:$L$47,0)),IF(COUNTIF(Asta!$N$4:$N$47,'_Supporto Listone'!B457)&gt;0,INDEX(Asta!$O$4:$O$47,MATCH('_Supporto Listone'!B457,Asta!$N$4:$N$47,0)),IF(COUNTIF(Asta!$P$4:$P$47,'_Supporto Listone'!B457)&gt;0,INDEX(Asta!$Q$4:$Q$47,MATCH('_Supporto Listone'!B457,Asta!$P$4:$P$47,0)),IF(COUNTIF(Asta!$R$4:$R$47,'_Supporto Listone'!B457)&gt;0,INDEX(Asta!$S$4:$S$47,MATCH('_Supporto Listone'!B457,Asta!$R$4:$R$47,0)),IF(COUNTIF(Asta!$T$4:$T$47,'_Supporto Listone'!B457)&gt;0,INDEX(Asta!$U$4:$U$47,MATCH('_Supporto Listone'!B457,Asta!$T$4:$T$47,0)),""))))))))))</x:f>
      </x:c>
    </x:row>
    <x:row r="458">
      <x:c r="A458" s="448" t="str">
        <x:f>IF($J458&lt;&gt;"",REGEXREPLACE(TO_TEXT('_Supporto Listone'!A458),"(.)","$1"&amp;UNICHAR(822)),'_Supporto Listone'!A458)</x:f>
        <x:v>A</x:v>
      </x:c>
      <x:c r="B458" s="449" t="str">
        <x:f>IF($J458&lt;&gt;"",REGEXREPLACE(TO_TEXT('_Supporto Listone'!B458),"(.)","$1"&amp;UNICHAR(822)),'_Supporto Listone'!B458)</x:f>
        <x:v>Lukaku</x:v>
      </x:c>
      <x:c r="C458" s="449" t="str">
        <x:f>IF($J458&lt;&gt;"",REGEXREPLACE(TO_TEXT('_Supporto Listone'!C458),"(.)","$1"&amp;UNICHAR(822)),'_Supporto Listone'!C458)</x:f>
        <x:v>Napoli</x:v>
      </x:c>
      <x:c r="D458" s="449" t="str">
        <x:f>IF($J458&lt;&gt;"",REGEXREPLACE(TO_TEXT('_Supporto Listone'!D458),"(.)","$1"&amp;UNICHAR(822)),'_Supporto Listone'!D458)</x:f>
        <x:v>Pc</x:v>
      </x:c>
      <x:c r="E458" s="449" t="str">
        <x:f>IF($J458&lt;&gt;"",REGEXREPLACE(TO_TEXT('_Supporto Listone'!E458),"(.)","$1"&amp;UNICHAR(822)),'_Supporto Listone'!E458)</x:f>
        <x:v>Riserva / rotazione</x:v>
      </x:c>
      <x:c r="F458" s="466" t="n">
        <x:f>IF($J458&lt;&gt;"",REGEXREPLACE(TO_TEXT('_Supporto Listone'!F458),"(.)","$1"&amp;UNICHAR(822)),'_Supporto Listone'!F458)</x:f>
        <x:v>10</x:v>
      </x:c>
      <x:c r="G458" s="466" t="n">
        <x:f>IF($J458&lt;&gt;"",REGEXREPLACE(TO_TEXT('_Supporto Listone'!G458),"(.)","$1"&amp;UNICHAR(822)),'_Supporto Listone'!G458)</x:f>
        <x:v>45</x:v>
      </x:c>
      <x:c r="H458" s="466" t="n">
        <x:f>IF($J458&lt;&gt;"",REGEXREPLACE(TO_TEXT('_Supporto Listone'!H458),"(.)","$1"&amp;UNICHAR(822)),'_Supporto Listone'!H458)</x:f>
        <x:v>23</x:v>
      </x:c>
      <x:c r="I458" s="450"/>
      <x:c r="J458" s="449" t="str">
        <x:f>IF(COUNTIF(Asta!$B$4:$B$47,'_Supporto Listone'!B458)&gt;0,"Simone",IF(COUNTIF(Asta!$D$4:$D$47,'_Supporto Listone'!B458)&gt;0,"Giacomo",IF(COUNTIF(Asta!$F$4:$F$47,'_Supporto Listone'!B458)&gt;0,"Niko",IF(COUNTIF(Asta!$H$4:$H$47,'_Supporto Listone'!B458)&gt;0,"Quici",IF(COUNTIF(Asta!$J$4:$J$47,'_Supporto Listone'!B458)&gt;0,"Fratello Quici",IF(COUNTIF(Asta!$L$4:$L$47,'_Supporto Listone'!B458)&gt;0,"Nicolò",IF(COUNTIF(Asta!$N$4:$N$47,'_Supporto Listone'!B458)&gt;0,"Vi",IF(COUNTIF(Asta!$P$4:$P$47,'_Supporto Listone'!B458)&gt;0,"Lore",IF(COUNTIF(Asta!$R$4:$R$47,'_Supporto Listone'!B458)&gt;0,"Robbo",IF(COUNTIF(Asta!$T$4:$T$47,'_Supporto Listone'!B458)&gt;0,"Ale",""))))))))))</x:f>
      </x:c>
      <x:c r="K458" s="497" t="str">
        <x:f>IF(COUNTIF(Asta!$B$4:$B$47,'_Supporto Listone'!B458)&gt;0,INDEX(Asta!$C$4:$C$47,MATCH('_Supporto Listone'!B458,Asta!$B$4:$B$47,0)),IF(COUNTIF(Asta!$D$4:$D$47,'_Supporto Listone'!B458)&gt;0,INDEX(Asta!$E$4:$E$47,MATCH('_Supporto Listone'!B458,Asta!$D$4:$D$47,0)),IF(COUNTIF(Asta!$F$4:$F$47,'_Supporto Listone'!B458)&gt;0,INDEX(Asta!$G$4:$G$47,MATCH('_Supporto Listone'!B458,Asta!$F$4:$F$47,0)),IF(COUNTIF(Asta!$H$4:$H$47,'_Supporto Listone'!B458)&gt;0,INDEX(Asta!$I$4:$I$47,MATCH('_Supporto Listone'!B458,Asta!$H$4:$H$47,0)),IF(COUNTIF(Asta!$J$4:$J$47,'_Supporto Listone'!B458)&gt;0,INDEX(Asta!$K$4:$K$47,MATCH('_Supporto Listone'!B458,Asta!$J$4:$J$47,0)),IF(COUNTIF(Asta!$L$4:$L$47,'_Supporto Listone'!B458)&gt;0,INDEX(Asta!$M$4:$M$47,MATCH('_Supporto Listone'!B458,Asta!$L$4:$L$47,0)),IF(COUNTIF(Asta!$N$4:$N$47,'_Supporto Listone'!B458)&gt;0,INDEX(Asta!$O$4:$O$47,MATCH('_Supporto Listone'!B458,Asta!$N$4:$N$47,0)),IF(COUNTIF(Asta!$P$4:$P$47,'_Supporto Listone'!B458)&gt;0,INDEX(Asta!$Q$4:$Q$47,MATCH('_Supporto Listone'!B458,Asta!$P$4:$P$47,0)),IF(COUNTIF(Asta!$R$4:$R$47,'_Supporto Listone'!B458)&gt;0,INDEX(Asta!$S$4:$S$47,MATCH('_Supporto Listone'!B458,Asta!$R$4:$R$47,0)),IF(COUNTIF(Asta!$T$4:$T$47,'_Supporto Listone'!B458)&gt;0,INDEX(Asta!$U$4:$U$47,MATCH('_Supporto Listone'!B458,Asta!$T$4:$T$47,0)),""))))))))))</x:f>
      </x:c>
    </x:row>
    <x:row r="459">
      <x:c r="A459" s="448" t="str">
        <x:f>IF($J459&lt;&gt;"",REGEXREPLACE(TO_TEXT('_Supporto Listone'!A459),"(.)","$1"&amp;UNICHAR(822)),'_Supporto Listone'!A459)</x:f>
        <x:v>A</x:v>
      </x:c>
      <x:c r="B459" s="449" t="str">
        <x:f>IF($J459&lt;&gt;"",REGEXREPLACE(TO_TEXT('_Supporto Listone'!B459),"(.)","$1"&amp;UNICHAR(822)),'_Supporto Listone'!B459)</x:f>
        <x:v>Bowie</x:v>
      </x:c>
      <x:c r="C459" s="449" t="str">
        <x:f>IF($J459&lt;&gt;"",REGEXREPLACE(TO_TEXT('_Supporto Listone'!C459),"(.)","$1"&amp;UNICHAR(822)),'_Supporto Listone'!C459)</x:f>
        <x:v>Sassuolo</x:v>
      </x:c>
      <x:c r="D459" s="449" t="str">
        <x:f>IF($J459&lt;&gt;"",REGEXREPLACE(TO_TEXT('_Supporto Listone'!D459),"(.)","$1"&amp;UNICHAR(822)),'_Supporto Listone'!D459)</x:f>
        <x:v>Pc</x:v>
      </x:c>
      <x:c r="E459" s="449" t="str">
        <x:f>IF($J459&lt;&gt;"",REGEXREPLACE(TO_TEXT('_Supporto Listone'!E459),"(.)","$1"&amp;UNICHAR(822)),'_Supporto Listone'!E459)</x:f>
        <x:v>Ballottaggio</x:v>
      </x:c>
      <x:c r="F459" s="466" t="n">
        <x:f>IF($J459&lt;&gt;"",REGEXREPLACE(TO_TEXT('_Supporto Listone'!F459),"(.)","$1"&amp;UNICHAR(822)),'_Supporto Listone'!F459)</x:f>
        <x:v>10</x:v>
      </x:c>
      <x:c r="G459" s="466" t="n">
        <x:f>IF($J459&lt;&gt;"",REGEXREPLACE(TO_TEXT('_Supporto Listone'!G459),"(.)","$1"&amp;UNICHAR(822)),'_Supporto Listone'!G459)</x:f>
        <x:v>39</x:v>
      </x:c>
      <x:c r="H459" s="466" t="n">
        <x:f>IF($J459&lt;&gt;"",REGEXREPLACE(TO_TEXT('_Supporto Listone'!H459),"(.)","$1"&amp;UNICHAR(822)),'_Supporto Listone'!H459)</x:f>
        <x:v>20</x:v>
      </x:c>
      <x:c r="I459" s="450"/>
      <x:c r="J459" s="449" t="str">
        <x:f>IF(COUNTIF(Asta!$B$4:$B$47,'_Supporto Listone'!B459)&gt;0,"Simone",IF(COUNTIF(Asta!$D$4:$D$47,'_Supporto Listone'!B459)&gt;0,"Giacomo",IF(COUNTIF(Asta!$F$4:$F$47,'_Supporto Listone'!B459)&gt;0,"Niko",IF(COUNTIF(Asta!$H$4:$H$47,'_Supporto Listone'!B459)&gt;0,"Quici",IF(COUNTIF(Asta!$J$4:$J$47,'_Supporto Listone'!B459)&gt;0,"Fratello Quici",IF(COUNTIF(Asta!$L$4:$L$47,'_Supporto Listone'!B459)&gt;0,"Nicolò",IF(COUNTIF(Asta!$N$4:$N$47,'_Supporto Listone'!B459)&gt;0,"Vi",IF(COUNTIF(Asta!$P$4:$P$47,'_Supporto Listone'!B459)&gt;0,"Lore",IF(COUNTIF(Asta!$R$4:$R$47,'_Supporto Listone'!B459)&gt;0,"Robbo",IF(COUNTIF(Asta!$T$4:$T$47,'_Supporto Listone'!B459)&gt;0,"Ale",""))))))))))</x:f>
      </x:c>
      <x:c r="K459" s="497" t="str">
        <x:f>IF(COUNTIF(Asta!$B$4:$B$47,'_Supporto Listone'!B459)&gt;0,INDEX(Asta!$C$4:$C$47,MATCH('_Supporto Listone'!B459,Asta!$B$4:$B$47,0)),IF(COUNTIF(Asta!$D$4:$D$47,'_Supporto Listone'!B459)&gt;0,INDEX(Asta!$E$4:$E$47,MATCH('_Supporto Listone'!B459,Asta!$D$4:$D$47,0)),IF(COUNTIF(Asta!$F$4:$F$47,'_Supporto Listone'!B459)&gt;0,INDEX(Asta!$G$4:$G$47,MATCH('_Supporto Listone'!B459,Asta!$F$4:$F$47,0)),IF(COUNTIF(Asta!$H$4:$H$47,'_Supporto Listone'!B459)&gt;0,INDEX(Asta!$I$4:$I$47,MATCH('_Supporto Listone'!B459,Asta!$H$4:$H$47,0)),IF(COUNTIF(Asta!$J$4:$J$47,'_Supporto Listone'!B459)&gt;0,INDEX(Asta!$K$4:$K$47,MATCH('_Supporto Listone'!B459,Asta!$J$4:$J$47,0)),IF(COUNTIF(Asta!$L$4:$L$47,'_Supporto Listone'!B459)&gt;0,INDEX(Asta!$M$4:$M$47,MATCH('_Supporto Listone'!B459,Asta!$L$4:$L$47,0)),IF(COUNTIF(Asta!$N$4:$N$47,'_Supporto Listone'!B459)&gt;0,INDEX(Asta!$O$4:$O$47,MATCH('_Supporto Listone'!B459,Asta!$N$4:$N$47,0)),IF(COUNTIF(Asta!$P$4:$P$47,'_Supporto Listone'!B459)&gt;0,INDEX(Asta!$Q$4:$Q$47,MATCH('_Supporto Listone'!B459,Asta!$P$4:$P$47,0)),IF(COUNTIF(Asta!$R$4:$R$47,'_Supporto Listone'!B459)&gt;0,INDEX(Asta!$S$4:$S$47,MATCH('_Supporto Listone'!B459,Asta!$R$4:$R$47,0)),IF(COUNTIF(Asta!$T$4:$T$47,'_Supporto Listone'!B459)&gt;0,INDEX(Asta!$U$4:$U$47,MATCH('_Supporto Listone'!B459,Asta!$T$4:$T$47,0)),""))))))))))</x:f>
      </x:c>
    </x:row>
    <x:row r="460">
      <x:c r="A460" s="448" t="str">
        <x:f>IF($J460&lt;&gt;"",REGEXREPLACE(TO_TEXT('_Supporto Listone'!A460),"(.)","$1"&amp;UNICHAR(822)),'_Supporto Listone'!A460)</x:f>
        <x:v>A</x:v>
      </x:c>
      <x:c r="B460" s="449" t="str">
        <x:f>IF($J460&lt;&gt;"",REGEXREPLACE(TO_TEXT('_Supporto Listone'!B460),"(.)","$1"&amp;UNICHAR(822)),'_Supporto Listone'!B460)</x:f>
        <x:v>Ghedjemis</x:v>
      </x:c>
      <x:c r="C460" s="449" t="str">
        <x:f>IF($J460&lt;&gt;"",REGEXREPLACE(TO_TEXT('_Supporto Listone'!C460),"(.)","$1"&amp;UNICHAR(822)),'_Supporto Listone'!C460)</x:f>
        <x:v>Frosinone</x:v>
      </x:c>
      <x:c r="D460" s="449" t="str">
        <x:f>IF($J460&lt;&gt;"",REGEXREPLACE(TO_TEXT('_Supporto Listone'!D460),"(.)","$1"&amp;UNICHAR(822)),'_Supporto Listone'!D460)</x:f>
        <x:v>W;A</x:v>
      </x:c>
      <x:c r="E460" s="449" t="str">
        <x:f>IF($J460&lt;&gt;"",REGEXREPLACE(TO_TEXT('_Supporto Listone'!E460),"(.)","$1"&amp;UNICHAR(822)),'_Supporto Listone'!E460)</x:f>
        <x:v>Titolare / ballottaggio</x:v>
      </x:c>
      <x:c r="F460" s="466" t="n">
        <x:f>IF($J460&lt;&gt;"",REGEXREPLACE(TO_TEXT('_Supporto Listone'!F460),"(.)","$1"&amp;UNICHAR(822)),'_Supporto Listone'!F460)</x:f>
        <x:v>9</x:v>
      </x:c>
      <x:c r="G460" s="466" t="n">
        <x:f>IF($J460&lt;&gt;"",REGEXREPLACE(TO_TEXT('_Supporto Listone'!G460),"(.)","$1"&amp;UNICHAR(822)),'_Supporto Listone'!G460)</x:f>
        <x:v>30</x:v>
      </x:c>
      <x:c r="H460" s="466" t="n">
        <x:f>IF($J460&lt;&gt;"",REGEXREPLACE(TO_TEXT('_Supporto Listone'!H460),"(.)","$1"&amp;UNICHAR(822)),'_Supporto Listone'!H460)</x:f>
        <x:v>15</x:v>
      </x:c>
      <x:c r="I460" s="450" t="str">
        <x:f>IF($J460&lt;&gt;"",REGEXREPLACE(TO_TEXT('_Supporto Listone'!I460),"(.)","$1"&amp;UNICHAR(822)),'_Supporto Listone'!I460)</x:f>
        <x:v>Piazzati</x:v>
      </x:c>
      <x:c r="J460" s="449" t="str">
        <x:f>IF(COUNTIF(Asta!$B$4:$B$47,'_Supporto Listone'!B460)&gt;0,"Simone",IF(COUNTIF(Asta!$D$4:$D$47,'_Supporto Listone'!B460)&gt;0,"Giacomo",IF(COUNTIF(Asta!$F$4:$F$47,'_Supporto Listone'!B460)&gt;0,"Niko",IF(COUNTIF(Asta!$H$4:$H$47,'_Supporto Listone'!B460)&gt;0,"Quici",IF(COUNTIF(Asta!$J$4:$J$47,'_Supporto Listone'!B460)&gt;0,"Fratello Quici",IF(COUNTIF(Asta!$L$4:$L$47,'_Supporto Listone'!B460)&gt;0,"Nicolò",IF(COUNTIF(Asta!$N$4:$N$47,'_Supporto Listone'!B460)&gt;0,"Vi",IF(COUNTIF(Asta!$P$4:$P$47,'_Supporto Listone'!B460)&gt;0,"Lore",IF(COUNTIF(Asta!$R$4:$R$47,'_Supporto Listone'!B460)&gt;0,"Robbo",IF(COUNTIF(Asta!$T$4:$T$47,'_Supporto Listone'!B460)&gt;0,"Ale",""))))))))))</x:f>
      </x:c>
      <x:c r="K460" s="497" t="str">
        <x:f>IF(COUNTIF(Asta!$B$4:$B$47,'_Supporto Listone'!B460)&gt;0,INDEX(Asta!$C$4:$C$47,MATCH('_Supporto Listone'!B460,Asta!$B$4:$B$47,0)),IF(COUNTIF(Asta!$D$4:$D$47,'_Supporto Listone'!B460)&gt;0,INDEX(Asta!$E$4:$E$47,MATCH('_Supporto Listone'!B460,Asta!$D$4:$D$47,0)),IF(COUNTIF(Asta!$F$4:$F$47,'_Supporto Listone'!B460)&gt;0,INDEX(Asta!$G$4:$G$47,MATCH('_Supporto Listone'!B460,Asta!$F$4:$F$47,0)),IF(COUNTIF(Asta!$H$4:$H$47,'_Supporto Listone'!B460)&gt;0,INDEX(Asta!$I$4:$I$47,MATCH('_Supporto Listone'!B460,Asta!$H$4:$H$47,0)),IF(COUNTIF(Asta!$J$4:$J$47,'_Supporto Listone'!B460)&gt;0,INDEX(Asta!$K$4:$K$47,MATCH('_Supporto Listone'!B460,Asta!$J$4:$J$47,0)),IF(COUNTIF(Asta!$L$4:$L$47,'_Supporto Listone'!B460)&gt;0,INDEX(Asta!$M$4:$M$47,MATCH('_Supporto Listone'!B460,Asta!$L$4:$L$47,0)),IF(COUNTIF(Asta!$N$4:$N$47,'_Supporto Listone'!B460)&gt;0,INDEX(Asta!$O$4:$O$47,MATCH('_Supporto Listone'!B460,Asta!$N$4:$N$47,0)),IF(COUNTIF(Asta!$P$4:$P$47,'_Supporto Listone'!B460)&gt;0,INDEX(Asta!$Q$4:$Q$47,MATCH('_Supporto Listone'!B460,Asta!$P$4:$P$47,0)),IF(COUNTIF(Asta!$R$4:$R$47,'_Supporto Listone'!B460)&gt;0,INDEX(Asta!$S$4:$S$47,MATCH('_Supporto Listone'!B460,Asta!$R$4:$R$47,0)),IF(COUNTIF(Asta!$T$4:$T$47,'_Supporto Listone'!B460)&gt;0,INDEX(Asta!$U$4:$U$47,MATCH('_Supporto Listone'!B460,Asta!$T$4:$T$47,0)),""))))))))))</x:f>
      </x:c>
    </x:row>
    <x:row r="461">
      <x:c r="A461" s="448" t="str">
        <x:f>IF($J461&lt;&gt;"",REGEXREPLACE(TO_TEXT('_Supporto Listone'!A461),"(.)","$1"&amp;UNICHAR(822)),'_Supporto Listone'!A461)</x:f>
        <x:v>A</x:v>
      </x:c>
      <x:c r="B461" s="449" t="str">
        <x:f>IF($J461&lt;&gt;"",REGEXREPLACE(TO_TEXT('_Supporto Listone'!B461),"(.)","$1"&amp;UNICHAR(822)),'_Supporto Listone'!B461)</x:f>
        <x:v>David</x:v>
      </x:c>
      <x:c r="C461" s="449" t="str">
        <x:f>IF($J461&lt;&gt;"",REGEXREPLACE(TO_TEXT('_Supporto Listone'!C461),"(.)","$1"&amp;UNICHAR(822)),'_Supporto Listone'!C461)</x:f>
        <x:v>Juventus</x:v>
      </x:c>
      <x:c r="D461" s="449" t="str">
        <x:f>IF($J461&lt;&gt;"",REGEXREPLACE(TO_TEXT('_Supporto Listone'!D461),"(.)","$1"&amp;UNICHAR(822)),'_Supporto Listone'!D461)</x:f>
        <x:v>Pc</x:v>
      </x:c>
      <x:c r="E461" s="449" t="str">
        <x:f>IF($J461&lt;&gt;"",REGEXREPLACE(TO_TEXT('_Supporto Listone'!E461),"(.)","$1"&amp;UNICHAR(822)),'_Supporto Listone'!E461)</x:f>
        <x:v>Riserva / rotazione</x:v>
      </x:c>
      <x:c r="F461" s="466" t="n">
        <x:f>IF($J461&lt;&gt;"",REGEXREPLACE(TO_TEXT('_Supporto Listone'!F461),"(.)","$1"&amp;UNICHAR(822)),'_Supporto Listone'!F461)</x:f>
        <x:v>9</x:v>
      </x:c>
      <x:c r="G461" s="466" t="n">
        <x:f>IF($J461&lt;&gt;"",REGEXREPLACE(TO_TEXT('_Supporto Listone'!G461),"(.)","$1"&amp;UNICHAR(822)),'_Supporto Listone'!G461)</x:f>
        <x:v>40</x:v>
      </x:c>
      <x:c r="H461" s="466" t="n">
        <x:f>IF($J461&lt;&gt;"",REGEXREPLACE(TO_TEXT('_Supporto Listone'!H461),"(.)","$1"&amp;UNICHAR(822)),'_Supporto Listone'!H461)</x:f>
        <x:v>20</x:v>
      </x:c>
      <x:c r="I461" s="450"/>
      <x:c r="J461" s="449" t="str">
        <x:f>IF(COUNTIF(Asta!$B$4:$B$47,'_Supporto Listone'!B461)&gt;0,"Simone",IF(COUNTIF(Asta!$D$4:$D$47,'_Supporto Listone'!B461)&gt;0,"Giacomo",IF(COUNTIF(Asta!$F$4:$F$47,'_Supporto Listone'!B461)&gt;0,"Niko",IF(COUNTIF(Asta!$H$4:$H$47,'_Supporto Listone'!B461)&gt;0,"Quici",IF(COUNTIF(Asta!$J$4:$J$47,'_Supporto Listone'!B461)&gt;0,"Fratello Quici",IF(COUNTIF(Asta!$L$4:$L$47,'_Supporto Listone'!B461)&gt;0,"Nicolò",IF(COUNTIF(Asta!$N$4:$N$47,'_Supporto Listone'!B461)&gt;0,"Vi",IF(COUNTIF(Asta!$P$4:$P$47,'_Supporto Listone'!B461)&gt;0,"Lore",IF(COUNTIF(Asta!$R$4:$R$47,'_Supporto Listone'!B461)&gt;0,"Robbo",IF(COUNTIF(Asta!$T$4:$T$47,'_Supporto Listone'!B461)&gt;0,"Ale",""))))))))))</x:f>
      </x:c>
      <x:c r="K461" s="497" t="str">
        <x:f>IF(COUNTIF(Asta!$B$4:$B$47,'_Supporto Listone'!B461)&gt;0,INDEX(Asta!$C$4:$C$47,MATCH('_Supporto Listone'!B461,Asta!$B$4:$B$47,0)),IF(COUNTIF(Asta!$D$4:$D$47,'_Supporto Listone'!B461)&gt;0,INDEX(Asta!$E$4:$E$47,MATCH('_Supporto Listone'!B461,Asta!$D$4:$D$47,0)),IF(COUNTIF(Asta!$F$4:$F$47,'_Supporto Listone'!B461)&gt;0,INDEX(Asta!$G$4:$G$47,MATCH('_Supporto Listone'!B461,Asta!$F$4:$F$47,0)),IF(COUNTIF(Asta!$H$4:$H$47,'_Supporto Listone'!B461)&gt;0,INDEX(Asta!$I$4:$I$47,MATCH('_Supporto Listone'!B461,Asta!$H$4:$H$47,0)),IF(COUNTIF(Asta!$J$4:$J$47,'_Supporto Listone'!B461)&gt;0,INDEX(Asta!$K$4:$K$47,MATCH('_Supporto Listone'!B461,Asta!$J$4:$J$47,0)),IF(COUNTIF(Asta!$L$4:$L$47,'_Supporto Listone'!B461)&gt;0,INDEX(Asta!$M$4:$M$47,MATCH('_Supporto Listone'!B461,Asta!$L$4:$L$47,0)),IF(COUNTIF(Asta!$N$4:$N$47,'_Supporto Listone'!B461)&gt;0,INDEX(Asta!$O$4:$O$47,MATCH('_Supporto Listone'!B461,Asta!$N$4:$N$47,0)),IF(COUNTIF(Asta!$P$4:$P$47,'_Supporto Listone'!B461)&gt;0,INDEX(Asta!$Q$4:$Q$47,MATCH('_Supporto Listone'!B461,Asta!$P$4:$P$47,0)),IF(COUNTIF(Asta!$R$4:$R$47,'_Supporto Listone'!B461)&gt;0,INDEX(Asta!$S$4:$S$47,MATCH('_Supporto Listone'!B461,Asta!$R$4:$R$47,0)),IF(COUNTIF(Asta!$T$4:$T$47,'_Supporto Listone'!B461)&gt;0,INDEX(Asta!$U$4:$U$47,MATCH('_Supporto Listone'!B461,Asta!$T$4:$T$47,0)),""))))))))))</x:f>
      </x:c>
    </x:row>
    <x:row r="462">
      <x:c r="A462" s="448" t="str">
        <x:f>IF($J462&lt;&gt;"",REGEXREPLACE(TO_TEXT('_Supporto Listone'!A462),"(.)","$1"&amp;UNICHAR(822)),'_Supporto Listone'!A462)</x:f>
        <x:v>A</x:v>
      </x:c>
      <x:c r="B462" s="449" t="str">
        <x:f>IF($J462&lt;&gt;"",REGEXREPLACE(TO_TEXT('_Supporto Listone'!B462),"(.)","$1"&amp;UNICHAR(822)),'_Supporto Listone'!B462)</x:f>
        <x:v>Geubbels</x:v>
      </x:c>
      <x:c r="C462" s="449" t="str">
        <x:f>IF($J462&lt;&gt;"",REGEXREPLACE(TO_TEXT('_Supporto Listone'!C462),"(.)","$1"&amp;UNICHAR(822)),'_Supporto Listone'!C462)</x:f>
        <x:v>Lecce</x:v>
      </x:c>
      <x:c r="D462" s="449" t="str">
        <x:f>IF($J462&lt;&gt;"",REGEXREPLACE(TO_TEXT('_Supporto Listone'!D462),"(.)","$1"&amp;UNICHAR(822)),'_Supporto Listone'!D462)</x:f>
        <x:v>Pc</x:v>
      </x:c>
      <x:c r="E462" s="449" t="str">
        <x:f>IF($J462&lt;&gt;"",REGEXREPLACE(TO_TEXT('_Supporto Listone'!E462),"(.)","$1"&amp;UNICHAR(822)),'_Supporto Listone'!E462)</x:f>
        <x:v>Titolare / ballottaggio</x:v>
      </x:c>
      <x:c r="F462" s="466" t="n">
        <x:f>IF($J462&lt;&gt;"",REGEXREPLACE(TO_TEXT('_Supporto Listone'!F462),"(.)","$1"&amp;UNICHAR(822)),'_Supporto Listone'!F462)</x:f>
        <x:v>9</x:v>
      </x:c>
      <x:c r="G462" s="466" t="n">
        <x:f>IF($J462&lt;&gt;"",REGEXREPLACE(TO_TEXT('_Supporto Listone'!G462),"(.)","$1"&amp;UNICHAR(822)),'_Supporto Listone'!G462)</x:f>
        <x:v>25</x:v>
      </x:c>
      <x:c r="H462" s="466" t="n">
        <x:f>IF($J462&lt;&gt;"",REGEXREPLACE(TO_TEXT('_Supporto Listone'!H462),"(.)","$1"&amp;UNICHAR(822)),'_Supporto Listone'!H462)</x:f>
        <x:v>13</x:v>
      </x:c>
      <x:c r="I462" s="450" t="str">
        <x:f>IF($J462&lt;&gt;"",REGEXREPLACE(TO_TEXT('_Supporto Listone'!I462),"(.)","$1"&amp;UNICHAR(822)),'_Supporto Listone'!I462)</x:f>
        <x:v>Rigorista</x:v>
      </x:c>
      <x:c r="J462" s="449" t="str">
        <x:f>IF(COUNTIF(Asta!$B$4:$B$47,'_Supporto Listone'!B462)&gt;0,"Simone",IF(COUNTIF(Asta!$D$4:$D$47,'_Supporto Listone'!B462)&gt;0,"Giacomo",IF(COUNTIF(Asta!$F$4:$F$47,'_Supporto Listone'!B462)&gt;0,"Niko",IF(COUNTIF(Asta!$H$4:$H$47,'_Supporto Listone'!B462)&gt;0,"Quici",IF(COUNTIF(Asta!$J$4:$J$47,'_Supporto Listone'!B462)&gt;0,"Fratello Quici",IF(COUNTIF(Asta!$L$4:$L$47,'_Supporto Listone'!B462)&gt;0,"Nicolò",IF(COUNTIF(Asta!$N$4:$N$47,'_Supporto Listone'!B462)&gt;0,"Vi",IF(COUNTIF(Asta!$P$4:$P$47,'_Supporto Listone'!B462)&gt;0,"Lore",IF(COUNTIF(Asta!$R$4:$R$47,'_Supporto Listone'!B462)&gt;0,"Robbo",IF(COUNTIF(Asta!$T$4:$T$47,'_Supporto Listone'!B462)&gt;0,"Ale",""))))))))))</x:f>
      </x:c>
      <x:c r="K462" s="497" t="str">
        <x:f>IF(COUNTIF(Asta!$B$4:$B$47,'_Supporto Listone'!B462)&gt;0,INDEX(Asta!$C$4:$C$47,MATCH('_Supporto Listone'!B462,Asta!$B$4:$B$47,0)),IF(COUNTIF(Asta!$D$4:$D$47,'_Supporto Listone'!B462)&gt;0,INDEX(Asta!$E$4:$E$47,MATCH('_Supporto Listone'!B462,Asta!$D$4:$D$47,0)),IF(COUNTIF(Asta!$F$4:$F$47,'_Supporto Listone'!B462)&gt;0,INDEX(Asta!$G$4:$G$47,MATCH('_Supporto Listone'!B462,Asta!$F$4:$F$47,0)),IF(COUNTIF(Asta!$H$4:$H$47,'_Supporto Listone'!B462)&gt;0,INDEX(Asta!$I$4:$I$47,MATCH('_Supporto Listone'!B462,Asta!$H$4:$H$47,0)),IF(COUNTIF(Asta!$J$4:$J$47,'_Supporto Listone'!B462)&gt;0,INDEX(Asta!$K$4:$K$47,MATCH('_Supporto Listone'!B462,Asta!$J$4:$J$47,0)),IF(COUNTIF(Asta!$L$4:$L$47,'_Supporto Listone'!B462)&gt;0,INDEX(Asta!$M$4:$M$47,MATCH('_Supporto Listone'!B462,Asta!$L$4:$L$47,0)),IF(COUNTIF(Asta!$N$4:$N$47,'_Supporto Listone'!B462)&gt;0,INDEX(Asta!$O$4:$O$47,MATCH('_Supporto Listone'!B462,Asta!$N$4:$N$47,0)),IF(COUNTIF(Asta!$P$4:$P$47,'_Supporto Listone'!B462)&gt;0,INDEX(Asta!$Q$4:$Q$47,MATCH('_Supporto Listone'!B462,Asta!$P$4:$P$47,0)),IF(COUNTIF(Asta!$R$4:$R$47,'_Supporto Listone'!B462)&gt;0,INDEX(Asta!$S$4:$S$47,MATCH('_Supporto Listone'!B462,Asta!$R$4:$R$47,0)),IF(COUNTIF(Asta!$T$4:$T$47,'_Supporto Listone'!B462)&gt;0,INDEX(Asta!$U$4:$U$47,MATCH('_Supporto Listone'!B462,Asta!$T$4:$T$47,0)),""))))))))))</x:f>
      </x:c>
    </x:row>
    <x:row r="463">
      <x:c r="A463" s="448" t="str">
        <x:f>IF($J463&lt;&gt;"",REGEXREPLACE(TO_TEXT('_Supporto Listone'!A463),"(.)","$1"&amp;UNICHAR(822)),'_Supporto Listone'!A463)</x:f>
        <x:v>A</x:v>
      </x:c>
      <x:c r="B463" s="449" t="str">
        <x:f>IF($J463&lt;&gt;"",REGEXREPLACE(TO_TEXT('_Supporto Listone'!B463),"(.)","$1"&amp;UNICHAR(822)),'_Supporto Listone'!B463)</x:f>
        <x:v>Cutrone</x:v>
      </x:c>
      <x:c r="C463" s="449" t="str">
        <x:f>IF($J463&lt;&gt;"",REGEXREPLACE(TO_TEXT('_Supporto Listone'!C463),"(.)","$1"&amp;UNICHAR(822)),'_Supporto Listone'!C463)</x:f>
        <x:v>Monza</x:v>
      </x:c>
      <x:c r="D463" s="449" t="str">
        <x:f>IF($J463&lt;&gt;"",REGEXREPLACE(TO_TEXT('_Supporto Listone'!D463),"(.)","$1"&amp;UNICHAR(822)),'_Supporto Listone'!D463)</x:f>
        <x:v>Pc</x:v>
      </x:c>
      <x:c r="E463" s="449" t="str">
        <x:f>IF($J463&lt;&gt;"",REGEXREPLACE(TO_TEXT('_Supporto Listone'!E463),"(.)","$1"&amp;UNICHAR(822)),'_Supporto Listone'!E463)</x:f>
        <x:v>Ballottaggio</x:v>
      </x:c>
      <x:c r="F463" s="466" t="n">
        <x:f>IF($J463&lt;&gt;"",REGEXREPLACE(TO_TEXT('_Supporto Listone'!F463),"(.)","$1"&amp;UNICHAR(822)),'_Supporto Listone'!F463)</x:f>
        <x:v>9</x:v>
      </x:c>
      <x:c r="G463" s="466" t="n">
        <x:f>IF($J463&lt;&gt;"",REGEXREPLACE(TO_TEXT('_Supporto Listone'!G463),"(.)","$1"&amp;UNICHAR(822)),'_Supporto Listone'!G463)</x:f>
        <x:v>33</x:v>
      </x:c>
      <x:c r="H463" s="466" t="n">
        <x:f>IF($J463&lt;&gt;"",REGEXREPLACE(TO_TEXT('_Supporto Listone'!H463),"(.)","$1"&amp;UNICHAR(822)),'_Supporto Listone'!H463)</x:f>
        <x:v>17</x:v>
      </x:c>
      <x:c r="I463" s="450" t="str">
        <x:f>IF($J463&lt;&gt;"",REGEXREPLACE(TO_TEXT('_Supporto Listone'!I463),"(.)","$1"&amp;UNICHAR(822)),'_Supporto Listone'!I463)</x:f>
        <x:v>Rigorista</x:v>
      </x:c>
      <x:c r="J463" s="449" t="str">
        <x:f>IF(COUNTIF(Asta!$B$4:$B$47,'_Supporto Listone'!B463)&gt;0,"Simone",IF(COUNTIF(Asta!$D$4:$D$47,'_Supporto Listone'!B463)&gt;0,"Giacomo",IF(COUNTIF(Asta!$F$4:$F$47,'_Supporto Listone'!B463)&gt;0,"Niko",IF(COUNTIF(Asta!$H$4:$H$47,'_Supporto Listone'!B463)&gt;0,"Quici",IF(COUNTIF(Asta!$J$4:$J$47,'_Supporto Listone'!B463)&gt;0,"Fratello Quici",IF(COUNTIF(Asta!$L$4:$L$47,'_Supporto Listone'!B463)&gt;0,"Nicolò",IF(COUNTIF(Asta!$N$4:$N$47,'_Supporto Listone'!B463)&gt;0,"Vi",IF(COUNTIF(Asta!$P$4:$P$47,'_Supporto Listone'!B463)&gt;0,"Lore",IF(COUNTIF(Asta!$R$4:$R$47,'_Supporto Listone'!B463)&gt;0,"Robbo",IF(COUNTIF(Asta!$T$4:$T$47,'_Supporto Listone'!B463)&gt;0,"Ale",""))))))))))</x:f>
      </x:c>
      <x:c r="K463" s="497" t="str">
        <x:f>IF(COUNTIF(Asta!$B$4:$B$47,'_Supporto Listone'!B463)&gt;0,INDEX(Asta!$C$4:$C$47,MATCH('_Supporto Listone'!B463,Asta!$B$4:$B$47,0)),IF(COUNTIF(Asta!$D$4:$D$47,'_Supporto Listone'!B463)&gt;0,INDEX(Asta!$E$4:$E$47,MATCH('_Supporto Listone'!B463,Asta!$D$4:$D$47,0)),IF(COUNTIF(Asta!$F$4:$F$47,'_Supporto Listone'!B463)&gt;0,INDEX(Asta!$G$4:$G$47,MATCH('_Supporto Listone'!B463,Asta!$F$4:$F$47,0)),IF(COUNTIF(Asta!$H$4:$H$47,'_Supporto Listone'!B463)&gt;0,INDEX(Asta!$I$4:$I$47,MATCH('_Supporto Listone'!B463,Asta!$H$4:$H$47,0)),IF(COUNTIF(Asta!$J$4:$J$47,'_Supporto Listone'!B463)&gt;0,INDEX(Asta!$K$4:$K$47,MATCH('_Supporto Listone'!B463,Asta!$J$4:$J$47,0)),IF(COUNTIF(Asta!$L$4:$L$47,'_Supporto Listone'!B463)&gt;0,INDEX(Asta!$M$4:$M$47,MATCH('_Supporto Listone'!B463,Asta!$L$4:$L$47,0)),IF(COUNTIF(Asta!$N$4:$N$47,'_Supporto Listone'!B463)&gt;0,INDEX(Asta!$O$4:$O$47,MATCH('_Supporto Listone'!B463,Asta!$N$4:$N$47,0)),IF(COUNTIF(Asta!$P$4:$P$47,'_Supporto Listone'!B463)&gt;0,INDEX(Asta!$Q$4:$Q$47,MATCH('_Supporto Listone'!B463,Asta!$P$4:$P$47,0)),IF(COUNTIF(Asta!$R$4:$R$47,'_Supporto Listone'!B463)&gt;0,INDEX(Asta!$S$4:$S$47,MATCH('_Supporto Listone'!B463,Asta!$R$4:$R$47,0)),IF(COUNTIF(Asta!$T$4:$T$47,'_Supporto Listone'!B463)&gt;0,INDEX(Asta!$U$4:$U$47,MATCH('_Supporto Listone'!B463,Asta!$T$4:$T$47,0)),""))))))))))</x:f>
      </x:c>
    </x:row>
    <x:row r="464">
      <x:c r="A464" s="448" t="str">
        <x:f>IF($J464&lt;&gt;"",REGEXREPLACE(TO_TEXT('_Supporto Listone'!A464),"(.)","$1"&amp;UNICHAR(822)),'_Supporto Listone'!A464)</x:f>
        <x:v>A</x:v>
      </x:c>
      <x:c r="B464" s="449" t="str">
        <x:f>IF($J464&lt;&gt;"",REGEXREPLACE(TO_TEXT('_Supporto Listone'!B464),"(.)","$1"&amp;UNICHAR(822)),'_Supporto Listone'!B464)</x:f>
        <x:v>Adams C.</x:v>
      </x:c>
      <x:c r="C464" s="449" t="str">
        <x:f>IF($J464&lt;&gt;"",REGEXREPLACE(TO_TEXT('_Supporto Listone'!C464),"(.)","$1"&amp;UNICHAR(822)),'_Supporto Listone'!C464)</x:f>
        <x:v>Torino</x:v>
      </x:c>
      <x:c r="D464" s="449" t="str">
        <x:f>IF($J464&lt;&gt;"",REGEXREPLACE(TO_TEXT('_Supporto Listone'!D464),"(.)","$1"&amp;UNICHAR(822)),'_Supporto Listone'!D464)</x:f>
        <x:v>A</x:v>
      </x:c>
      <x:c r="E464" s="449" t="str">
        <x:f>IF($J464&lt;&gt;"",REGEXREPLACE(TO_TEXT('_Supporto Listone'!E464),"(.)","$1"&amp;UNICHAR(822)),'_Supporto Listone'!E464)</x:f>
        <x:v>Ballottaggio</x:v>
      </x:c>
      <x:c r="F464" s="466" t="n">
        <x:f>IF($J464&lt;&gt;"",REGEXREPLACE(TO_TEXT('_Supporto Listone'!F464),"(.)","$1"&amp;UNICHAR(822)),'_Supporto Listone'!F464)</x:f>
        <x:v>9</x:v>
      </x:c>
      <x:c r="G464" s="466" t="n">
        <x:f>IF($J464&lt;&gt;"",REGEXREPLACE(TO_TEXT('_Supporto Listone'!G464),"(.)","$1"&amp;UNICHAR(822)),'_Supporto Listone'!G464)</x:f>
        <x:v>32</x:v>
      </x:c>
      <x:c r="H464" s="466" t="n">
        <x:f>IF($J464&lt;&gt;"",REGEXREPLACE(TO_TEXT('_Supporto Listone'!H464),"(.)","$1"&amp;UNICHAR(822)),'_Supporto Listone'!H464)</x:f>
        <x:v>16</x:v>
      </x:c>
      <x:c r="I464" s="450"/>
      <x:c r="J464" s="449" t="str">
        <x:f>IF(COUNTIF(Asta!$B$4:$B$47,'_Supporto Listone'!B464)&gt;0,"Simone",IF(COUNTIF(Asta!$D$4:$D$47,'_Supporto Listone'!B464)&gt;0,"Giacomo",IF(COUNTIF(Asta!$F$4:$F$47,'_Supporto Listone'!B464)&gt;0,"Niko",IF(COUNTIF(Asta!$H$4:$H$47,'_Supporto Listone'!B464)&gt;0,"Quici",IF(COUNTIF(Asta!$J$4:$J$47,'_Supporto Listone'!B464)&gt;0,"Fratello Quici",IF(COUNTIF(Asta!$L$4:$L$47,'_Supporto Listone'!B464)&gt;0,"Nicolò",IF(COUNTIF(Asta!$N$4:$N$47,'_Supporto Listone'!B464)&gt;0,"Vi",IF(COUNTIF(Asta!$P$4:$P$47,'_Supporto Listone'!B464)&gt;0,"Lore",IF(COUNTIF(Asta!$R$4:$R$47,'_Supporto Listone'!B464)&gt;0,"Robbo",IF(COUNTIF(Asta!$T$4:$T$47,'_Supporto Listone'!B464)&gt;0,"Ale",""))))))))))</x:f>
      </x:c>
      <x:c r="K464" s="497" t="str">
        <x:f>IF(COUNTIF(Asta!$B$4:$B$47,'_Supporto Listone'!B464)&gt;0,INDEX(Asta!$C$4:$C$47,MATCH('_Supporto Listone'!B464,Asta!$B$4:$B$47,0)),IF(COUNTIF(Asta!$D$4:$D$47,'_Supporto Listone'!B464)&gt;0,INDEX(Asta!$E$4:$E$47,MATCH('_Supporto Listone'!B464,Asta!$D$4:$D$47,0)),IF(COUNTIF(Asta!$F$4:$F$47,'_Supporto Listone'!B464)&gt;0,INDEX(Asta!$G$4:$G$47,MATCH('_Supporto Listone'!B464,Asta!$F$4:$F$47,0)),IF(COUNTIF(Asta!$H$4:$H$47,'_Supporto Listone'!B464)&gt;0,INDEX(Asta!$I$4:$I$47,MATCH('_Supporto Listone'!B464,Asta!$H$4:$H$47,0)),IF(COUNTIF(Asta!$J$4:$J$47,'_Supporto Listone'!B464)&gt;0,INDEX(Asta!$K$4:$K$47,MATCH('_Supporto Listone'!B464,Asta!$J$4:$J$47,0)),IF(COUNTIF(Asta!$L$4:$L$47,'_Supporto Listone'!B464)&gt;0,INDEX(Asta!$M$4:$M$47,MATCH('_Supporto Listone'!B464,Asta!$L$4:$L$47,0)),IF(COUNTIF(Asta!$N$4:$N$47,'_Supporto Listone'!B464)&gt;0,INDEX(Asta!$O$4:$O$47,MATCH('_Supporto Listone'!B464,Asta!$N$4:$N$47,0)),IF(COUNTIF(Asta!$P$4:$P$47,'_Supporto Listone'!B464)&gt;0,INDEX(Asta!$Q$4:$Q$47,MATCH('_Supporto Listone'!B464,Asta!$P$4:$P$47,0)),IF(COUNTIF(Asta!$R$4:$R$47,'_Supporto Listone'!B464)&gt;0,INDEX(Asta!$S$4:$S$47,MATCH('_Supporto Listone'!B464,Asta!$R$4:$R$47,0)),IF(COUNTIF(Asta!$T$4:$T$47,'_Supporto Listone'!B464)&gt;0,INDEX(Asta!$U$4:$U$47,MATCH('_Supporto Listone'!B464,Asta!$T$4:$T$47,0)),""))))))))))</x:f>
      </x:c>
    </x:row>
    <x:row r="465">
      <x:c r="A465" s="448" t="str">
        <x:f>IF($J465&lt;&gt;"",REGEXREPLACE(TO_TEXT('_Supporto Listone'!A465),"(.)","$1"&amp;UNICHAR(822)),'_Supporto Listone'!A465)</x:f>
        <x:v>A</x:v>
      </x:c>
      <x:c r="B465" s="449" t="str">
        <x:f>IF($J465&lt;&gt;"",REGEXREPLACE(TO_TEXT('_Supporto Listone'!B465),"(.)","$1"&amp;UNICHAR(822)),'_Supporto Listone'!B465)</x:f>
        <x:v>Dallinga</x:v>
      </x:c>
      <x:c r="C465" s="449" t="str">
        <x:f>IF($J465&lt;&gt;"",REGEXREPLACE(TO_TEXT('_Supporto Listone'!C465),"(.)","$1"&amp;UNICHAR(822)),'_Supporto Listone'!C465)</x:f>
        <x:v>Bologna</x:v>
      </x:c>
      <x:c r="D465" s="449" t="str">
        <x:f>IF($J465&lt;&gt;"",REGEXREPLACE(TO_TEXT('_Supporto Listone'!D465),"(.)","$1"&amp;UNICHAR(822)),'_Supporto Listone'!D465)</x:f>
        <x:v>Pc</x:v>
      </x:c>
      <x:c r="E465" s="449" t="str">
        <x:f>IF($J465&lt;&gt;"",REGEXREPLACE(TO_TEXT('_Supporto Listone'!E465),"(.)","$1"&amp;UNICHAR(822)),'_Supporto Listone'!E465)</x:f>
        <x:v>Riserva / rotazione</x:v>
      </x:c>
      <x:c r="F465" s="466" t="n">
        <x:f>IF($J465&lt;&gt;"",REGEXREPLACE(TO_TEXT('_Supporto Listone'!F465),"(.)","$1"&amp;UNICHAR(822)),'_Supporto Listone'!F465)</x:f>
        <x:v>8</x:v>
      </x:c>
      <x:c r="G465" s="466" t="n">
        <x:f>IF($J465&lt;&gt;"",REGEXREPLACE(TO_TEXT('_Supporto Listone'!G465),"(.)","$1"&amp;UNICHAR(822)),'_Supporto Listone'!G465)</x:f>
        <x:v>23</x:v>
      </x:c>
      <x:c r="H465" s="466" t="n">
        <x:f>IF($J465&lt;&gt;"",REGEXREPLACE(TO_TEXT('_Supporto Listone'!H465),"(.)","$1"&amp;UNICHAR(822)),'_Supporto Listone'!H465)</x:f>
        <x:v>12</x:v>
      </x:c>
      <x:c r="I465" s="450"/>
      <x:c r="J465" s="449" t="str">
        <x:f>IF(COUNTIF(Asta!$B$4:$B$47,'_Supporto Listone'!B465)&gt;0,"Simone",IF(COUNTIF(Asta!$D$4:$D$47,'_Supporto Listone'!B465)&gt;0,"Giacomo",IF(COUNTIF(Asta!$F$4:$F$47,'_Supporto Listone'!B465)&gt;0,"Niko",IF(COUNTIF(Asta!$H$4:$H$47,'_Supporto Listone'!B465)&gt;0,"Quici",IF(COUNTIF(Asta!$J$4:$J$47,'_Supporto Listone'!B465)&gt;0,"Fratello Quici",IF(COUNTIF(Asta!$L$4:$L$47,'_Supporto Listone'!B465)&gt;0,"Nicolò",IF(COUNTIF(Asta!$N$4:$N$47,'_Supporto Listone'!B465)&gt;0,"Vi",IF(COUNTIF(Asta!$P$4:$P$47,'_Supporto Listone'!B465)&gt;0,"Lore",IF(COUNTIF(Asta!$R$4:$R$47,'_Supporto Listone'!B465)&gt;0,"Robbo",IF(COUNTIF(Asta!$T$4:$T$47,'_Supporto Listone'!B465)&gt;0,"Ale",""))))))))))</x:f>
      </x:c>
      <x:c r="K465" s="497" t="str">
        <x:f>IF(COUNTIF(Asta!$B$4:$B$47,'_Supporto Listone'!B465)&gt;0,INDEX(Asta!$C$4:$C$47,MATCH('_Supporto Listone'!B465,Asta!$B$4:$B$47,0)),IF(COUNTIF(Asta!$D$4:$D$47,'_Supporto Listone'!B465)&gt;0,INDEX(Asta!$E$4:$E$47,MATCH('_Supporto Listone'!B465,Asta!$D$4:$D$47,0)),IF(COUNTIF(Asta!$F$4:$F$47,'_Supporto Listone'!B465)&gt;0,INDEX(Asta!$G$4:$G$47,MATCH('_Supporto Listone'!B465,Asta!$F$4:$F$47,0)),IF(COUNTIF(Asta!$H$4:$H$47,'_Supporto Listone'!B465)&gt;0,INDEX(Asta!$I$4:$I$47,MATCH('_Supporto Listone'!B465,Asta!$H$4:$H$47,0)),IF(COUNTIF(Asta!$J$4:$J$47,'_Supporto Listone'!B465)&gt;0,INDEX(Asta!$K$4:$K$47,MATCH('_Supporto Listone'!B465,Asta!$J$4:$J$47,0)),IF(COUNTIF(Asta!$L$4:$L$47,'_Supporto Listone'!B465)&gt;0,INDEX(Asta!$M$4:$M$47,MATCH('_Supporto Listone'!B465,Asta!$L$4:$L$47,0)),IF(COUNTIF(Asta!$N$4:$N$47,'_Supporto Listone'!B465)&gt;0,INDEX(Asta!$O$4:$O$47,MATCH('_Supporto Listone'!B465,Asta!$N$4:$N$47,0)),IF(COUNTIF(Asta!$P$4:$P$47,'_Supporto Listone'!B465)&gt;0,INDEX(Asta!$Q$4:$Q$47,MATCH('_Supporto Listone'!B465,Asta!$P$4:$P$47,0)),IF(COUNTIF(Asta!$R$4:$R$47,'_Supporto Listone'!B465)&gt;0,INDEX(Asta!$S$4:$S$47,MATCH('_Supporto Listone'!B465,Asta!$R$4:$R$47,0)),IF(COUNTIF(Asta!$T$4:$T$47,'_Supporto Listone'!B465)&gt;0,INDEX(Asta!$U$4:$U$47,MATCH('_Supporto Listone'!B465,Asta!$T$4:$T$47,0)),""))))))))))</x:f>
      </x:c>
    </x:row>
    <x:row r="466">
      <x:c r="A466" s="448" t="str">
        <x:f>IF($J466&lt;&gt;"",REGEXREPLACE(TO_TEXT('_Supporto Listone'!A466),"(.)","$1"&amp;UNICHAR(822)),'_Supporto Listone'!A466)</x:f>
        <x:v>A</x:v>
      </x:c>
      <x:c r="B466" s="449" t="str">
        <x:f>IF($J466&lt;&gt;"",REGEXREPLACE(TO_TEXT('_Supporto Listone'!B466),"(.)","$1"&amp;UNICHAR(822)),'_Supporto Listone'!B466)</x:f>
        <x:v>Piccoli</x:v>
      </x:c>
      <x:c r="C466" s="449" t="str">
        <x:f>IF($J466&lt;&gt;"",REGEXREPLACE(TO_TEXT('_Supporto Listone'!C466),"(.)","$1"&amp;UNICHAR(822)),'_Supporto Listone'!C466)</x:f>
        <x:v>Fiorentina</x:v>
      </x:c>
      <x:c r="D466" s="449" t="str">
        <x:f>IF($J466&lt;&gt;"",REGEXREPLACE(TO_TEXT('_Supporto Listone'!D466),"(.)","$1"&amp;UNICHAR(822)),'_Supporto Listone'!D466)</x:f>
        <x:v>Pc</x:v>
      </x:c>
      <x:c r="E466" s="449" t="str">
        <x:f>IF($J466&lt;&gt;"",REGEXREPLACE(TO_TEXT('_Supporto Listone'!E466),"(.)","$1"&amp;UNICHAR(822)),'_Supporto Listone'!E466)</x:f>
        <x:v>Riserva / rotazione</x:v>
      </x:c>
      <x:c r="F466" s="466" t="n">
        <x:f>IF($J466&lt;&gt;"",REGEXREPLACE(TO_TEXT('_Supporto Listone'!F466),"(.)","$1"&amp;UNICHAR(822)),'_Supporto Listone'!F466)</x:f>
        <x:v>8</x:v>
      </x:c>
      <x:c r="G466" s="466" t="n">
        <x:f>IF($J466&lt;&gt;"",REGEXREPLACE(TO_TEXT('_Supporto Listone'!G466),"(.)","$1"&amp;UNICHAR(822)),'_Supporto Listone'!G466)</x:f>
        <x:v>24</x:v>
      </x:c>
      <x:c r="H466" s="466" t="n">
        <x:f>IF($J466&lt;&gt;"",REGEXREPLACE(TO_TEXT('_Supporto Listone'!H466),"(.)","$1"&amp;UNICHAR(822)),'_Supporto Listone'!H466)</x:f>
        <x:v>12</x:v>
      </x:c>
      <x:c r="I466" s="450"/>
      <x:c r="J466" s="449" t="str">
        <x:f>IF(COUNTIF(Asta!$B$4:$B$47,'_Supporto Listone'!B466)&gt;0,"Simone",IF(COUNTIF(Asta!$D$4:$D$47,'_Supporto Listone'!B466)&gt;0,"Giacomo",IF(COUNTIF(Asta!$F$4:$F$47,'_Supporto Listone'!B466)&gt;0,"Niko",IF(COUNTIF(Asta!$H$4:$H$47,'_Supporto Listone'!B466)&gt;0,"Quici",IF(COUNTIF(Asta!$J$4:$J$47,'_Supporto Listone'!B466)&gt;0,"Fratello Quici",IF(COUNTIF(Asta!$L$4:$L$47,'_Supporto Listone'!B466)&gt;0,"Nicolò",IF(COUNTIF(Asta!$N$4:$N$47,'_Supporto Listone'!B466)&gt;0,"Vi",IF(COUNTIF(Asta!$P$4:$P$47,'_Supporto Listone'!B466)&gt;0,"Lore",IF(COUNTIF(Asta!$R$4:$R$47,'_Supporto Listone'!B466)&gt;0,"Robbo",IF(COUNTIF(Asta!$T$4:$T$47,'_Supporto Listone'!B466)&gt;0,"Ale",""))))))))))</x:f>
      </x:c>
      <x:c r="K466" s="497" t="str">
        <x:f>IF(COUNTIF(Asta!$B$4:$B$47,'_Supporto Listone'!B466)&gt;0,INDEX(Asta!$C$4:$C$47,MATCH('_Supporto Listone'!B466,Asta!$B$4:$B$47,0)),IF(COUNTIF(Asta!$D$4:$D$47,'_Supporto Listone'!B466)&gt;0,INDEX(Asta!$E$4:$E$47,MATCH('_Supporto Listone'!B466,Asta!$D$4:$D$47,0)),IF(COUNTIF(Asta!$F$4:$F$47,'_Supporto Listone'!B466)&gt;0,INDEX(Asta!$G$4:$G$47,MATCH('_Supporto Listone'!B466,Asta!$F$4:$F$47,0)),IF(COUNTIF(Asta!$H$4:$H$47,'_Supporto Listone'!B466)&gt;0,INDEX(Asta!$I$4:$I$47,MATCH('_Supporto Listone'!B466,Asta!$H$4:$H$47,0)),IF(COUNTIF(Asta!$J$4:$J$47,'_Supporto Listone'!B466)&gt;0,INDEX(Asta!$K$4:$K$47,MATCH('_Supporto Listone'!B466,Asta!$J$4:$J$47,0)),IF(COUNTIF(Asta!$L$4:$L$47,'_Supporto Listone'!B466)&gt;0,INDEX(Asta!$M$4:$M$47,MATCH('_Supporto Listone'!B466,Asta!$L$4:$L$47,0)),IF(COUNTIF(Asta!$N$4:$N$47,'_Supporto Listone'!B466)&gt;0,INDEX(Asta!$O$4:$O$47,MATCH('_Supporto Listone'!B466,Asta!$N$4:$N$47,0)),IF(COUNTIF(Asta!$P$4:$P$47,'_Supporto Listone'!B466)&gt;0,INDEX(Asta!$Q$4:$Q$47,MATCH('_Supporto Listone'!B466,Asta!$P$4:$P$47,0)),IF(COUNTIF(Asta!$R$4:$R$47,'_Supporto Listone'!B466)&gt;0,INDEX(Asta!$S$4:$S$47,MATCH('_Supporto Listone'!B466,Asta!$R$4:$R$47,0)),IF(COUNTIF(Asta!$T$4:$T$47,'_Supporto Listone'!B466)&gt;0,INDEX(Asta!$U$4:$U$47,MATCH('_Supporto Listone'!B466,Asta!$T$4:$T$47,0)),""))))))))))</x:f>
      </x:c>
    </x:row>
    <x:row r="467">
      <x:c r="A467" s="448" t="str">
        <x:f>IF($J467&lt;&gt;"",REGEXREPLACE(TO_TEXT('_Supporto Listone'!A467),"(.)","$1"&amp;UNICHAR(822)),'_Supporto Listone'!A467)</x:f>
        <x:v>A</x:v>
      </x:c>
      <x:c r="B467" s="449" t="str">
        <x:f>IF($J467&lt;&gt;"",REGEXREPLACE(TO_TEXT('_Supporto Listone'!B467),"(.)","$1"&amp;UNICHAR(822)),'_Supporto Listone'!B467)</x:f>
        <x:v>Vitinha O.</x:v>
      </x:c>
      <x:c r="C467" s="449" t="str">
        <x:f>IF($J467&lt;&gt;"",REGEXREPLACE(TO_TEXT('_Supporto Listone'!C467),"(.)","$1"&amp;UNICHAR(822)),'_Supporto Listone'!C467)</x:f>
        <x:v>Genoa</x:v>
      </x:c>
      <x:c r="D467" s="449" t="str">
        <x:f>IF($J467&lt;&gt;"",REGEXREPLACE(TO_TEXT('_Supporto Listone'!D467),"(.)","$1"&amp;UNICHAR(822)),'_Supporto Listone'!D467)</x:f>
        <x:v>A</x:v>
      </x:c>
      <x:c r="E467" s="449" t="str">
        <x:f>IF($J467&lt;&gt;"",REGEXREPLACE(TO_TEXT('_Supporto Listone'!E467),"(.)","$1"&amp;UNICHAR(822)),'_Supporto Listone'!E467)</x:f>
        <x:v>Titolare / ballottaggio</x:v>
      </x:c>
      <x:c r="F467" s="466" t="n">
        <x:f>IF($J467&lt;&gt;"",REGEXREPLACE(TO_TEXT('_Supporto Listone'!F467),"(.)","$1"&amp;UNICHAR(822)),'_Supporto Listone'!F467)</x:f>
        <x:v>8</x:v>
      </x:c>
      <x:c r="G467" s="466" t="n">
        <x:f>IF($J467&lt;&gt;"",REGEXREPLACE(TO_TEXT('_Supporto Listone'!G467),"(.)","$1"&amp;UNICHAR(822)),'_Supporto Listone'!G467)</x:f>
        <x:v>20</x:v>
      </x:c>
      <x:c r="H467" s="466" t="n">
        <x:f>IF($J467&lt;&gt;"",REGEXREPLACE(TO_TEXT('_Supporto Listone'!H467),"(.)","$1"&amp;UNICHAR(822)),'_Supporto Listone'!H467)</x:f>
        <x:v>10</x:v>
      </x:c>
      <x:c r="I467" s="450" t="str">
        <x:f>IF($J467&lt;&gt;"",REGEXREPLACE(TO_TEXT('_Supporto Listone'!I467),"(.)","$1"&amp;UNICHAR(822)),'_Supporto Listone'!I467)</x:f>
        <x:v>Rigorista · Piazzati</x:v>
      </x:c>
      <x:c r="J467" s="449" t="str">
        <x:f>IF(COUNTIF(Asta!$B$4:$B$47,'_Supporto Listone'!B467)&gt;0,"Simone",IF(COUNTIF(Asta!$D$4:$D$47,'_Supporto Listone'!B467)&gt;0,"Giacomo",IF(COUNTIF(Asta!$F$4:$F$47,'_Supporto Listone'!B467)&gt;0,"Niko",IF(COUNTIF(Asta!$H$4:$H$47,'_Supporto Listone'!B467)&gt;0,"Quici",IF(COUNTIF(Asta!$J$4:$J$47,'_Supporto Listone'!B467)&gt;0,"Fratello Quici",IF(COUNTIF(Asta!$L$4:$L$47,'_Supporto Listone'!B467)&gt;0,"Nicolò",IF(COUNTIF(Asta!$N$4:$N$47,'_Supporto Listone'!B467)&gt;0,"Vi",IF(COUNTIF(Asta!$P$4:$P$47,'_Supporto Listone'!B467)&gt;0,"Lore",IF(COUNTIF(Asta!$R$4:$R$47,'_Supporto Listone'!B467)&gt;0,"Robbo",IF(COUNTIF(Asta!$T$4:$T$47,'_Supporto Listone'!B467)&gt;0,"Ale",""))))))))))</x:f>
      </x:c>
      <x:c r="K467" s="497" t="str">
        <x:f>IF(COUNTIF(Asta!$B$4:$B$47,'_Supporto Listone'!B467)&gt;0,INDEX(Asta!$C$4:$C$47,MATCH('_Supporto Listone'!B467,Asta!$B$4:$B$47,0)),IF(COUNTIF(Asta!$D$4:$D$47,'_Supporto Listone'!B467)&gt;0,INDEX(Asta!$E$4:$E$47,MATCH('_Supporto Listone'!B467,Asta!$D$4:$D$47,0)),IF(COUNTIF(Asta!$F$4:$F$47,'_Supporto Listone'!B467)&gt;0,INDEX(Asta!$G$4:$G$47,MATCH('_Supporto Listone'!B467,Asta!$F$4:$F$47,0)),IF(COUNTIF(Asta!$H$4:$H$47,'_Supporto Listone'!B467)&gt;0,INDEX(Asta!$I$4:$I$47,MATCH('_Supporto Listone'!B467,Asta!$H$4:$H$47,0)),IF(COUNTIF(Asta!$J$4:$J$47,'_Supporto Listone'!B467)&gt;0,INDEX(Asta!$K$4:$K$47,MATCH('_Supporto Listone'!B467,Asta!$J$4:$J$47,0)),IF(COUNTIF(Asta!$L$4:$L$47,'_Supporto Listone'!B467)&gt;0,INDEX(Asta!$M$4:$M$47,MATCH('_Supporto Listone'!B467,Asta!$L$4:$L$47,0)),IF(COUNTIF(Asta!$N$4:$N$47,'_Supporto Listone'!B467)&gt;0,INDEX(Asta!$O$4:$O$47,MATCH('_Supporto Listone'!B467,Asta!$N$4:$N$47,0)),IF(COUNTIF(Asta!$P$4:$P$47,'_Supporto Listone'!B467)&gt;0,INDEX(Asta!$Q$4:$Q$47,MATCH('_Supporto Listone'!B467,Asta!$P$4:$P$47,0)),IF(COUNTIF(Asta!$R$4:$R$47,'_Supporto Listone'!B467)&gt;0,INDEX(Asta!$S$4:$S$47,MATCH('_Supporto Listone'!B467,Asta!$R$4:$R$47,0)),IF(COUNTIF(Asta!$T$4:$T$47,'_Supporto Listone'!B467)&gt;0,INDEX(Asta!$U$4:$U$47,MATCH('_Supporto Listone'!B467,Asta!$T$4:$T$47,0)),""))))))))))</x:f>
      </x:c>
    </x:row>
    <x:row r="468">
      <x:c r="A468" s="448" t="str">
        <x:f>IF($J468&lt;&gt;"",REGEXREPLACE(TO_TEXT('_Supporto Listone'!A468),"(.)","$1"&amp;UNICHAR(822)),'_Supporto Listone'!A468)</x:f>
        <x:v>A</x:v>
      </x:c>
      <x:c r="B468" s="449" t="str">
        <x:f>IF($J468&lt;&gt;"",REGEXREPLACE(TO_TEXT('_Supporto Listone'!B468),"(.)","$1"&amp;UNICHAR(822)),'_Supporto Listone'!B468)</x:f>
        <x:v>Rrahmani Al.</x:v>
      </x:c>
      <x:c r="C468" s="449" t="str">
        <x:f>IF($J468&lt;&gt;"",REGEXREPLACE(TO_TEXT('_Supporto Listone'!C468),"(.)","$1"&amp;UNICHAR(822)),'_Supporto Listone'!C468)</x:f>
        <x:v>Venezia</x:v>
      </x:c>
      <x:c r="D468" s="449" t="str">
        <x:f>IF($J468&lt;&gt;"",REGEXREPLACE(TO_TEXT('_Supporto Listone'!D468),"(.)","$1"&amp;UNICHAR(822)),'_Supporto Listone'!D468)</x:f>
        <x:v>Pc</x:v>
      </x:c>
      <x:c r="E468" s="449" t="str">
        <x:f>IF($J468&lt;&gt;"",REGEXREPLACE(TO_TEXT('_Supporto Listone'!E468),"(.)","$1"&amp;UNICHAR(822)),'_Supporto Listone'!E468)</x:f>
        <x:v>Ballottaggio</x:v>
      </x:c>
      <x:c r="F468" s="466" t="n">
        <x:f>IF($J468&lt;&gt;"",REGEXREPLACE(TO_TEXT('_Supporto Listone'!F468),"(.)","$1"&amp;UNICHAR(822)),'_Supporto Listone'!F468)</x:f>
        <x:v>8</x:v>
      </x:c>
      <x:c r="G468" s="466" t="n">
        <x:f>IF($J468&lt;&gt;"",REGEXREPLACE(TO_TEXT('_Supporto Listone'!G468),"(.)","$1"&amp;UNICHAR(822)),'_Supporto Listone'!G468)</x:f>
        <x:v>20</x:v>
      </x:c>
      <x:c r="H468" s="466" t="n">
        <x:f>IF($J468&lt;&gt;"",REGEXREPLACE(TO_TEXT('_Supporto Listone'!H468),"(.)","$1"&amp;UNICHAR(822)),'_Supporto Listone'!H468)</x:f>
        <x:v>10</x:v>
      </x:c>
      <x:c r="I468" s="450"/>
      <x:c r="J468" s="449" t="str">
        <x:f>IF(COUNTIF(Asta!$B$4:$B$47,'_Supporto Listone'!B468)&gt;0,"Simone",IF(COUNTIF(Asta!$D$4:$D$47,'_Supporto Listone'!B468)&gt;0,"Giacomo",IF(COUNTIF(Asta!$F$4:$F$47,'_Supporto Listone'!B468)&gt;0,"Niko",IF(COUNTIF(Asta!$H$4:$H$47,'_Supporto Listone'!B468)&gt;0,"Quici",IF(COUNTIF(Asta!$J$4:$J$47,'_Supporto Listone'!B468)&gt;0,"Fratello Quici",IF(COUNTIF(Asta!$L$4:$L$47,'_Supporto Listone'!B468)&gt;0,"Nicolò",IF(COUNTIF(Asta!$N$4:$N$47,'_Supporto Listone'!B468)&gt;0,"Vi",IF(COUNTIF(Asta!$P$4:$P$47,'_Supporto Listone'!B468)&gt;0,"Lore",IF(COUNTIF(Asta!$R$4:$R$47,'_Supporto Listone'!B468)&gt;0,"Robbo",IF(COUNTIF(Asta!$T$4:$T$47,'_Supporto Listone'!B468)&gt;0,"Ale",""))))))))))</x:f>
      </x:c>
      <x:c r="K468" s="497" t="str">
        <x:f>IF(COUNTIF(Asta!$B$4:$B$47,'_Supporto Listone'!B468)&gt;0,INDEX(Asta!$C$4:$C$47,MATCH('_Supporto Listone'!B468,Asta!$B$4:$B$47,0)),IF(COUNTIF(Asta!$D$4:$D$47,'_Supporto Listone'!B468)&gt;0,INDEX(Asta!$E$4:$E$47,MATCH('_Supporto Listone'!B468,Asta!$D$4:$D$47,0)),IF(COUNTIF(Asta!$F$4:$F$47,'_Supporto Listone'!B468)&gt;0,INDEX(Asta!$G$4:$G$47,MATCH('_Supporto Listone'!B468,Asta!$F$4:$F$47,0)),IF(COUNTIF(Asta!$H$4:$H$47,'_Supporto Listone'!B468)&gt;0,INDEX(Asta!$I$4:$I$47,MATCH('_Supporto Listone'!B468,Asta!$H$4:$H$47,0)),IF(COUNTIF(Asta!$J$4:$J$47,'_Supporto Listone'!B468)&gt;0,INDEX(Asta!$K$4:$K$47,MATCH('_Supporto Listone'!B468,Asta!$J$4:$J$47,0)),IF(COUNTIF(Asta!$L$4:$L$47,'_Supporto Listone'!B468)&gt;0,INDEX(Asta!$M$4:$M$47,MATCH('_Supporto Listone'!B468,Asta!$L$4:$L$47,0)),IF(COUNTIF(Asta!$N$4:$N$47,'_Supporto Listone'!B468)&gt;0,INDEX(Asta!$O$4:$O$47,MATCH('_Supporto Listone'!B468,Asta!$N$4:$N$47,0)),IF(COUNTIF(Asta!$P$4:$P$47,'_Supporto Listone'!B468)&gt;0,INDEX(Asta!$Q$4:$Q$47,MATCH('_Supporto Listone'!B468,Asta!$P$4:$P$47,0)),IF(COUNTIF(Asta!$R$4:$R$47,'_Supporto Listone'!B468)&gt;0,INDEX(Asta!$S$4:$S$47,MATCH('_Supporto Listone'!B468,Asta!$R$4:$R$47,0)),IF(COUNTIF(Asta!$T$4:$T$47,'_Supporto Listone'!B468)&gt;0,INDEX(Asta!$U$4:$U$47,MATCH('_Supporto Listone'!B468,Asta!$T$4:$T$47,0)),""))))))))))</x:f>
      </x:c>
    </x:row>
    <x:row r="469">
      <x:c r="A469" s="448" t="str">
        <x:f>IF($J469&lt;&gt;"",REGEXREPLACE(TO_TEXT('_Supporto Listone'!A469),"(.)","$1"&amp;UNICHAR(822)),'_Supporto Listone'!A469)</x:f>
        <x:v>A</x:v>
      </x:c>
      <x:c r="B469" s="449" t="str">
        <x:f>IF($J469&lt;&gt;"",REGEXREPLACE(TO_TEXT('_Supporto Listone'!B469),"(.)","$1"&amp;UNICHAR(822)),'_Supporto Listone'!B469)</x:f>
        <x:v>Yeboah J.</x:v>
      </x:c>
      <x:c r="C469" s="449" t="str">
        <x:f>IF($J469&lt;&gt;"",REGEXREPLACE(TO_TEXT('_Supporto Listone'!C469),"(.)","$1"&amp;UNICHAR(822)),'_Supporto Listone'!C469)</x:f>
        <x:v>Venezia</x:v>
      </x:c>
      <x:c r="D469" s="449" t="str">
        <x:f>IF($J469&lt;&gt;"",REGEXREPLACE(TO_TEXT('_Supporto Listone'!D469),"(.)","$1"&amp;UNICHAR(822)),'_Supporto Listone'!D469)</x:f>
        <x:v>A</x:v>
      </x:c>
      <x:c r="E469" s="449" t="str">
        <x:f>IF($J469&lt;&gt;"",REGEXREPLACE(TO_TEXT('_Supporto Listone'!E469),"(.)","$1"&amp;UNICHAR(822)),'_Supporto Listone'!E469)</x:f>
        <x:v>Titolare</x:v>
      </x:c>
      <x:c r="F469" s="466" t="n">
        <x:f>IF($J469&lt;&gt;"",REGEXREPLACE(TO_TEXT('_Supporto Listone'!F469),"(.)","$1"&amp;UNICHAR(822)),'_Supporto Listone'!F469)</x:f>
        <x:v>8</x:v>
      </x:c>
      <x:c r="G469" s="466" t="n">
        <x:f>IF($J469&lt;&gt;"",REGEXREPLACE(TO_TEXT('_Supporto Listone'!G469),"(.)","$1"&amp;UNICHAR(822)),'_Supporto Listone'!G469)</x:f>
        <x:v>28</x:v>
      </x:c>
      <x:c r="H469" s="466" t="n">
        <x:f>IF($J469&lt;&gt;"",REGEXREPLACE(TO_TEXT('_Supporto Listone'!H469),"(.)","$1"&amp;UNICHAR(822)),'_Supporto Listone'!H469)</x:f>
        <x:v>14</x:v>
      </x:c>
      <x:c r="I469" s="450" t="str">
        <x:f>IF($J469&lt;&gt;"",REGEXREPLACE(TO_TEXT('_Supporto Listone'!I469),"(.)","$1"&amp;UNICHAR(822)),'_Supporto Listone'!I469)</x:f>
        <x:v>Piazzati</x:v>
      </x:c>
      <x:c r="J469" s="449" t="str">
        <x:f>IF(COUNTIF(Asta!$B$4:$B$47,'_Supporto Listone'!B469)&gt;0,"Simone",IF(COUNTIF(Asta!$D$4:$D$47,'_Supporto Listone'!B469)&gt;0,"Giacomo",IF(COUNTIF(Asta!$F$4:$F$47,'_Supporto Listone'!B469)&gt;0,"Niko",IF(COUNTIF(Asta!$H$4:$H$47,'_Supporto Listone'!B469)&gt;0,"Quici",IF(COUNTIF(Asta!$J$4:$J$47,'_Supporto Listone'!B469)&gt;0,"Fratello Quici",IF(COUNTIF(Asta!$L$4:$L$47,'_Supporto Listone'!B469)&gt;0,"Nicolò",IF(COUNTIF(Asta!$N$4:$N$47,'_Supporto Listone'!B469)&gt;0,"Vi",IF(COUNTIF(Asta!$P$4:$P$47,'_Supporto Listone'!B469)&gt;0,"Lore",IF(COUNTIF(Asta!$R$4:$R$47,'_Supporto Listone'!B469)&gt;0,"Robbo",IF(COUNTIF(Asta!$T$4:$T$47,'_Supporto Listone'!B469)&gt;0,"Ale",""))))))))))</x:f>
      </x:c>
      <x:c r="K469" s="497" t="str">
        <x:f>IF(COUNTIF(Asta!$B$4:$B$47,'_Supporto Listone'!B469)&gt;0,INDEX(Asta!$C$4:$C$47,MATCH('_Supporto Listone'!B469,Asta!$B$4:$B$47,0)),IF(COUNTIF(Asta!$D$4:$D$47,'_Supporto Listone'!B469)&gt;0,INDEX(Asta!$E$4:$E$47,MATCH('_Supporto Listone'!B469,Asta!$D$4:$D$47,0)),IF(COUNTIF(Asta!$F$4:$F$47,'_Supporto Listone'!B469)&gt;0,INDEX(Asta!$G$4:$G$47,MATCH('_Supporto Listone'!B469,Asta!$F$4:$F$47,0)),IF(COUNTIF(Asta!$H$4:$H$47,'_Supporto Listone'!B469)&gt;0,INDEX(Asta!$I$4:$I$47,MATCH('_Supporto Listone'!B469,Asta!$H$4:$H$47,0)),IF(COUNTIF(Asta!$J$4:$J$47,'_Supporto Listone'!B469)&gt;0,INDEX(Asta!$K$4:$K$47,MATCH('_Supporto Listone'!B469,Asta!$J$4:$J$47,0)),IF(COUNTIF(Asta!$L$4:$L$47,'_Supporto Listone'!B469)&gt;0,INDEX(Asta!$M$4:$M$47,MATCH('_Supporto Listone'!B469,Asta!$L$4:$L$47,0)),IF(COUNTIF(Asta!$N$4:$N$47,'_Supporto Listone'!B469)&gt;0,INDEX(Asta!$O$4:$O$47,MATCH('_Supporto Listone'!B469,Asta!$N$4:$N$47,0)),IF(COUNTIF(Asta!$P$4:$P$47,'_Supporto Listone'!B469)&gt;0,INDEX(Asta!$Q$4:$Q$47,MATCH('_Supporto Listone'!B469,Asta!$P$4:$P$47,0)),IF(COUNTIF(Asta!$R$4:$R$47,'_Supporto Listone'!B469)&gt;0,INDEX(Asta!$S$4:$S$47,MATCH('_Supporto Listone'!B469,Asta!$R$4:$R$47,0)),IF(COUNTIF(Asta!$T$4:$T$47,'_Supporto Listone'!B469)&gt;0,INDEX(Asta!$U$4:$U$47,MATCH('_Supporto Listone'!B469,Asta!$T$4:$T$47,0)),""))))))))))</x:f>
      </x:c>
    </x:row>
    <x:row r="470">
      <x:c r="A470" s="448" t="str">
        <x:f>IF($J470&lt;&gt;"",REGEXREPLACE(TO_TEXT('_Supporto Listone'!A470),"(.)","$1"&amp;UNICHAR(822)),'_Supporto Listone'!A470)</x:f>
        <x:v>A</x:v>
      </x:c>
      <x:c r="B470" s="449" t="str">
        <x:f>IF($J470&lt;&gt;"",REGEXREPLACE(TO_TEXT('_Supporto Listone'!B470),"(.)","$1"&amp;UNICHAR(822)),'_Supporto Listone'!B470)</x:f>
        <x:v>Raimondo</x:v>
      </x:c>
      <x:c r="C470" s="449" t="str">
        <x:f>IF($J470&lt;&gt;"",REGEXREPLACE(TO_TEXT('_Supporto Listone'!C470),"(.)","$1"&amp;UNICHAR(822)),'_Supporto Listone'!C470)</x:f>
        <x:v>Frosinone</x:v>
      </x:c>
      <x:c r="D470" s="449" t="str">
        <x:f>IF($J470&lt;&gt;"",REGEXREPLACE(TO_TEXT('_Supporto Listone'!D470),"(.)","$1"&amp;UNICHAR(822)),'_Supporto Listone'!D470)</x:f>
        <x:v>Pc</x:v>
      </x:c>
      <x:c r="E470" s="449" t="str">
        <x:f>IF($J470&lt;&gt;"",REGEXREPLACE(TO_TEXT('_Supporto Listone'!E470),"(.)","$1"&amp;UNICHAR(822)),'_Supporto Listone'!E470)</x:f>
        <x:v>Titolare / ballottaggio</x:v>
      </x:c>
      <x:c r="F470" s="466" t="n">
        <x:f>IF($J470&lt;&gt;"",REGEXREPLACE(TO_TEXT('_Supporto Listone'!F470),"(.)","$1"&amp;UNICHAR(822)),'_Supporto Listone'!F470)</x:f>
        <x:v>7</x:v>
      </x:c>
      <x:c r="G470" s="466" t="n">
        <x:f>IF($J470&lt;&gt;"",REGEXREPLACE(TO_TEXT('_Supporto Listone'!G470),"(.)","$1"&amp;UNICHAR(822)),'_Supporto Listone'!G470)</x:f>
        <x:v>24</x:v>
      </x:c>
      <x:c r="H470" s="466" t="n">
        <x:f>IF($J470&lt;&gt;"",REGEXREPLACE(TO_TEXT('_Supporto Listone'!H470),"(.)","$1"&amp;UNICHAR(822)),'_Supporto Listone'!H470)</x:f>
        <x:v>12</x:v>
      </x:c>
      <x:c r="I470" s="450"/>
      <x:c r="J470" s="449" t="str">
        <x:f>IF(COUNTIF(Asta!$B$4:$B$47,'_Supporto Listone'!B470)&gt;0,"Simone",IF(COUNTIF(Asta!$D$4:$D$47,'_Supporto Listone'!B470)&gt;0,"Giacomo",IF(COUNTIF(Asta!$F$4:$F$47,'_Supporto Listone'!B470)&gt;0,"Niko",IF(COUNTIF(Asta!$H$4:$H$47,'_Supporto Listone'!B470)&gt;0,"Quici",IF(COUNTIF(Asta!$J$4:$J$47,'_Supporto Listone'!B470)&gt;0,"Fratello Quici",IF(COUNTIF(Asta!$L$4:$L$47,'_Supporto Listone'!B470)&gt;0,"Nicolò",IF(COUNTIF(Asta!$N$4:$N$47,'_Supporto Listone'!B470)&gt;0,"Vi",IF(COUNTIF(Asta!$P$4:$P$47,'_Supporto Listone'!B470)&gt;0,"Lore",IF(COUNTIF(Asta!$R$4:$R$47,'_Supporto Listone'!B470)&gt;0,"Robbo",IF(COUNTIF(Asta!$T$4:$T$47,'_Supporto Listone'!B470)&gt;0,"Ale",""))))))))))</x:f>
      </x:c>
      <x:c r="K470" s="497" t="str">
        <x:f>IF(COUNTIF(Asta!$B$4:$B$47,'_Supporto Listone'!B470)&gt;0,INDEX(Asta!$C$4:$C$47,MATCH('_Supporto Listone'!B470,Asta!$B$4:$B$47,0)),IF(COUNTIF(Asta!$D$4:$D$47,'_Supporto Listone'!B470)&gt;0,INDEX(Asta!$E$4:$E$47,MATCH('_Supporto Listone'!B470,Asta!$D$4:$D$47,0)),IF(COUNTIF(Asta!$F$4:$F$47,'_Supporto Listone'!B470)&gt;0,INDEX(Asta!$G$4:$G$47,MATCH('_Supporto Listone'!B470,Asta!$F$4:$F$47,0)),IF(COUNTIF(Asta!$H$4:$H$47,'_Supporto Listone'!B470)&gt;0,INDEX(Asta!$I$4:$I$47,MATCH('_Supporto Listone'!B470,Asta!$H$4:$H$47,0)),IF(COUNTIF(Asta!$J$4:$J$47,'_Supporto Listone'!B470)&gt;0,INDEX(Asta!$K$4:$K$47,MATCH('_Supporto Listone'!B470,Asta!$J$4:$J$47,0)),IF(COUNTIF(Asta!$L$4:$L$47,'_Supporto Listone'!B470)&gt;0,INDEX(Asta!$M$4:$M$47,MATCH('_Supporto Listone'!B470,Asta!$L$4:$L$47,0)),IF(COUNTIF(Asta!$N$4:$N$47,'_Supporto Listone'!B470)&gt;0,INDEX(Asta!$O$4:$O$47,MATCH('_Supporto Listone'!B470,Asta!$N$4:$N$47,0)),IF(COUNTIF(Asta!$P$4:$P$47,'_Supporto Listone'!B470)&gt;0,INDEX(Asta!$Q$4:$Q$47,MATCH('_Supporto Listone'!B470,Asta!$P$4:$P$47,0)),IF(COUNTIF(Asta!$R$4:$R$47,'_Supporto Listone'!B470)&gt;0,INDEX(Asta!$S$4:$S$47,MATCH('_Supporto Listone'!B470,Asta!$R$4:$R$47,0)),IF(COUNTIF(Asta!$T$4:$T$47,'_Supporto Listone'!B470)&gt;0,INDEX(Asta!$U$4:$U$47,MATCH('_Supporto Listone'!B470,Asta!$T$4:$T$47,0)),""))))))))))</x:f>
      </x:c>
    </x:row>
    <x:row r="471">
      <x:c r="A471" s="448" t="str">
        <x:f>IF($J471&lt;&gt;"",REGEXREPLACE(TO_TEXT('_Supporto Listone'!A471),"(.)","$1"&amp;UNICHAR(822)),'_Supporto Listone'!A471)</x:f>
        <x:v>A</x:v>
      </x:c>
      <x:c r="B471" s="449" t="str">
        <x:f>IF($J471&lt;&gt;"",REGEXREPLACE(TO_TEXT('_Supporto Listone'!B471),"(.)","$1"&amp;UNICHAR(822)),'_Supporto Listone'!B471)</x:f>
        <x:v>Bonny</x:v>
      </x:c>
      <x:c r="C471" s="449" t="str">
        <x:f>IF($J471&lt;&gt;"",REGEXREPLACE(TO_TEXT('_Supporto Listone'!C471),"(.)","$1"&amp;UNICHAR(822)),'_Supporto Listone'!C471)</x:f>
        <x:v>Inter</x:v>
      </x:c>
      <x:c r="D471" s="449" t="str">
        <x:f>IF($J471&lt;&gt;"",REGEXREPLACE(TO_TEXT('_Supporto Listone'!D471),"(.)","$1"&amp;UNICHAR(822)),'_Supporto Listone'!D471)</x:f>
        <x:v>Pc</x:v>
      </x:c>
      <x:c r="E471" s="449" t="str">
        <x:f>IF($J471&lt;&gt;"",REGEXREPLACE(TO_TEXT('_Supporto Listone'!E471),"(.)","$1"&amp;UNICHAR(822)),'_Supporto Listone'!E471)</x:f>
        <x:v>Riserva / rotazione</x:v>
      </x:c>
      <x:c r="F471" s="466" t="n">
        <x:f>IF($J471&lt;&gt;"",REGEXREPLACE(TO_TEXT('_Supporto Listone'!F471),"(.)","$1"&amp;UNICHAR(822)),'_Supporto Listone'!F471)</x:f>
        <x:v>7</x:v>
      </x:c>
      <x:c r="G471" s="466" t="n">
        <x:f>IF($J471&lt;&gt;"",REGEXREPLACE(TO_TEXT('_Supporto Listone'!G471),"(.)","$1"&amp;UNICHAR(822)),'_Supporto Listone'!G471)</x:f>
        <x:v>21</x:v>
      </x:c>
      <x:c r="H471" s="466" t="n">
        <x:f>IF($J471&lt;&gt;"",REGEXREPLACE(TO_TEXT('_Supporto Listone'!H471),"(.)","$1"&amp;UNICHAR(822)),'_Supporto Listone'!H471)</x:f>
        <x:v>11</x:v>
      </x:c>
      <x:c r="I471" s="450"/>
      <x:c r="J471" s="449" t="str">
        <x:f>IF(COUNTIF(Asta!$B$4:$B$47,'_Supporto Listone'!B471)&gt;0,"Simone",IF(COUNTIF(Asta!$D$4:$D$47,'_Supporto Listone'!B471)&gt;0,"Giacomo",IF(COUNTIF(Asta!$F$4:$F$47,'_Supporto Listone'!B471)&gt;0,"Niko",IF(COUNTIF(Asta!$H$4:$H$47,'_Supporto Listone'!B471)&gt;0,"Quici",IF(COUNTIF(Asta!$J$4:$J$47,'_Supporto Listone'!B471)&gt;0,"Fratello Quici",IF(COUNTIF(Asta!$L$4:$L$47,'_Supporto Listone'!B471)&gt;0,"Nicolò",IF(COUNTIF(Asta!$N$4:$N$47,'_Supporto Listone'!B471)&gt;0,"Vi",IF(COUNTIF(Asta!$P$4:$P$47,'_Supporto Listone'!B471)&gt;0,"Lore",IF(COUNTIF(Asta!$R$4:$R$47,'_Supporto Listone'!B471)&gt;0,"Robbo",IF(COUNTIF(Asta!$T$4:$T$47,'_Supporto Listone'!B471)&gt;0,"Ale",""))))))))))</x:f>
      </x:c>
      <x:c r="K471" s="497" t="str">
        <x:f>IF(COUNTIF(Asta!$B$4:$B$47,'_Supporto Listone'!B471)&gt;0,INDEX(Asta!$C$4:$C$47,MATCH('_Supporto Listone'!B471,Asta!$B$4:$B$47,0)),IF(COUNTIF(Asta!$D$4:$D$47,'_Supporto Listone'!B471)&gt;0,INDEX(Asta!$E$4:$E$47,MATCH('_Supporto Listone'!B471,Asta!$D$4:$D$47,0)),IF(COUNTIF(Asta!$F$4:$F$47,'_Supporto Listone'!B471)&gt;0,INDEX(Asta!$G$4:$G$47,MATCH('_Supporto Listone'!B471,Asta!$F$4:$F$47,0)),IF(COUNTIF(Asta!$H$4:$H$47,'_Supporto Listone'!B471)&gt;0,INDEX(Asta!$I$4:$I$47,MATCH('_Supporto Listone'!B471,Asta!$H$4:$H$47,0)),IF(COUNTIF(Asta!$J$4:$J$47,'_Supporto Listone'!B471)&gt;0,INDEX(Asta!$K$4:$K$47,MATCH('_Supporto Listone'!B471,Asta!$J$4:$J$47,0)),IF(COUNTIF(Asta!$L$4:$L$47,'_Supporto Listone'!B471)&gt;0,INDEX(Asta!$M$4:$M$47,MATCH('_Supporto Listone'!B471,Asta!$L$4:$L$47,0)),IF(COUNTIF(Asta!$N$4:$N$47,'_Supporto Listone'!B471)&gt;0,INDEX(Asta!$O$4:$O$47,MATCH('_Supporto Listone'!B471,Asta!$N$4:$N$47,0)),IF(COUNTIF(Asta!$P$4:$P$47,'_Supporto Listone'!B471)&gt;0,INDEX(Asta!$Q$4:$Q$47,MATCH('_Supporto Listone'!B471,Asta!$P$4:$P$47,0)),IF(COUNTIF(Asta!$R$4:$R$47,'_Supporto Listone'!B471)&gt;0,INDEX(Asta!$S$4:$S$47,MATCH('_Supporto Listone'!B471,Asta!$R$4:$R$47,0)),IF(COUNTIF(Asta!$T$4:$T$47,'_Supporto Listone'!B471)&gt;0,INDEX(Asta!$U$4:$U$47,MATCH('_Supporto Listone'!B471,Asta!$T$4:$T$47,0)),""))))))))))</x:f>
      </x:c>
    </x:row>
    <x:row r="472">
      <x:c r="A472" s="448" t="str">
        <x:f>IF($J472&lt;&gt;"",REGEXREPLACE(TO_TEXT('_Supporto Listone'!A472),"(.)","$1"&amp;UNICHAR(822)),'_Supporto Listone'!A472)</x:f>
        <x:v>A</x:v>
      </x:c>
      <x:c r="B472" s="449" t="str">
        <x:f>IF($J472&lt;&gt;"",REGEXREPLACE(TO_TEXT('_Supporto Listone'!B472),"(.)","$1"&amp;UNICHAR(822)),'_Supporto Listone'!B472)</x:f>
        <x:v>Stulic</x:v>
      </x:c>
      <x:c r="C472" s="449" t="str">
        <x:f>IF($J472&lt;&gt;"",REGEXREPLACE(TO_TEXT('_Supporto Listone'!C472),"(.)","$1"&amp;UNICHAR(822)),'_Supporto Listone'!C472)</x:f>
        <x:v>Lecce</x:v>
      </x:c>
      <x:c r="D472" s="449" t="str">
        <x:f>IF($J472&lt;&gt;"",REGEXREPLACE(TO_TEXT('_Supporto Listone'!D472),"(.)","$1"&amp;UNICHAR(822)),'_Supporto Listone'!D472)</x:f>
        <x:v>Pc</x:v>
      </x:c>
      <x:c r="E472" s="449" t="str">
        <x:f>IF($J472&lt;&gt;"",REGEXREPLACE(TO_TEXT('_Supporto Listone'!E472),"(.)","$1"&amp;UNICHAR(822)),'_Supporto Listone'!E472)</x:f>
        <x:v>Ballottaggio</x:v>
      </x:c>
      <x:c r="F472" s="466" t="n">
        <x:f>IF($J472&lt;&gt;"",REGEXREPLACE(TO_TEXT('_Supporto Listone'!F472),"(.)","$1"&amp;UNICHAR(822)),'_Supporto Listone'!F472)</x:f>
        <x:v>7</x:v>
      </x:c>
      <x:c r="G472" s="466" t="n">
        <x:f>IF($J472&lt;&gt;"",REGEXREPLACE(TO_TEXT('_Supporto Listone'!G472),"(.)","$1"&amp;UNICHAR(822)),'_Supporto Listone'!G472)</x:f>
        <x:v>18</x:v>
      </x:c>
      <x:c r="H472" s="466" t="n">
        <x:f>IF($J472&lt;&gt;"",REGEXREPLACE(TO_TEXT('_Supporto Listone'!H472),"(.)","$1"&amp;UNICHAR(822)),'_Supporto Listone'!H472)</x:f>
        <x:v>9</x:v>
      </x:c>
      <x:c r="I472" s="450" t="str">
        <x:f>IF($J472&lt;&gt;"",REGEXREPLACE(TO_TEXT('_Supporto Listone'!I472),"(.)","$1"&amp;UNICHAR(822)),'_Supporto Listone'!I472)</x:f>
        <x:v>Rigorista</x:v>
      </x:c>
      <x:c r="J472" s="449" t="str">
        <x:f>IF(COUNTIF(Asta!$B$4:$B$47,'_Supporto Listone'!B472)&gt;0,"Simone",IF(COUNTIF(Asta!$D$4:$D$47,'_Supporto Listone'!B472)&gt;0,"Giacomo",IF(COUNTIF(Asta!$F$4:$F$47,'_Supporto Listone'!B472)&gt;0,"Niko",IF(COUNTIF(Asta!$H$4:$H$47,'_Supporto Listone'!B472)&gt;0,"Quici",IF(COUNTIF(Asta!$J$4:$J$47,'_Supporto Listone'!B472)&gt;0,"Fratello Quici",IF(COUNTIF(Asta!$L$4:$L$47,'_Supporto Listone'!B472)&gt;0,"Nicolò",IF(COUNTIF(Asta!$N$4:$N$47,'_Supporto Listone'!B472)&gt;0,"Vi",IF(COUNTIF(Asta!$P$4:$P$47,'_Supporto Listone'!B472)&gt;0,"Lore",IF(COUNTIF(Asta!$R$4:$R$47,'_Supporto Listone'!B472)&gt;0,"Robbo",IF(COUNTIF(Asta!$T$4:$T$47,'_Supporto Listone'!B472)&gt;0,"Ale",""))))))))))</x:f>
      </x:c>
      <x:c r="K472" s="497" t="str">
        <x:f>IF(COUNTIF(Asta!$B$4:$B$47,'_Supporto Listone'!B472)&gt;0,INDEX(Asta!$C$4:$C$47,MATCH('_Supporto Listone'!B472,Asta!$B$4:$B$47,0)),IF(COUNTIF(Asta!$D$4:$D$47,'_Supporto Listone'!B472)&gt;0,INDEX(Asta!$E$4:$E$47,MATCH('_Supporto Listone'!B472,Asta!$D$4:$D$47,0)),IF(COUNTIF(Asta!$F$4:$F$47,'_Supporto Listone'!B472)&gt;0,INDEX(Asta!$G$4:$G$47,MATCH('_Supporto Listone'!B472,Asta!$F$4:$F$47,0)),IF(COUNTIF(Asta!$H$4:$H$47,'_Supporto Listone'!B472)&gt;0,INDEX(Asta!$I$4:$I$47,MATCH('_Supporto Listone'!B472,Asta!$H$4:$H$47,0)),IF(COUNTIF(Asta!$J$4:$J$47,'_Supporto Listone'!B472)&gt;0,INDEX(Asta!$K$4:$K$47,MATCH('_Supporto Listone'!B472,Asta!$J$4:$J$47,0)),IF(COUNTIF(Asta!$L$4:$L$47,'_Supporto Listone'!B472)&gt;0,INDEX(Asta!$M$4:$M$47,MATCH('_Supporto Listone'!B472,Asta!$L$4:$L$47,0)),IF(COUNTIF(Asta!$N$4:$N$47,'_Supporto Listone'!B472)&gt;0,INDEX(Asta!$O$4:$O$47,MATCH('_Supporto Listone'!B472,Asta!$N$4:$N$47,0)),IF(COUNTIF(Asta!$P$4:$P$47,'_Supporto Listone'!B472)&gt;0,INDEX(Asta!$Q$4:$Q$47,MATCH('_Supporto Listone'!B472,Asta!$P$4:$P$47,0)),IF(COUNTIF(Asta!$R$4:$R$47,'_Supporto Listone'!B472)&gt;0,INDEX(Asta!$S$4:$S$47,MATCH('_Supporto Listone'!B472,Asta!$R$4:$R$47,0)),IF(COUNTIF(Asta!$T$4:$T$47,'_Supporto Listone'!B472)&gt;0,INDEX(Asta!$U$4:$U$47,MATCH('_Supporto Listone'!B472,Asta!$T$4:$T$47,0)),""))))))))))</x:f>
      </x:c>
    </x:row>
    <x:row r="473">
      <x:c r="A473" s="448" t="str">
        <x:f>IF($J473&lt;&gt;"",REGEXREPLACE(TO_TEXT('_Supporto Listone'!A473),"(.)","$1"&amp;UNICHAR(822)),'_Supporto Listone'!A473)</x:f>
        <x:v>A</x:v>
      </x:c>
      <x:c r="B473" s="449" t="str">
        <x:f>IF($J473&lt;&gt;"",REGEXREPLACE(TO_TEXT('_Supporto Listone'!B473),"(.)","$1"&amp;UNICHAR(822)),'_Supporto Listone'!B473)</x:f>
        <x:v>Zapata D.</x:v>
      </x:c>
      <x:c r="C473" s="449" t="str">
        <x:f>IF($J473&lt;&gt;"",REGEXREPLACE(TO_TEXT('_Supporto Listone'!C473),"(.)","$1"&amp;UNICHAR(822)),'_Supporto Listone'!C473)</x:f>
        <x:v>Torino</x:v>
      </x:c>
      <x:c r="D473" s="449" t="str">
        <x:f>IF($J473&lt;&gt;"",REGEXREPLACE(TO_TEXT('_Supporto Listone'!D473),"(.)","$1"&amp;UNICHAR(822)),'_Supporto Listone'!D473)</x:f>
        <x:v>Pc</x:v>
      </x:c>
      <x:c r="E473" s="449" t="str">
        <x:f>IF($J473&lt;&gt;"",REGEXREPLACE(TO_TEXT('_Supporto Listone'!E473),"(.)","$1"&amp;UNICHAR(822)),'_Supporto Listone'!E473)</x:f>
        <x:v>Riserva / rotazione</x:v>
      </x:c>
      <x:c r="F473" s="466" t="n">
        <x:f>IF($J473&lt;&gt;"",REGEXREPLACE(TO_TEXT('_Supporto Listone'!F473),"(.)","$1"&amp;UNICHAR(822)),'_Supporto Listone'!F473)</x:f>
        <x:v>7</x:v>
      </x:c>
      <x:c r="G473" s="466" t="n">
        <x:f>IF($J473&lt;&gt;"",REGEXREPLACE(TO_TEXT('_Supporto Listone'!G473),"(.)","$1"&amp;UNICHAR(822)),'_Supporto Listone'!G473)</x:f>
        <x:v>18</x:v>
      </x:c>
      <x:c r="H473" s="466" t="n">
        <x:f>IF($J473&lt;&gt;"",REGEXREPLACE(TO_TEXT('_Supporto Listone'!H473),"(.)","$1"&amp;UNICHAR(822)),'_Supporto Listone'!H473)</x:f>
        <x:v>9</x:v>
      </x:c>
      <x:c r="I473" s="450"/>
      <x:c r="J473" s="449" t="str">
        <x:f>IF(COUNTIF(Asta!$B$4:$B$47,'_Supporto Listone'!B473)&gt;0,"Simone",IF(COUNTIF(Asta!$D$4:$D$47,'_Supporto Listone'!B473)&gt;0,"Giacomo",IF(COUNTIF(Asta!$F$4:$F$47,'_Supporto Listone'!B473)&gt;0,"Niko",IF(COUNTIF(Asta!$H$4:$H$47,'_Supporto Listone'!B473)&gt;0,"Quici",IF(COUNTIF(Asta!$J$4:$J$47,'_Supporto Listone'!B473)&gt;0,"Fratello Quici",IF(COUNTIF(Asta!$L$4:$L$47,'_Supporto Listone'!B473)&gt;0,"Nicolò",IF(COUNTIF(Asta!$N$4:$N$47,'_Supporto Listone'!B473)&gt;0,"Vi",IF(COUNTIF(Asta!$P$4:$P$47,'_Supporto Listone'!B473)&gt;0,"Lore",IF(COUNTIF(Asta!$R$4:$R$47,'_Supporto Listone'!B473)&gt;0,"Robbo",IF(COUNTIF(Asta!$T$4:$T$47,'_Supporto Listone'!B473)&gt;0,"Ale",""))))))))))</x:f>
      </x:c>
      <x:c r="K473" s="497" t="str">
        <x:f>IF(COUNTIF(Asta!$B$4:$B$47,'_Supporto Listone'!B473)&gt;0,INDEX(Asta!$C$4:$C$47,MATCH('_Supporto Listone'!B473,Asta!$B$4:$B$47,0)),IF(COUNTIF(Asta!$D$4:$D$47,'_Supporto Listone'!B473)&gt;0,INDEX(Asta!$E$4:$E$47,MATCH('_Supporto Listone'!B473,Asta!$D$4:$D$47,0)),IF(COUNTIF(Asta!$F$4:$F$47,'_Supporto Listone'!B473)&gt;0,INDEX(Asta!$G$4:$G$47,MATCH('_Supporto Listone'!B473,Asta!$F$4:$F$47,0)),IF(COUNTIF(Asta!$H$4:$H$47,'_Supporto Listone'!B473)&gt;0,INDEX(Asta!$I$4:$I$47,MATCH('_Supporto Listone'!B473,Asta!$H$4:$H$47,0)),IF(COUNTIF(Asta!$J$4:$J$47,'_Supporto Listone'!B473)&gt;0,INDEX(Asta!$K$4:$K$47,MATCH('_Supporto Listone'!B473,Asta!$J$4:$J$47,0)),IF(COUNTIF(Asta!$L$4:$L$47,'_Supporto Listone'!B473)&gt;0,INDEX(Asta!$M$4:$M$47,MATCH('_Supporto Listone'!B473,Asta!$L$4:$L$47,0)),IF(COUNTIF(Asta!$N$4:$N$47,'_Supporto Listone'!B473)&gt;0,INDEX(Asta!$O$4:$O$47,MATCH('_Supporto Listone'!B473,Asta!$N$4:$N$47,0)),IF(COUNTIF(Asta!$P$4:$P$47,'_Supporto Listone'!B473)&gt;0,INDEX(Asta!$Q$4:$Q$47,MATCH('_Supporto Listone'!B473,Asta!$P$4:$P$47,0)),IF(COUNTIF(Asta!$R$4:$R$47,'_Supporto Listone'!B473)&gt;0,INDEX(Asta!$S$4:$S$47,MATCH('_Supporto Listone'!B473,Asta!$R$4:$R$47,0)),IF(COUNTIF(Asta!$T$4:$T$47,'_Supporto Listone'!B473)&gt;0,INDEX(Asta!$U$4:$U$47,MATCH('_Supporto Listone'!B473,Asta!$T$4:$T$47,0)),""))))))))))</x:f>
      </x:c>
    </x:row>
    <x:row r="474">
      <x:c r="A474" s="448" t="str">
        <x:f>IF($J474&lt;&gt;"",REGEXREPLACE(TO_TEXT('_Supporto Listone'!A474),"(.)","$1"&amp;UNICHAR(822)),'_Supporto Listone'!A474)</x:f>
        <x:v>A</x:v>
      </x:c>
      <x:c r="B474" s="449" t="str">
        <x:f>IF($J474&lt;&gt;"",REGEXREPLACE(TO_TEXT('_Supporto Listone'!B474),"(.)","$1"&amp;UNICHAR(822)),'_Supporto Listone'!B474)</x:f>
        <x:v>Sulemana K.</x:v>
      </x:c>
      <x:c r="C474" s="449" t="str">
        <x:f>IF($J474&lt;&gt;"",REGEXREPLACE(TO_TEXT('_Supporto Listone'!C474),"(.)","$1"&amp;UNICHAR(822)),'_Supporto Listone'!C474)</x:f>
        <x:v>Atalanta</x:v>
      </x:c>
      <x:c r="D474" s="449" t="str">
        <x:f>IF($J474&lt;&gt;"",REGEXREPLACE(TO_TEXT('_Supporto Listone'!D474),"(.)","$1"&amp;UNICHAR(822)),'_Supporto Listone'!D474)</x:f>
        <x:v>A</x:v>
      </x:c>
      <x:c r="E474" s="449" t="str">
        <x:f>IF($J474&lt;&gt;"",REGEXREPLACE(TO_TEXT('_Supporto Listone'!E474),"(.)","$1"&amp;UNICHAR(822)),'_Supporto Listone'!E474)</x:f>
        <x:v>Riserva / rotazione</x:v>
      </x:c>
      <x:c r="F474" s="466" t="n">
        <x:f>IF($J474&lt;&gt;"",REGEXREPLACE(TO_TEXT('_Supporto Listone'!F474),"(.)","$1"&amp;UNICHAR(822)),'_Supporto Listone'!F474)</x:f>
        <x:v>6</x:v>
      </x:c>
      <x:c r="G474" s="466" t="n">
        <x:f>IF($J474&lt;&gt;"",REGEXREPLACE(TO_TEXT('_Supporto Listone'!G474),"(.)","$1"&amp;UNICHAR(822)),'_Supporto Listone'!G474)</x:f>
        <x:v>16</x:v>
      </x:c>
      <x:c r="H474" s="466" t="n">
        <x:f>IF($J474&lt;&gt;"",REGEXREPLACE(TO_TEXT('_Supporto Listone'!H474),"(.)","$1"&amp;UNICHAR(822)),'_Supporto Listone'!H474)</x:f>
        <x:v>8</x:v>
      </x:c>
      <x:c r="I474" s="450"/>
      <x:c r="J474" s="449" t="str">
        <x:f>IF(COUNTIF(Asta!$B$4:$B$47,'_Supporto Listone'!B474)&gt;0,"Simone",IF(COUNTIF(Asta!$D$4:$D$47,'_Supporto Listone'!B474)&gt;0,"Giacomo",IF(COUNTIF(Asta!$F$4:$F$47,'_Supporto Listone'!B474)&gt;0,"Niko",IF(COUNTIF(Asta!$H$4:$H$47,'_Supporto Listone'!B474)&gt;0,"Quici",IF(COUNTIF(Asta!$J$4:$J$47,'_Supporto Listone'!B474)&gt;0,"Fratello Quici",IF(COUNTIF(Asta!$L$4:$L$47,'_Supporto Listone'!B474)&gt;0,"Nicolò",IF(COUNTIF(Asta!$N$4:$N$47,'_Supporto Listone'!B474)&gt;0,"Vi",IF(COUNTIF(Asta!$P$4:$P$47,'_Supporto Listone'!B474)&gt;0,"Lore",IF(COUNTIF(Asta!$R$4:$R$47,'_Supporto Listone'!B474)&gt;0,"Robbo",IF(COUNTIF(Asta!$T$4:$T$47,'_Supporto Listone'!B474)&gt;0,"Ale",""))))))))))</x:f>
      </x:c>
      <x:c r="K474" s="497" t="str">
        <x:f>IF(COUNTIF(Asta!$B$4:$B$47,'_Supporto Listone'!B474)&gt;0,INDEX(Asta!$C$4:$C$47,MATCH('_Supporto Listone'!B474,Asta!$B$4:$B$47,0)),IF(COUNTIF(Asta!$D$4:$D$47,'_Supporto Listone'!B474)&gt;0,INDEX(Asta!$E$4:$E$47,MATCH('_Supporto Listone'!B474,Asta!$D$4:$D$47,0)),IF(COUNTIF(Asta!$F$4:$F$47,'_Supporto Listone'!B474)&gt;0,INDEX(Asta!$G$4:$G$47,MATCH('_Supporto Listone'!B474,Asta!$F$4:$F$47,0)),IF(COUNTIF(Asta!$H$4:$H$47,'_Supporto Listone'!B474)&gt;0,INDEX(Asta!$I$4:$I$47,MATCH('_Supporto Listone'!B474,Asta!$H$4:$H$47,0)),IF(COUNTIF(Asta!$J$4:$J$47,'_Supporto Listone'!B474)&gt;0,INDEX(Asta!$K$4:$K$47,MATCH('_Supporto Listone'!B474,Asta!$J$4:$J$47,0)),IF(COUNTIF(Asta!$L$4:$L$47,'_Supporto Listone'!B474)&gt;0,INDEX(Asta!$M$4:$M$47,MATCH('_Supporto Listone'!B474,Asta!$L$4:$L$47,0)),IF(COUNTIF(Asta!$N$4:$N$47,'_Supporto Listone'!B474)&gt;0,INDEX(Asta!$O$4:$O$47,MATCH('_Supporto Listone'!B474,Asta!$N$4:$N$47,0)),IF(COUNTIF(Asta!$P$4:$P$47,'_Supporto Listone'!B474)&gt;0,INDEX(Asta!$Q$4:$Q$47,MATCH('_Supporto Listone'!B474,Asta!$P$4:$P$47,0)),IF(COUNTIF(Asta!$R$4:$R$47,'_Supporto Listone'!B474)&gt;0,INDEX(Asta!$S$4:$S$47,MATCH('_Supporto Listone'!B474,Asta!$R$4:$R$47,0)),IF(COUNTIF(Asta!$T$4:$T$47,'_Supporto Listone'!B474)&gt;0,INDEX(Asta!$U$4:$U$47,MATCH('_Supporto Listone'!B474,Asta!$T$4:$T$47,0)),""))))))))))</x:f>
      </x:c>
    </x:row>
    <x:row r="475">
      <x:c r="A475" s="448" t="str">
        <x:f>IF($J475&lt;&gt;"",REGEXREPLACE(TO_TEXT('_Supporto Listone'!A475),"(.)","$1"&amp;UNICHAR(822)),'_Supporto Listone'!A475)</x:f>
        <x:v>A</x:v>
      </x:c>
      <x:c r="B475" s="449" t="str">
        <x:f>IF($J475&lt;&gt;"",REGEXREPLACE(TO_TEXT('_Supporto Listone'!B475),"(.)","$1"&amp;UNICHAR(822)),'_Supporto Listone'!B475)</x:f>
        <x:v>Mutandwa</x:v>
      </x:c>
      <x:c r="C475" s="449" t="str">
        <x:f>IF($J475&lt;&gt;"",REGEXREPLACE(TO_TEXT('_Supporto Listone'!C475),"(.)","$1"&amp;UNICHAR(822)),'_Supporto Listone'!C475)</x:f>
        <x:v>Cagliari</x:v>
      </x:c>
      <x:c r="D475" s="449" t="str">
        <x:f>IF($J475&lt;&gt;"",REGEXREPLACE(TO_TEXT('_Supporto Listone'!D475),"(.)","$1"&amp;UNICHAR(822)),'_Supporto Listone'!D475)</x:f>
        <x:v>Pc</x:v>
      </x:c>
      <x:c r="E475" s="449" t="str">
        <x:f>IF($J475&lt;&gt;"",REGEXREPLACE(TO_TEXT('_Supporto Listone'!E475),"(.)","$1"&amp;UNICHAR(822)),'_Supporto Listone'!E475)</x:f>
        <x:v>Riserva / rotazione</x:v>
      </x:c>
      <x:c r="F475" s="466" t="n">
        <x:f>IF($J475&lt;&gt;"",REGEXREPLACE(TO_TEXT('_Supporto Listone'!F475),"(.)","$1"&amp;UNICHAR(822)),'_Supporto Listone'!F475)</x:f>
        <x:v>6</x:v>
      </x:c>
      <x:c r="G475" s="466" t="n">
        <x:f>IF($J475&lt;&gt;"",REGEXREPLACE(TO_TEXT('_Supporto Listone'!G475),"(.)","$1"&amp;UNICHAR(822)),'_Supporto Listone'!G475)</x:f>
        <x:v>19</x:v>
      </x:c>
      <x:c r="H475" s="466" t="n">
        <x:f>IF($J475&lt;&gt;"",REGEXREPLACE(TO_TEXT('_Supporto Listone'!H475),"(.)","$1"&amp;UNICHAR(822)),'_Supporto Listone'!H475)</x:f>
        <x:v>10</x:v>
      </x:c>
      <x:c r="I475" s="450"/>
      <x:c r="J475" s="449" t="str">
        <x:f>IF(COUNTIF(Asta!$B$4:$B$47,'_Supporto Listone'!B475)&gt;0,"Simone",IF(COUNTIF(Asta!$D$4:$D$47,'_Supporto Listone'!B475)&gt;0,"Giacomo",IF(COUNTIF(Asta!$F$4:$F$47,'_Supporto Listone'!B475)&gt;0,"Niko",IF(COUNTIF(Asta!$H$4:$H$47,'_Supporto Listone'!B475)&gt;0,"Quici",IF(COUNTIF(Asta!$J$4:$J$47,'_Supporto Listone'!B475)&gt;0,"Fratello Quici",IF(COUNTIF(Asta!$L$4:$L$47,'_Supporto Listone'!B475)&gt;0,"Nicolò",IF(COUNTIF(Asta!$N$4:$N$47,'_Supporto Listone'!B475)&gt;0,"Vi",IF(COUNTIF(Asta!$P$4:$P$47,'_Supporto Listone'!B475)&gt;0,"Lore",IF(COUNTIF(Asta!$R$4:$R$47,'_Supporto Listone'!B475)&gt;0,"Robbo",IF(COUNTIF(Asta!$T$4:$T$47,'_Supporto Listone'!B475)&gt;0,"Ale",""))))))))))</x:f>
      </x:c>
      <x:c r="K475" s="497" t="str">
        <x:f>IF(COUNTIF(Asta!$B$4:$B$47,'_Supporto Listone'!B475)&gt;0,INDEX(Asta!$C$4:$C$47,MATCH('_Supporto Listone'!B475,Asta!$B$4:$B$47,0)),IF(COUNTIF(Asta!$D$4:$D$47,'_Supporto Listone'!B475)&gt;0,INDEX(Asta!$E$4:$E$47,MATCH('_Supporto Listone'!B475,Asta!$D$4:$D$47,0)),IF(COUNTIF(Asta!$F$4:$F$47,'_Supporto Listone'!B475)&gt;0,INDEX(Asta!$G$4:$G$47,MATCH('_Supporto Listone'!B475,Asta!$F$4:$F$47,0)),IF(COUNTIF(Asta!$H$4:$H$47,'_Supporto Listone'!B475)&gt;0,INDEX(Asta!$I$4:$I$47,MATCH('_Supporto Listone'!B475,Asta!$H$4:$H$47,0)),IF(COUNTIF(Asta!$J$4:$J$47,'_Supporto Listone'!B475)&gt;0,INDEX(Asta!$K$4:$K$47,MATCH('_Supporto Listone'!B475,Asta!$J$4:$J$47,0)),IF(COUNTIF(Asta!$L$4:$L$47,'_Supporto Listone'!B475)&gt;0,INDEX(Asta!$M$4:$M$47,MATCH('_Supporto Listone'!B475,Asta!$L$4:$L$47,0)),IF(COUNTIF(Asta!$N$4:$N$47,'_Supporto Listone'!B475)&gt;0,INDEX(Asta!$O$4:$O$47,MATCH('_Supporto Listone'!B475,Asta!$N$4:$N$47,0)),IF(COUNTIF(Asta!$P$4:$P$47,'_Supporto Listone'!B475)&gt;0,INDEX(Asta!$Q$4:$Q$47,MATCH('_Supporto Listone'!B475,Asta!$P$4:$P$47,0)),IF(COUNTIF(Asta!$R$4:$R$47,'_Supporto Listone'!B475)&gt;0,INDEX(Asta!$S$4:$S$47,MATCH('_Supporto Listone'!B475,Asta!$R$4:$R$47,0)),IF(COUNTIF(Asta!$T$4:$T$47,'_Supporto Listone'!B475)&gt;0,INDEX(Asta!$U$4:$U$47,MATCH('_Supporto Listone'!B475,Asta!$T$4:$T$47,0)),""))))))))))</x:f>
      </x:c>
    </x:row>
    <x:row r="476">
      <x:c r="A476" s="448" t="str">
        <x:f>IF($J476&lt;&gt;"",REGEXREPLACE(TO_TEXT('_Supporto Listone'!A476),"(.)","$1"&amp;UNICHAR(822)),'_Supporto Listone'!A476)</x:f>
        <x:v>A</x:v>
      </x:c>
      <x:c r="B476" s="449" t="str">
        <x:f>IF($J476&lt;&gt;"",REGEXREPLACE(TO_TEXT('_Supporto Listone'!B476),"(.)","$1"&amp;UNICHAR(822)),'_Supporto Listone'!B476)</x:f>
        <x:v>Boga</x:v>
      </x:c>
      <x:c r="C476" s="449" t="str">
        <x:f>IF($J476&lt;&gt;"",REGEXREPLACE(TO_TEXT('_Supporto Listone'!C476),"(.)","$1"&amp;UNICHAR(822)),'_Supporto Listone'!C476)</x:f>
        <x:v>Juventus</x:v>
      </x:c>
      <x:c r="D476" s="449" t="str">
        <x:f>IF($J476&lt;&gt;"",REGEXREPLACE(TO_TEXT('_Supporto Listone'!D476),"(.)","$1"&amp;UNICHAR(822)),'_Supporto Listone'!D476)</x:f>
        <x:v>W;A</x:v>
      </x:c>
      <x:c r="E476" s="449" t="str">
        <x:f>IF($J476&lt;&gt;"",REGEXREPLACE(TO_TEXT('_Supporto Listone'!E476),"(.)","$1"&amp;UNICHAR(822)),'_Supporto Listone'!E476)</x:f>
        <x:v>Riserva / rotazione</x:v>
      </x:c>
      <x:c r="F476" s="466" t="n">
        <x:f>IF($J476&lt;&gt;"",REGEXREPLACE(TO_TEXT('_Supporto Listone'!F476),"(.)","$1"&amp;UNICHAR(822)),'_Supporto Listone'!F476)</x:f>
        <x:v>6</x:v>
      </x:c>
      <x:c r="G476" s="466" t="n">
        <x:f>IF($J476&lt;&gt;"",REGEXREPLACE(TO_TEXT('_Supporto Listone'!G476),"(.)","$1"&amp;UNICHAR(822)),'_Supporto Listone'!G476)</x:f>
        <x:v>25</x:v>
      </x:c>
      <x:c r="H476" s="466" t="n">
        <x:f>IF($J476&lt;&gt;"",REGEXREPLACE(TO_TEXT('_Supporto Listone'!H476),"(.)","$1"&amp;UNICHAR(822)),'_Supporto Listone'!H476)</x:f>
        <x:v>13</x:v>
      </x:c>
      <x:c r="I476" s="450"/>
      <x:c r="J476" s="449" t="str">
        <x:f>IF(COUNTIF(Asta!$B$4:$B$47,'_Supporto Listone'!B476)&gt;0,"Simone",IF(COUNTIF(Asta!$D$4:$D$47,'_Supporto Listone'!B476)&gt;0,"Giacomo",IF(COUNTIF(Asta!$F$4:$F$47,'_Supporto Listone'!B476)&gt;0,"Niko",IF(COUNTIF(Asta!$H$4:$H$47,'_Supporto Listone'!B476)&gt;0,"Quici",IF(COUNTIF(Asta!$J$4:$J$47,'_Supporto Listone'!B476)&gt;0,"Fratello Quici",IF(COUNTIF(Asta!$L$4:$L$47,'_Supporto Listone'!B476)&gt;0,"Nicolò",IF(COUNTIF(Asta!$N$4:$N$47,'_Supporto Listone'!B476)&gt;0,"Vi",IF(COUNTIF(Asta!$P$4:$P$47,'_Supporto Listone'!B476)&gt;0,"Lore",IF(COUNTIF(Asta!$R$4:$R$47,'_Supporto Listone'!B476)&gt;0,"Robbo",IF(COUNTIF(Asta!$T$4:$T$47,'_Supporto Listone'!B476)&gt;0,"Ale",""))))))))))</x:f>
      </x:c>
      <x:c r="K476" s="497" t="str">
        <x:f>IF(COUNTIF(Asta!$B$4:$B$47,'_Supporto Listone'!B476)&gt;0,INDEX(Asta!$C$4:$C$47,MATCH('_Supporto Listone'!B476,Asta!$B$4:$B$47,0)),IF(COUNTIF(Asta!$D$4:$D$47,'_Supporto Listone'!B476)&gt;0,INDEX(Asta!$E$4:$E$47,MATCH('_Supporto Listone'!B476,Asta!$D$4:$D$47,0)),IF(COUNTIF(Asta!$F$4:$F$47,'_Supporto Listone'!B476)&gt;0,INDEX(Asta!$G$4:$G$47,MATCH('_Supporto Listone'!B476,Asta!$F$4:$F$47,0)),IF(COUNTIF(Asta!$H$4:$H$47,'_Supporto Listone'!B476)&gt;0,INDEX(Asta!$I$4:$I$47,MATCH('_Supporto Listone'!B476,Asta!$H$4:$H$47,0)),IF(COUNTIF(Asta!$J$4:$J$47,'_Supporto Listone'!B476)&gt;0,INDEX(Asta!$K$4:$K$47,MATCH('_Supporto Listone'!B476,Asta!$J$4:$J$47,0)),IF(COUNTIF(Asta!$L$4:$L$47,'_Supporto Listone'!B476)&gt;0,INDEX(Asta!$M$4:$M$47,MATCH('_Supporto Listone'!B476,Asta!$L$4:$L$47,0)),IF(COUNTIF(Asta!$N$4:$N$47,'_Supporto Listone'!B476)&gt;0,INDEX(Asta!$O$4:$O$47,MATCH('_Supporto Listone'!B476,Asta!$N$4:$N$47,0)),IF(COUNTIF(Asta!$P$4:$P$47,'_Supporto Listone'!B476)&gt;0,INDEX(Asta!$Q$4:$Q$47,MATCH('_Supporto Listone'!B476,Asta!$P$4:$P$47,0)),IF(COUNTIF(Asta!$R$4:$R$47,'_Supporto Listone'!B476)&gt;0,INDEX(Asta!$S$4:$S$47,MATCH('_Supporto Listone'!B476,Asta!$R$4:$R$47,0)),IF(COUNTIF(Asta!$T$4:$T$47,'_Supporto Listone'!B476)&gt;0,INDEX(Asta!$U$4:$U$47,MATCH('_Supporto Listone'!B476,Asta!$T$4:$T$47,0)),""))))))))))</x:f>
      </x:c>
    </x:row>
    <x:row r="477">
      <x:c r="A477" s="448" t="str">
        <x:f>IF($J477&lt;&gt;"",REGEXREPLACE(TO_TEXT('_Supporto Listone'!A477),"(.)","$1"&amp;UNICHAR(822)),'_Supporto Listone'!A477)</x:f>
        <x:v>A</x:v>
      </x:c>
      <x:c r="B477" s="449" t="str">
        <x:f>IF($J477&lt;&gt;"",REGEXREPLACE(TO_TEXT('_Supporto Listone'!B477),"(.)","$1"&amp;UNICHAR(822)),'_Supporto Listone'!B477)</x:f>
        <x:v>Noslin</x:v>
      </x:c>
      <x:c r="C477" s="449" t="str">
        <x:f>IF($J477&lt;&gt;"",REGEXREPLACE(TO_TEXT('_Supporto Listone'!C477),"(.)","$1"&amp;UNICHAR(822)),'_Supporto Listone'!C477)</x:f>
        <x:v>Lazio</x:v>
      </x:c>
      <x:c r="D477" s="449" t="str">
        <x:f>IF($J477&lt;&gt;"",REGEXREPLACE(TO_TEXT('_Supporto Listone'!D477),"(.)","$1"&amp;UNICHAR(822)),'_Supporto Listone'!D477)</x:f>
        <x:v>A</x:v>
      </x:c>
      <x:c r="E477" s="449" t="str">
        <x:f>IF($J477&lt;&gt;"",REGEXREPLACE(TO_TEXT('_Supporto Listone'!E477),"(.)","$1"&amp;UNICHAR(822)),'_Supporto Listone'!E477)</x:f>
        <x:v>Riserva / rotazione</x:v>
      </x:c>
      <x:c r="F477" s="466" t="n">
        <x:f>IF($J477&lt;&gt;"",REGEXREPLACE(TO_TEXT('_Supporto Listone'!F477),"(.)","$1"&amp;UNICHAR(822)),'_Supporto Listone'!F477)</x:f>
        <x:v>6</x:v>
      </x:c>
      <x:c r="G477" s="466" t="n">
        <x:f>IF($J477&lt;&gt;"",REGEXREPLACE(TO_TEXT('_Supporto Listone'!G477),"(.)","$1"&amp;UNICHAR(822)),'_Supporto Listone'!G477)</x:f>
        <x:v>17</x:v>
      </x:c>
      <x:c r="H477" s="466" t="n">
        <x:f>IF($J477&lt;&gt;"",REGEXREPLACE(TO_TEXT('_Supporto Listone'!H477),"(.)","$1"&amp;UNICHAR(822)),'_Supporto Listone'!H477)</x:f>
        <x:v>9</x:v>
      </x:c>
      <x:c r="I477" s="450"/>
      <x:c r="J477" s="449" t="str">
        <x:f>IF(COUNTIF(Asta!$B$4:$B$47,'_Supporto Listone'!B477)&gt;0,"Simone",IF(COUNTIF(Asta!$D$4:$D$47,'_Supporto Listone'!B477)&gt;0,"Giacomo",IF(COUNTIF(Asta!$F$4:$F$47,'_Supporto Listone'!B477)&gt;0,"Niko",IF(COUNTIF(Asta!$H$4:$H$47,'_Supporto Listone'!B477)&gt;0,"Quici",IF(COUNTIF(Asta!$J$4:$J$47,'_Supporto Listone'!B477)&gt;0,"Fratello Quici",IF(COUNTIF(Asta!$L$4:$L$47,'_Supporto Listone'!B477)&gt;0,"Nicolò",IF(COUNTIF(Asta!$N$4:$N$47,'_Supporto Listone'!B477)&gt;0,"Vi",IF(COUNTIF(Asta!$P$4:$P$47,'_Supporto Listone'!B477)&gt;0,"Lore",IF(COUNTIF(Asta!$R$4:$R$47,'_Supporto Listone'!B477)&gt;0,"Robbo",IF(COUNTIF(Asta!$T$4:$T$47,'_Supporto Listone'!B477)&gt;0,"Ale",""))))))))))</x:f>
      </x:c>
      <x:c r="K477" s="497" t="str">
        <x:f>IF(COUNTIF(Asta!$B$4:$B$47,'_Supporto Listone'!B477)&gt;0,INDEX(Asta!$C$4:$C$47,MATCH('_Supporto Listone'!B477,Asta!$B$4:$B$47,0)),IF(COUNTIF(Asta!$D$4:$D$47,'_Supporto Listone'!B477)&gt;0,INDEX(Asta!$E$4:$E$47,MATCH('_Supporto Listone'!B477,Asta!$D$4:$D$47,0)),IF(COUNTIF(Asta!$F$4:$F$47,'_Supporto Listone'!B477)&gt;0,INDEX(Asta!$G$4:$G$47,MATCH('_Supporto Listone'!B477,Asta!$F$4:$F$47,0)),IF(COUNTIF(Asta!$H$4:$H$47,'_Supporto Listone'!B477)&gt;0,INDEX(Asta!$I$4:$I$47,MATCH('_Supporto Listone'!B477,Asta!$H$4:$H$47,0)),IF(COUNTIF(Asta!$J$4:$J$47,'_Supporto Listone'!B477)&gt;0,INDEX(Asta!$K$4:$K$47,MATCH('_Supporto Listone'!B477,Asta!$J$4:$J$47,0)),IF(COUNTIF(Asta!$L$4:$L$47,'_Supporto Listone'!B477)&gt;0,INDEX(Asta!$M$4:$M$47,MATCH('_Supporto Listone'!B477,Asta!$L$4:$L$47,0)),IF(COUNTIF(Asta!$N$4:$N$47,'_Supporto Listone'!B477)&gt;0,INDEX(Asta!$O$4:$O$47,MATCH('_Supporto Listone'!B477,Asta!$N$4:$N$47,0)),IF(COUNTIF(Asta!$P$4:$P$47,'_Supporto Listone'!B477)&gt;0,INDEX(Asta!$Q$4:$Q$47,MATCH('_Supporto Listone'!B477,Asta!$P$4:$P$47,0)),IF(COUNTIF(Asta!$R$4:$R$47,'_Supporto Listone'!B477)&gt;0,INDEX(Asta!$S$4:$S$47,MATCH('_Supporto Listone'!B477,Asta!$R$4:$R$47,0)),IF(COUNTIF(Asta!$T$4:$T$47,'_Supporto Listone'!B477)&gt;0,INDEX(Asta!$U$4:$U$47,MATCH('_Supporto Listone'!B477,Asta!$T$4:$T$47,0)),""))))))))))</x:f>
      </x:c>
    </x:row>
    <x:row r="478">
      <x:c r="A478" s="448" t="str">
        <x:f>IF($J478&lt;&gt;"",REGEXREPLACE(TO_TEXT('_Supporto Listone'!A478),"(.)","$1"&amp;UNICHAR(822)),'_Supporto Listone'!A478)</x:f>
        <x:v>A</x:v>
      </x:c>
      <x:c r="B478" s="449" t="str">
        <x:f>IF($J478&lt;&gt;"",REGEXREPLACE(TO_TEXT('_Supporto Listone'!B478),"(.)","$1"&amp;UNICHAR(822)),'_Supporto Listone'!B478)</x:f>
        <x:v>Gimenez</x:v>
      </x:c>
      <x:c r="C478" s="449" t="str">
        <x:f>IF($J478&lt;&gt;"",REGEXREPLACE(TO_TEXT('_Supporto Listone'!C478),"(.)","$1"&amp;UNICHAR(822)),'_Supporto Listone'!C478)</x:f>
        <x:v>Milan</x:v>
      </x:c>
      <x:c r="D478" s="449" t="str">
        <x:f>IF($J478&lt;&gt;"",REGEXREPLACE(TO_TEXT('_Supporto Listone'!D478),"(.)","$1"&amp;UNICHAR(822)),'_Supporto Listone'!D478)</x:f>
        <x:v>Pc</x:v>
      </x:c>
      <x:c r="E478" s="449" t="str">
        <x:f>IF($J478&lt;&gt;"",REGEXREPLACE(TO_TEXT('_Supporto Listone'!E478),"(.)","$1"&amp;UNICHAR(822)),'_Supporto Listone'!E478)</x:f>
        <x:v>Riserva / rotazione</x:v>
      </x:c>
      <x:c r="F478" s="466" t="n">
        <x:f>IF($J478&lt;&gt;"",REGEXREPLACE(TO_TEXT('_Supporto Listone'!F478),"(.)","$1"&amp;UNICHAR(822)),'_Supporto Listone'!F478)</x:f>
        <x:v>6</x:v>
      </x:c>
      <x:c r="G478" s="466" t="n">
        <x:f>IF($J478&lt;&gt;"",REGEXREPLACE(TO_TEXT('_Supporto Listone'!G478),"(.)","$1"&amp;UNICHAR(822)),'_Supporto Listone'!G478)</x:f>
        <x:v>14</x:v>
      </x:c>
      <x:c r="H478" s="466" t="n">
        <x:f>IF($J478&lt;&gt;"",REGEXREPLACE(TO_TEXT('_Supporto Listone'!H478),"(.)","$1"&amp;UNICHAR(822)),'_Supporto Listone'!H478)</x:f>
        <x:v>7</x:v>
      </x:c>
      <x:c r="I478" s="450"/>
      <x:c r="J478" s="449" t="str">
        <x:f>IF(COUNTIF(Asta!$B$4:$B$47,'_Supporto Listone'!B478)&gt;0,"Simone",IF(COUNTIF(Asta!$D$4:$D$47,'_Supporto Listone'!B478)&gt;0,"Giacomo",IF(COUNTIF(Asta!$F$4:$F$47,'_Supporto Listone'!B478)&gt;0,"Niko",IF(COUNTIF(Asta!$H$4:$H$47,'_Supporto Listone'!B478)&gt;0,"Quici",IF(COUNTIF(Asta!$J$4:$J$47,'_Supporto Listone'!B478)&gt;0,"Fratello Quici",IF(COUNTIF(Asta!$L$4:$L$47,'_Supporto Listone'!B478)&gt;0,"Nicolò",IF(COUNTIF(Asta!$N$4:$N$47,'_Supporto Listone'!B478)&gt;0,"Vi",IF(COUNTIF(Asta!$P$4:$P$47,'_Supporto Listone'!B478)&gt;0,"Lore",IF(COUNTIF(Asta!$R$4:$R$47,'_Supporto Listone'!B478)&gt;0,"Robbo",IF(COUNTIF(Asta!$T$4:$T$47,'_Supporto Listone'!B478)&gt;0,"Ale",""))))))))))</x:f>
      </x:c>
      <x:c r="K478" s="497" t="str">
        <x:f>IF(COUNTIF(Asta!$B$4:$B$47,'_Supporto Listone'!B478)&gt;0,INDEX(Asta!$C$4:$C$47,MATCH('_Supporto Listone'!B478,Asta!$B$4:$B$47,0)),IF(COUNTIF(Asta!$D$4:$D$47,'_Supporto Listone'!B478)&gt;0,INDEX(Asta!$E$4:$E$47,MATCH('_Supporto Listone'!B478,Asta!$D$4:$D$47,0)),IF(COUNTIF(Asta!$F$4:$F$47,'_Supporto Listone'!B478)&gt;0,INDEX(Asta!$G$4:$G$47,MATCH('_Supporto Listone'!B478,Asta!$F$4:$F$47,0)),IF(COUNTIF(Asta!$H$4:$H$47,'_Supporto Listone'!B478)&gt;0,INDEX(Asta!$I$4:$I$47,MATCH('_Supporto Listone'!B478,Asta!$H$4:$H$47,0)),IF(COUNTIF(Asta!$J$4:$J$47,'_Supporto Listone'!B478)&gt;0,INDEX(Asta!$K$4:$K$47,MATCH('_Supporto Listone'!B478,Asta!$J$4:$J$47,0)),IF(COUNTIF(Asta!$L$4:$L$47,'_Supporto Listone'!B478)&gt;0,INDEX(Asta!$M$4:$M$47,MATCH('_Supporto Listone'!B478,Asta!$L$4:$L$47,0)),IF(COUNTIF(Asta!$N$4:$N$47,'_Supporto Listone'!B478)&gt;0,INDEX(Asta!$O$4:$O$47,MATCH('_Supporto Listone'!B478,Asta!$N$4:$N$47,0)),IF(COUNTIF(Asta!$P$4:$P$47,'_Supporto Listone'!B478)&gt;0,INDEX(Asta!$Q$4:$Q$47,MATCH('_Supporto Listone'!B478,Asta!$P$4:$P$47,0)),IF(COUNTIF(Asta!$R$4:$R$47,'_Supporto Listone'!B478)&gt;0,INDEX(Asta!$S$4:$S$47,MATCH('_Supporto Listone'!B478,Asta!$R$4:$R$47,0)),IF(COUNTIF(Asta!$T$4:$T$47,'_Supporto Listone'!B478)&gt;0,INDEX(Asta!$U$4:$U$47,MATCH('_Supporto Listone'!B478,Asta!$T$4:$T$47,0)),""))))))))))</x:f>
      </x:c>
    </x:row>
    <x:row r="479">
      <x:c r="A479" s="448" t="str">
        <x:f>IF($J479&lt;&gt;"",REGEXREPLACE(TO_TEXT('_Supporto Listone'!A479),"(.)","$1"&amp;UNICHAR(822)),'_Supporto Listone'!A479)</x:f>
        <x:v>A</x:v>
      </x:c>
      <x:c r="B479" s="449" t="str">
        <x:f>IF($J479&lt;&gt;"",REGEXREPLACE(TO_TEXT('_Supporto Listone'!B479),"(.)","$1"&amp;UNICHAR(822)),'_Supporto Listone'!B479)</x:f>
        <x:v>Neres</x:v>
      </x:c>
      <x:c r="C479" s="449" t="str">
        <x:f>IF($J479&lt;&gt;"",REGEXREPLACE(TO_TEXT('_Supporto Listone'!C479),"(.)","$1"&amp;UNICHAR(822)),'_Supporto Listone'!C479)</x:f>
        <x:v>Napoli</x:v>
      </x:c>
      <x:c r="D479" s="449" t="str">
        <x:f>IF($J479&lt;&gt;"",REGEXREPLACE(TO_TEXT('_Supporto Listone'!D479),"(.)","$1"&amp;UNICHAR(822)),'_Supporto Listone'!D479)</x:f>
        <x:v>W;A</x:v>
      </x:c>
      <x:c r="E479" s="449" t="str">
        <x:f>IF($J479&lt;&gt;"",REGEXREPLACE(TO_TEXT('_Supporto Listone'!E479),"(.)","$1"&amp;UNICHAR(822)),'_Supporto Listone'!E479)</x:f>
        <x:v>Ballottaggio</x:v>
      </x:c>
      <x:c r="F479" s="466" t="n">
        <x:f>IF($J479&lt;&gt;"",REGEXREPLACE(TO_TEXT('_Supporto Listone'!F479),"(.)","$1"&amp;UNICHAR(822)),'_Supporto Listone'!F479)</x:f>
        <x:v>6</x:v>
      </x:c>
      <x:c r="G479" s="466" t="n">
        <x:f>IF($J479&lt;&gt;"",REGEXREPLACE(TO_TEXT('_Supporto Listone'!G479),"(.)","$1"&amp;UNICHAR(822)),'_Supporto Listone'!G479)</x:f>
        <x:v>22</x:v>
      </x:c>
      <x:c r="H479" s="466" t="n">
        <x:f>IF($J479&lt;&gt;"",REGEXREPLACE(TO_TEXT('_Supporto Listone'!H479),"(.)","$1"&amp;UNICHAR(822)),'_Supporto Listone'!H479)</x:f>
        <x:v>11</x:v>
      </x:c>
      <x:c r="I479" s="450" t="str">
        <x:f>IF($J479&lt;&gt;"",REGEXREPLACE(TO_TEXT('_Supporto Listone'!I479),"(.)","$1"&amp;UNICHAR(822)),'_Supporto Listone'!I479)</x:f>
        <x:v>Piazzati</x:v>
      </x:c>
      <x:c r="J479" s="449" t="str">
        <x:f>IF(COUNTIF(Asta!$B$4:$B$47,'_Supporto Listone'!B479)&gt;0,"Simone",IF(COUNTIF(Asta!$D$4:$D$47,'_Supporto Listone'!B479)&gt;0,"Giacomo",IF(COUNTIF(Asta!$F$4:$F$47,'_Supporto Listone'!B479)&gt;0,"Niko",IF(COUNTIF(Asta!$H$4:$H$47,'_Supporto Listone'!B479)&gt;0,"Quici",IF(COUNTIF(Asta!$J$4:$J$47,'_Supporto Listone'!B479)&gt;0,"Fratello Quici",IF(COUNTIF(Asta!$L$4:$L$47,'_Supporto Listone'!B479)&gt;0,"Nicolò",IF(COUNTIF(Asta!$N$4:$N$47,'_Supporto Listone'!B479)&gt;0,"Vi",IF(COUNTIF(Asta!$P$4:$P$47,'_Supporto Listone'!B479)&gt;0,"Lore",IF(COUNTIF(Asta!$R$4:$R$47,'_Supporto Listone'!B479)&gt;0,"Robbo",IF(COUNTIF(Asta!$T$4:$T$47,'_Supporto Listone'!B479)&gt;0,"Ale",""))))))))))</x:f>
      </x:c>
      <x:c r="K479" s="497" t="str">
        <x:f>IF(COUNTIF(Asta!$B$4:$B$47,'_Supporto Listone'!B479)&gt;0,INDEX(Asta!$C$4:$C$47,MATCH('_Supporto Listone'!B479,Asta!$B$4:$B$47,0)),IF(COUNTIF(Asta!$D$4:$D$47,'_Supporto Listone'!B479)&gt;0,INDEX(Asta!$E$4:$E$47,MATCH('_Supporto Listone'!B479,Asta!$D$4:$D$47,0)),IF(COUNTIF(Asta!$F$4:$F$47,'_Supporto Listone'!B479)&gt;0,INDEX(Asta!$G$4:$G$47,MATCH('_Supporto Listone'!B479,Asta!$F$4:$F$47,0)),IF(COUNTIF(Asta!$H$4:$H$47,'_Supporto Listone'!B479)&gt;0,INDEX(Asta!$I$4:$I$47,MATCH('_Supporto Listone'!B479,Asta!$H$4:$H$47,0)),IF(COUNTIF(Asta!$J$4:$J$47,'_Supporto Listone'!B479)&gt;0,INDEX(Asta!$K$4:$K$47,MATCH('_Supporto Listone'!B479,Asta!$J$4:$J$47,0)),IF(COUNTIF(Asta!$L$4:$L$47,'_Supporto Listone'!B479)&gt;0,INDEX(Asta!$M$4:$M$47,MATCH('_Supporto Listone'!B479,Asta!$L$4:$L$47,0)),IF(COUNTIF(Asta!$N$4:$N$47,'_Supporto Listone'!B479)&gt;0,INDEX(Asta!$O$4:$O$47,MATCH('_Supporto Listone'!B479,Asta!$N$4:$N$47,0)),IF(COUNTIF(Asta!$P$4:$P$47,'_Supporto Listone'!B479)&gt;0,INDEX(Asta!$Q$4:$Q$47,MATCH('_Supporto Listone'!B479,Asta!$P$4:$P$47,0)),IF(COUNTIF(Asta!$R$4:$R$47,'_Supporto Listone'!B479)&gt;0,INDEX(Asta!$S$4:$S$47,MATCH('_Supporto Listone'!B479,Asta!$R$4:$R$47,0)),IF(COUNTIF(Asta!$T$4:$T$47,'_Supporto Listone'!B479)&gt;0,INDEX(Asta!$U$4:$U$47,MATCH('_Supporto Listone'!B479,Asta!$T$4:$T$47,0)),""))))))))))</x:f>
      </x:c>
    </x:row>
    <x:row r="480">
      <x:c r="A480" s="448" t="str">
        <x:f>IF($J480&lt;&gt;"",REGEXREPLACE(TO_TEXT('_Supporto Listone'!A480),"(.)","$1"&amp;UNICHAR(822)),'_Supporto Listone'!A480)</x:f>
        <x:v>A</x:v>
      </x:c>
      <x:c r="B480" s="449" t="str">
        <x:f>IF($J480&lt;&gt;"",REGEXREPLACE(TO_TEXT('_Supporto Listone'!B480),"(.)","$1"&amp;UNICHAR(822)),'_Supporto Listone'!B480)</x:f>
        <x:v>Maldini</x:v>
      </x:c>
      <x:c r="C480" s="449" t="str">
        <x:f>IF($J480&lt;&gt;"",REGEXREPLACE(TO_TEXT('_Supporto Listone'!C480),"(.)","$1"&amp;UNICHAR(822)),'_Supporto Listone'!C480)</x:f>
        <x:v>Atalanta</x:v>
      </x:c>
      <x:c r="D480" s="449" t="str">
        <x:f>IF($J480&lt;&gt;"",REGEXREPLACE(TO_TEXT('_Supporto Listone'!D480),"(.)","$1"&amp;UNICHAR(822)),'_Supporto Listone'!D480)</x:f>
        <x:v>T;A</x:v>
      </x:c>
      <x:c r="E480" s="449" t="str">
        <x:f>IF($J480&lt;&gt;"",REGEXREPLACE(TO_TEXT('_Supporto Listone'!E480),"(.)","$1"&amp;UNICHAR(822)),'_Supporto Listone'!E480)</x:f>
        <x:v>Riserva / rotazione</x:v>
      </x:c>
      <x:c r="F480" s="466" t="n">
        <x:f>IF($J480&lt;&gt;"",REGEXREPLACE(TO_TEXT('_Supporto Listone'!F480),"(.)","$1"&amp;UNICHAR(822)),'_Supporto Listone'!F480)</x:f>
        <x:v>5</x:v>
      </x:c>
      <x:c r="G480" s="466" t="n">
        <x:f>IF($J480&lt;&gt;"",REGEXREPLACE(TO_TEXT('_Supporto Listone'!G480),"(.)","$1"&amp;UNICHAR(822)),'_Supporto Listone'!G480)</x:f>
        <x:v>14</x:v>
      </x:c>
      <x:c r="H480" s="466" t="n">
        <x:f>IF($J480&lt;&gt;"",REGEXREPLACE(TO_TEXT('_Supporto Listone'!H480),"(.)","$1"&amp;UNICHAR(822)),'_Supporto Listone'!H480)</x:f>
        <x:v>7</x:v>
      </x:c>
      <x:c r="I480" s="450"/>
      <x:c r="J480" s="449" t="str">
        <x:f>IF(COUNTIF(Asta!$B$4:$B$47,'_Supporto Listone'!B480)&gt;0,"Simone",IF(COUNTIF(Asta!$D$4:$D$47,'_Supporto Listone'!B480)&gt;0,"Giacomo",IF(COUNTIF(Asta!$F$4:$F$47,'_Supporto Listone'!B480)&gt;0,"Niko",IF(COUNTIF(Asta!$H$4:$H$47,'_Supporto Listone'!B480)&gt;0,"Quici",IF(COUNTIF(Asta!$J$4:$J$47,'_Supporto Listone'!B480)&gt;0,"Fratello Quici",IF(COUNTIF(Asta!$L$4:$L$47,'_Supporto Listone'!B480)&gt;0,"Nicolò",IF(COUNTIF(Asta!$N$4:$N$47,'_Supporto Listone'!B480)&gt;0,"Vi",IF(COUNTIF(Asta!$P$4:$P$47,'_Supporto Listone'!B480)&gt;0,"Lore",IF(COUNTIF(Asta!$R$4:$R$47,'_Supporto Listone'!B480)&gt;0,"Robbo",IF(COUNTIF(Asta!$T$4:$T$47,'_Supporto Listone'!B480)&gt;0,"Ale",""))))))))))</x:f>
      </x:c>
      <x:c r="K480" s="497" t="str">
        <x:f>IF(COUNTIF(Asta!$B$4:$B$47,'_Supporto Listone'!B480)&gt;0,INDEX(Asta!$C$4:$C$47,MATCH('_Supporto Listone'!B480,Asta!$B$4:$B$47,0)),IF(COUNTIF(Asta!$D$4:$D$47,'_Supporto Listone'!B480)&gt;0,INDEX(Asta!$E$4:$E$47,MATCH('_Supporto Listone'!B480,Asta!$D$4:$D$47,0)),IF(COUNTIF(Asta!$F$4:$F$47,'_Supporto Listone'!B480)&gt;0,INDEX(Asta!$G$4:$G$47,MATCH('_Supporto Listone'!B480,Asta!$F$4:$F$47,0)),IF(COUNTIF(Asta!$H$4:$H$47,'_Supporto Listone'!B480)&gt;0,INDEX(Asta!$I$4:$I$47,MATCH('_Supporto Listone'!B480,Asta!$H$4:$H$47,0)),IF(COUNTIF(Asta!$J$4:$J$47,'_Supporto Listone'!B480)&gt;0,INDEX(Asta!$K$4:$K$47,MATCH('_Supporto Listone'!B480,Asta!$J$4:$J$47,0)),IF(COUNTIF(Asta!$L$4:$L$47,'_Supporto Listone'!B480)&gt;0,INDEX(Asta!$M$4:$M$47,MATCH('_Supporto Listone'!B480,Asta!$L$4:$L$47,0)),IF(COUNTIF(Asta!$N$4:$N$47,'_Supporto Listone'!B480)&gt;0,INDEX(Asta!$O$4:$O$47,MATCH('_Supporto Listone'!B480,Asta!$N$4:$N$47,0)),IF(COUNTIF(Asta!$P$4:$P$47,'_Supporto Listone'!B480)&gt;0,INDEX(Asta!$Q$4:$Q$47,MATCH('_Supporto Listone'!B480,Asta!$P$4:$P$47,0)),IF(COUNTIF(Asta!$R$4:$R$47,'_Supporto Listone'!B480)&gt;0,INDEX(Asta!$S$4:$S$47,MATCH('_Supporto Listone'!B480,Asta!$R$4:$R$47,0)),IF(COUNTIF(Asta!$T$4:$T$47,'_Supporto Listone'!B480)&gt;0,INDEX(Asta!$U$4:$U$47,MATCH('_Supporto Listone'!B480,Asta!$T$4:$T$47,0)),""))))))))))</x:f>
      </x:c>
    </x:row>
    <x:row r="481">
      <x:c r="A481" s="448" t="str">
        <x:f>IF($J481&lt;&gt;"",REGEXREPLACE(TO_TEXT('_Supporto Listone'!A481),"(.)","$1"&amp;UNICHAR(822)),'_Supporto Listone'!A481)</x:f>
        <x:v>A</x:v>
      </x:c>
      <x:c r="B481" s="449" t="str">
        <x:f>IF($J481&lt;&gt;"",REGEXREPLACE(TO_TEXT('_Supporto Listone'!B481),"(.)","$1"&amp;UNICHAR(822)),'_Supporto Listone'!B481)</x:f>
        <x:v>Camarda</x:v>
      </x:c>
      <x:c r="C481" s="449" t="str">
        <x:f>IF($J481&lt;&gt;"",REGEXREPLACE(TO_TEXT('_Supporto Listone'!C481),"(.)","$1"&amp;UNICHAR(822)),'_Supporto Listone'!C481)</x:f>
        <x:v>Milan</x:v>
      </x:c>
      <x:c r="D481" s="449" t="str">
        <x:f>IF($J481&lt;&gt;"",REGEXREPLACE(TO_TEXT('_Supporto Listone'!D481),"(.)","$1"&amp;UNICHAR(822)),'_Supporto Listone'!D481)</x:f>
        <x:v>Pc</x:v>
      </x:c>
      <x:c r="E481" s="449" t="str">
        <x:f>IF($J481&lt;&gt;"",REGEXREPLACE(TO_TEXT('_Supporto Listone'!E481),"(.)","$1"&amp;UNICHAR(822)),'_Supporto Listone'!E481)</x:f>
        <x:v>Riserva / rotazione</x:v>
      </x:c>
      <x:c r="F481" s="466" t="n">
        <x:f>IF($J481&lt;&gt;"",REGEXREPLACE(TO_TEXT('_Supporto Listone'!F481),"(.)","$1"&amp;UNICHAR(822)),'_Supporto Listone'!F481)</x:f>
        <x:v>5</x:v>
      </x:c>
      <x:c r="G481" s="466" t="n">
        <x:f>IF($J481&lt;&gt;"",REGEXREPLACE(TO_TEXT('_Supporto Listone'!G481),"(.)","$1"&amp;UNICHAR(822)),'_Supporto Listone'!G481)</x:f>
        <x:v>18</x:v>
      </x:c>
      <x:c r="H481" s="466" t="n">
        <x:f>IF($J481&lt;&gt;"",REGEXREPLACE(TO_TEXT('_Supporto Listone'!H481),"(.)","$1"&amp;UNICHAR(822)),'_Supporto Listone'!H481)</x:f>
        <x:v>9</x:v>
      </x:c>
      <x:c r="I481" s="450"/>
      <x:c r="J481" s="449" t="str">
        <x:f>IF(COUNTIF(Asta!$B$4:$B$47,'_Supporto Listone'!B481)&gt;0,"Simone",IF(COUNTIF(Asta!$D$4:$D$47,'_Supporto Listone'!B481)&gt;0,"Giacomo",IF(COUNTIF(Asta!$F$4:$F$47,'_Supporto Listone'!B481)&gt;0,"Niko",IF(COUNTIF(Asta!$H$4:$H$47,'_Supporto Listone'!B481)&gt;0,"Quici",IF(COUNTIF(Asta!$J$4:$J$47,'_Supporto Listone'!B481)&gt;0,"Fratello Quici",IF(COUNTIF(Asta!$L$4:$L$47,'_Supporto Listone'!B481)&gt;0,"Nicolò",IF(COUNTIF(Asta!$N$4:$N$47,'_Supporto Listone'!B481)&gt;0,"Vi",IF(COUNTIF(Asta!$P$4:$P$47,'_Supporto Listone'!B481)&gt;0,"Lore",IF(COUNTIF(Asta!$R$4:$R$47,'_Supporto Listone'!B481)&gt;0,"Robbo",IF(COUNTIF(Asta!$T$4:$T$47,'_Supporto Listone'!B481)&gt;0,"Ale",""))))))))))</x:f>
      </x:c>
      <x:c r="K481" s="497" t="str">
        <x:f>IF(COUNTIF(Asta!$B$4:$B$47,'_Supporto Listone'!B481)&gt;0,INDEX(Asta!$C$4:$C$47,MATCH('_Supporto Listone'!B481,Asta!$B$4:$B$47,0)),IF(COUNTIF(Asta!$D$4:$D$47,'_Supporto Listone'!B481)&gt;0,INDEX(Asta!$E$4:$E$47,MATCH('_Supporto Listone'!B481,Asta!$D$4:$D$47,0)),IF(COUNTIF(Asta!$F$4:$F$47,'_Supporto Listone'!B481)&gt;0,INDEX(Asta!$G$4:$G$47,MATCH('_Supporto Listone'!B481,Asta!$F$4:$F$47,0)),IF(COUNTIF(Asta!$H$4:$H$47,'_Supporto Listone'!B481)&gt;0,INDEX(Asta!$I$4:$I$47,MATCH('_Supporto Listone'!B481,Asta!$H$4:$H$47,0)),IF(COUNTIF(Asta!$J$4:$J$47,'_Supporto Listone'!B481)&gt;0,INDEX(Asta!$K$4:$K$47,MATCH('_Supporto Listone'!B481,Asta!$J$4:$J$47,0)),IF(COUNTIF(Asta!$L$4:$L$47,'_Supporto Listone'!B481)&gt;0,INDEX(Asta!$M$4:$M$47,MATCH('_Supporto Listone'!B481,Asta!$L$4:$L$47,0)),IF(COUNTIF(Asta!$N$4:$N$47,'_Supporto Listone'!B481)&gt;0,INDEX(Asta!$O$4:$O$47,MATCH('_Supporto Listone'!B481,Asta!$N$4:$N$47,0)),IF(COUNTIF(Asta!$P$4:$P$47,'_Supporto Listone'!B481)&gt;0,INDEX(Asta!$Q$4:$Q$47,MATCH('_Supporto Listone'!B481,Asta!$P$4:$P$47,0)),IF(COUNTIF(Asta!$R$4:$R$47,'_Supporto Listone'!B481)&gt;0,INDEX(Asta!$S$4:$S$47,MATCH('_Supporto Listone'!B481,Asta!$R$4:$R$47,0)),IF(COUNTIF(Asta!$T$4:$T$47,'_Supporto Listone'!B481)&gt;0,INDEX(Asta!$U$4:$U$47,MATCH('_Supporto Listone'!B481,Asta!$T$4:$T$47,0)),""))))))))))</x:f>
      </x:c>
    </x:row>
    <x:row r="482">
      <x:c r="A482" s="448" t="str">
        <x:f>IF($J482&lt;&gt;"",REGEXREPLACE(TO_TEXT('_Supporto Listone'!A482),"(.)","$1"&amp;UNICHAR(822)),'_Supporto Listone'!A482)</x:f>
        <x:v>A</x:v>
      </x:c>
      <x:c r="B482" s="449" t="str">
        <x:f>IF($J482&lt;&gt;"",REGEXREPLACE(TO_TEXT('_Supporto Listone'!B482),"(.)","$1"&amp;UNICHAR(822)),'_Supporto Listone'!B482)</x:f>
        <x:v>Mota</x:v>
      </x:c>
      <x:c r="C482" s="449" t="str">
        <x:f>IF($J482&lt;&gt;"",REGEXREPLACE(TO_TEXT('_Supporto Listone'!C482),"(.)","$1"&amp;UNICHAR(822)),'_Supporto Listone'!C482)</x:f>
        <x:v>Monza</x:v>
      </x:c>
      <x:c r="D482" s="449" t="str">
        <x:f>IF($J482&lt;&gt;"",REGEXREPLACE(TO_TEXT('_Supporto Listone'!D482),"(.)","$1"&amp;UNICHAR(822)),'_Supporto Listone'!D482)</x:f>
        <x:v>A</x:v>
      </x:c>
      <x:c r="E482" s="449" t="str">
        <x:f>IF($J482&lt;&gt;"",REGEXREPLACE(TO_TEXT('_Supporto Listone'!E482),"(.)","$1"&amp;UNICHAR(822)),'_Supporto Listone'!E482)</x:f>
        <x:v>Riserva / rotazione</x:v>
      </x:c>
      <x:c r="F482" s="466" t="n">
        <x:f>IF($J482&lt;&gt;"",REGEXREPLACE(TO_TEXT('_Supporto Listone'!F482),"(.)","$1"&amp;UNICHAR(822)),'_Supporto Listone'!F482)</x:f>
        <x:v>5</x:v>
      </x:c>
      <x:c r="G482" s="466" t="n">
        <x:f>IF($J482&lt;&gt;"",REGEXREPLACE(TO_TEXT('_Supporto Listone'!G482),"(.)","$1"&amp;UNICHAR(822)),'_Supporto Listone'!G482)</x:f>
        <x:v>18</x:v>
      </x:c>
      <x:c r="H482" s="466" t="n">
        <x:f>IF($J482&lt;&gt;"",REGEXREPLACE(TO_TEXT('_Supporto Listone'!H482),"(.)","$1"&amp;UNICHAR(822)),'_Supporto Listone'!H482)</x:f>
        <x:v>9</x:v>
      </x:c>
      <x:c r="I482" s="450"/>
      <x:c r="J482" s="449" t="str">
        <x:f>IF(COUNTIF(Asta!$B$4:$B$47,'_Supporto Listone'!B482)&gt;0,"Simone",IF(COUNTIF(Asta!$D$4:$D$47,'_Supporto Listone'!B482)&gt;0,"Giacomo",IF(COUNTIF(Asta!$F$4:$F$47,'_Supporto Listone'!B482)&gt;0,"Niko",IF(COUNTIF(Asta!$H$4:$H$47,'_Supporto Listone'!B482)&gt;0,"Quici",IF(COUNTIF(Asta!$J$4:$J$47,'_Supporto Listone'!B482)&gt;0,"Fratello Quici",IF(COUNTIF(Asta!$L$4:$L$47,'_Supporto Listone'!B482)&gt;0,"Nicolò",IF(COUNTIF(Asta!$N$4:$N$47,'_Supporto Listone'!B482)&gt;0,"Vi",IF(COUNTIF(Asta!$P$4:$P$47,'_Supporto Listone'!B482)&gt;0,"Lore",IF(COUNTIF(Asta!$R$4:$R$47,'_Supporto Listone'!B482)&gt;0,"Robbo",IF(COUNTIF(Asta!$T$4:$T$47,'_Supporto Listone'!B482)&gt;0,"Ale",""))))))))))</x:f>
      </x:c>
      <x:c r="K482" s="497" t="str">
        <x:f>IF(COUNTIF(Asta!$B$4:$B$47,'_Supporto Listone'!B482)&gt;0,INDEX(Asta!$C$4:$C$47,MATCH('_Supporto Listone'!B482,Asta!$B$4:$B$47,0)),IF(COUNTIF(Asta!$D$4:$D$47,'_Supporto Listone'!B482)&gt;0,INDEX(Asta!$E$4:$E$47,MATCH('_Supporto Listone'!B482,Asta!$D$4:$D$47,0)),IF(COUNTIF(Asta!$F$4:$F$47,'_Supporto Listone'!B482)&gt;0,INDEX(Asta!$G$4:$G$47,MATCH('_Supporto Listone'!B482,Asta!$F$4:$F$47,0)),IF(COUNTIF(Asta!$H$4:$H$47,'_Supporto Listone'!B482)&gt;0,INDEX(Asta!$I$4:$I$47,MATCH('_Supporto Listone'!B482,Asta!$H$4:$H$47,0)),IF(COUNTIF(Asta!$J$4:$J$47,'_Supporto Listone'!B482)&gt;0,INDEX(Asta!$K$4:$K$47,MATCH('_Supporto Listone'!B482,Asta!$J$4:$J$47,0)),IF(COUNTIF(Asta!$L$4:$L$47,'_Supporto Listone'!B482)&gt;0,INDEX(Asta!$M$4:$M$47,MATCH('_Supporto Listone'!B482,Asta!$L$4:$L$47,0)),IF(COUNTIF(Asta!$N$4:$N$47,'_Supporto Listone'!B482)&gt;0,INDEX(Asta!$O$4:$O$47,MATCH('_Supporto Listone'!B482,Asta!$N$4:$N$47,0)),IF(COUNTIF(Asta!$P$4:$P$47,'_Supporto Listone'!B482)&gt;0,INDEX(Asta!$Q$4:$Q$47,MATCH('_Supporto Listone'!B482,Asta!$P$4:$P$47,0)),IF(COUNTIF(Asta!$R$4:$R$47,'_Supporto Listone'!B482)&gt;0,INDEX(Asta!$S$4:$S$47,MATCH('_Supporto Listone'!B482,Asta!$R$4:$R$47,0)),IF(COUNTIF(Asta!$T$4:$T$47,'_Supporto Listone'!B482)&gt;0,INDEX(Asta!$U$4:$U$47,MATCH('_Supporto Listone'!B482,Asta!$T$4:$T$47,0)),""))))))))))</x:f>
      </x:c>
    </x:row>
    <x:row r="483">
      <x:c r="A483" s="448" t="str">
        <x:f>IF($J483&lt;&gt;"",REGEXREPLACE(TO_TEXT('_Supporto Listone'!A483),"(.)","$1"&amp;UNICHAR(822)),'_Supporto Listone'!A483)</x:f>
        <x:v>A</x:v>
      </x:c>
      <x:c r="B483" s="449" t="str">
        <x:f>IF($J483&lt;&gt;"",REGEXREPLACE(TO_TEXT('_Supporto Listone'!B483),"(.)","$1"&amp;UNICHAR(822)),'_Supporto Listone'!B483)</x:f>
        <x:v>Frigan</x:v>
      </x:c>
      <x:c r="C483" s="449" t="str">
        <x:f>IF($J483&lt;&gt;"",REGEXREPLACE(TO_TEXT('_Supporto Listone'!C483),"(.)","$1"&amp;UNICHAR(822)),'_Supporto Listone'!C483)</x:f>
        <x:v>Parma</x:v>
      </x:c>
      <x:c r="D483" s="449" t="str">
        <x:f>IF($J483&lt;&gt;"",REGEXREPLACE(TO_TEXT('_Supporto Listone'!D483),"(.)","$1"&amp;UNICHAR(822)),'_Supporto Listone'!D483)</x:f>
        <x:v>A</x:v>
      </x:c>
      <x:c r="E483" s="449" t="str">
        <x:f>IF($J483&lt;&gt;"",REGEXREPLACE(TO_TEXT('_Supporto Listone'!E483),"(.)","$1"&amp;UNICHAR(822)),'_Supporto Listone'!E483)</x:f>
        <x:v>Riserva / rotazione</x:v>
      </x:c>
      <x:c r="F483" s="466" t="n">
        <x:f>IF($J483&lt;&gt;"",REGEXREPLACE(TO_TEXT('_Supporto Listone'!F483),"(.)","$1"&amp;UNICHAR(822)),'_Supporto Listone'!F483)</x:f>
        <x:v>5</x:v>
      </x:c>
      <x:c r="G483" s="466" t="n">
        <x:f>IF($J483&lt;&gt;"",REGEXREPLACE(TO_TEXT('_Supporto Listone'!G483),"(.)","$1"&amp;UNICHAR(822)),'_Supporto Listone'!G483)</x:f>
        <x:v>13</x:v>
      </x:c>
      <x:c r="H483" s="466" t="n">
        <x:f>IF($J483&lt;&gt;"",REGEXREPLACE(TO_TEXT('_Supporto Listone'!H483),"(.)","$1"&amp;UNICHAR(822)),'_Supporto Listone'!H483)</x:f>
        <x:v>7</x:v>
      </x:c>
      <x:c r="I483" s="450"/>
      <x:c r="J483" s="449" t="str">
        <x:f>IF(COUNTIF(Asta!$B$4:$B$47,'_Supporto Listone'!B483)&gt;0,"Simone",IF(COUNTIF(Asta!$D$4:$D$47,'_Supporto Listone'!B483)&gt;0,"Giacomo",IF(COUNTIF(Asta!$F$4:$F$47,'_Supporto Listone'!B483)&gt;0,"Niko",IF(COUNTIF(Asta!$H$4:$H$47,'_Supporto Listone'!B483)&gt;0,"Quici",IF(COUNTIF(Asta!$J$4:$J$47,'_Supporto Listone'!B483)&gt;0,"Fratello Quici",IF(COUNTIF(Asta!$L$4:$L$47,'_Supporto Listone'!B483)&gt;0,"Nicolò",IF(COUNTIF(Asta!$N$4:$N$47,'_Supporto Listone'!B483)&gt;0,"Vi",IF(COUNTIF(Asta!$P$4:$P$47,'_Supporto Listone'!B483)&gt;0,"Lore",IF(COUNTIF(Asta!$R$4:$R$47,'_Supporto Listone'!B483)&gt;0,"Robbo",IF(COUNTIF(Asta!$T$4:$T$47,'_Supporto Listone'!B483)&gt;0,"Ale",""))))))))))</x:f>
      </x:c>
      <x:c r="K483" s="497" t="str">
        <x:f>IF(COUNTIF(Asta!$B$4:$B$47,'_Supporto Listone'!B483)&gt;0,INDEX(Asta!$C$4:$C$47,MATCH('_Supporto Listone'!B483,Asta!$B$4:$B$47,0)),IF(COUNTIF(Asta!$D$4:$D$47,'_Supporto Listone'!B483)&gt;0,INDEX(Asta!$E$4:$E$47,MATCH('_Supporto Listone'!B483,Asta!$D$4:$D$47,0)),IF(COUNTIF(Asta!$F$4:$F$47,'_Supporto Listone'!B483)&gt;0,INDEX(Asta!$G$4:$G$47,MATCH('_Supporto Listone'!B483,Asta!$F$4:$F$47,0)),IF(COUNTIF(Asta!$H$4:$H$47,'_Supporto Listone'!B483)&gt;0,INDEX(Asta!$I$4:$I$47,MATCH('_Supporto Listone'!B483,Asta!$H$4:$H$47,0)),IF(COUNTIF(Asta!$J$4:$J$47,'_Supporto Listone'!B483)&gt;0,INDEX(Asta!$K$4:$K$47,MATCH('_Supporto Listone'!B483,Asta!$J$4:$J$47,0)),IF(COUNTIF(Asta!$L$4:$L$47,'_Supporto Listone'!B483)&gt;0,INDEX(Asta!$M$4:$M$47,MATCH('_Supporto Listone'!B483,Asta!$L$4:$L$47,0)),IF(COUNTIF(Asta!$N$4:$N$47,'_Supporto Listone'!B483)&gt;0,INDEX(Asta!$O$4:$O$47,MATCH('_Supporto Listone'!B483,Asta!$N$4:$N$47,0)),IF(COUNTIF(Asta!$P$4:$P$47,'_Supporto Listone'!B483)&gt;0,INDEX(Asta!$Q$4:$Q$47,MATCH('_Supporto Listone'!B483,Asta!$P$4:$P$47,0)),IF(COUNTIF(Asta!$R$4:$R$47,'_Supporto Listone'!B483)&gt;0,INDEX(Asta!$S$4:$S$47,MATCH('_Supporto Listone'!B483,Asta!$R$4:$R$47,0)),IF(COUNTIF(Asta!$T$4:$T$47,'_Supporto Listone'!B483)&gt;0,INDEX(Asta!$U$4:$U$47,MATCH('_Supporto Listone'!B483,Asta!$T$4:$T$47,0)),""))))))))))</x:f>
      </x:c>
    </x:row>
    <x:row r="484">
      <x:c r="A484" s="448" t="str">
        <x:f>IF($J484&lt;&gt;"",REGEXREPLACE(TO_TEXT('_Supporto Listone'!A484),"(.)","$1"&amp;UNICHAR(822)),'_Supporto Listone'!A484)</x:f>
        <x:v>A</x:v>
      </x:c>
      <x:c r="B484" s="449" t="str">
        <x:f>IF($J484&lt;&gt;"",REGEXREPLACE(TO_TEXT('_Supporto Listone'!B484),"(.)","$1"&amp;UNICHAR(822)),'_Supporto Listone'!B484)</x:f>
        <x:v>Adorante</x:v>
      </x:c>
      <x:c r="C484" s="449" t="str">
        <x:f>IF($J484&lt;&gt;"",REGEXREPLACE(TO_TEXT('_Supporto Listone'!C484),"(.)","$1"&amp;UNICHAR(822)),'_Supporto Listone'!C484)</x:f>
        <x:v>Venezia</x:v>
      </x:c>
      <x:c r="D484" s="449" t="str">
        <x:f>IF($J484&lt;&gt;"",REGEXREPLACE(TO_TEXT('_Supporto Listone'!D484),"(.)","$1"&amp;UNICHAR(822)),'_Supporto Listone'!D484)</x:f>
        <x:v>Pc</x:v>
      </x:c>
      <x:c r="E484" s="449" t="str">
        <x:f>IF($J484&lt;&gt;"",REGEXREPLACE(TO_TEXT('_Supporto Listone'!E484),"(.)","$1"&amp;UNICHAR(822)),'_Supporto Listone'!E484)</x:f>
        <x:v>Riserva / rotazione</x:v>
      </x:c>
      <x:c r="F484" s="466" t="n">
        <x:f>IF($J484&lt;&gt;"",REGEXREPLACE(TO_TEXT('_Supporto Listone'!F484),"(.)","$1"&amp;UNICHAR(822)),'_Supporto Listone'!F484)</x:f>
        <x:v>5</x:v>
      </x:c>
      <x:c r="G484" s="466" t="n">
        <x:f>IF($J484&lt;&gt;"",REGEXREPLACE(TO_TEXT('_Supporto Listone'!G484),"(.)","$1"&amp;UNICHAR(822)),'_Supporto Listone'!G484)</x:f>
        <x:v>14</x:v>
      </x:c>
      <x:c r="H484" s="466" t="n">
        <x:f>IF($J484&lt;&gt;"",REGEXREPLACE(TO_TEXT('_Supporto Listone'!H484),"(.)","$1"&amp;UNICHAR(822)),'_Supporto Listone'!H484)</x:f>
        <x:v>7</x:v>
      </x:c>
      <x:c r="I484" s="450" t="str">
        <x:f>IF($J484&lt;&gt;"",REGEXREPLACE(TO_TEXT('_Supporto Listone'!I484),"(.)","$1"&amp;UNICHAR(822)),'_Supporto Listone'!I484)</x:f>
        <x:v>Rigorista</x:v>
      </x:c>
      <x:c r="J484" s="449" t="str">
        <x:f>IF(COUNTIF(Asta!$B$4:$B$47,'_Supporto Listone'!B484)&gt;0,"Simone",IF(COUNTIF(Asta!$D$4:$D$47,'_Supporto Listone'!B484)&gt;0,"Giacomo",IF(COUNTIF(Asta!$F$4:$F$47,'_Supporto Listone'!B484)&gt;0,"Niko",IF(COUNTIF(Asta!$H$4:$H$47,'_Supporto Listone'!B484)&gt;0,"Quici",IF(COUNTIF(Asta!$J$4:$J$47,'_Supporto Listone'!B484)&gt;0,"Fratello Quici",IF(COUNTIF(Asta!$L$4:$L$47,'_Supporto Listone'!B484)&gt;0,"Nicolò",IF(COUNTIF(Asta!$N$4:$N$47,'_Supporto Listone'!B484)&gt;0,"Vi",IF(COUNTIF(Asta!$P$4:$P$47,'_Supporto Listone'!B484)&gt;0,"Lore",IF(COUNTIF(Asta!$R$4:$R$47,'_Supporto Listone'!B484)&gt;0,"Robbo",IF(COUNTIF(Asta!$T$4:$T$47,'_Supporto Listone'!B484)&gt;0,"Ale",""))))))))))</x:f>
      </x:c>
      <x:c r="K484" s="497" t="str">
        <x:f>IF(COUNTIF(Asta!$B$4:$B$47,'_Supporto Listone'!B484)&gt;0,INDEX(Asta!$C$4:$C$47,MATCH('_Supporto Listone'!B484,Asta!$B$4:$B$47,0)),IF(COUNTIF(Asta!$D$4:$D$47,'_Supporto Listone'!B484)&gt;0,INDEX(Asta!$E$4:$E$47,MATCH('_Supporto Listone'!B484,Asta!$D$4:$D$47,0)),IF(COUNTIF(Asta!$F$4:$F$47,'_Supporto Listone'!B484)&gt;0,INDEX(Asta!$G$4:$G$47,MATCH('_Supporto Listone'!B484,Asta!$F$4:$F$47,0)),IF(COUNTIF(Asta!$H$4:$H$47,'_Supporto Listone'!B484)&gt;0,INDEX(Asta!$I$4:$I$47,MATCH('_Supporto Listone'!B484,Asta!$H$4:$H$47,0)),IF(COUNTIF(Asta!$J$4:$J$47,'_Supporto Listone'!B484)&gt;0,INDEX(Asta!$K$4:$K$47,MATCH('_Supporto Listone'!B484,Asta!$J$4:$J$47,0)),IF(COUNTIF(Asta!$L$4:$L$47,'_Supporto Listone'!B484)&gt;0,INDEX(Asta!$M$4:$M$47,MATCH('_Supporto Listone'!B484,Asta!$L$4:$L$47,0)),IF(COUNTIF(Asta!$N$4:$N$47,'_Supporto Listone'!B484)&gt;0,INDEX(Asta!$O$4:$O$47,MATCH('_Supporto Listone'!B484,Asta!$N$4:$N$47,0)),IF(COUNTIF(Asta!$P$4:$P$47,'_Supporto Listone'!B484)&gt;0,INDEX(Asta!$Q$4:$Q$47,MATCH('_Supporto Listone'!B484,Asta!$P$4:$P$47,0)),IF(COUNTIF(Asta!$R$4:$R$47,'_Supporto Listone'!B484)&gt;0,INDEX(Asta!$S$4:$S$47,MATCH('_Supporto Listone'!B484,Asta!$R$4:$R$47,0)),IF(COUNTIF(Asta!$T$4:$T$47,'_Supporto Listone'!B484)&gt;0,INDEX(Asta!$U$4:$U$47,MATCH('_Supporto Listone'!B484,Asta!$T$4:$T$47,0)),""))))))))))</x:f>
      </x:c>
    </x:row>
    <x:row r="485">
      <x:c r="A485" s="448" t="str">
        <x:f>IF($J485&lt;&gt;"",REGEXREPLACE(TO_TEXT('_Supporto Listone'!A485),"(.)","$1"&amp;UNICHAR(822)),'_Supporto Listone'!A485)</x:f>
        <x:v>A</x:v>
      </x:c>
      <x:c r="B485" s="449" t="str">
        <x:f>IF($J485&lt;&gt;"",REGEXREPLACE(TO_TEXT('_Supporto Listone'!B485),"(.)","$1"&amp;UNICHAR(822)),'_Supporto Listone'!B485)</x:f>
        <x:v>Borrelli</x:v>
      </x:c>
      <x:c r="C485" s="449" t="str">
        <x:f>IF($J485&lt;&gt;"",REGEXREPLACE(TO_TEXT('_Supporto Listone'!C485),"(.)","$1"&amp;UNICHAR(822)),'_Supporto Listone'!C485)</x:f>
        <x:v>Cagliari</x:v>
      </x:c>
      <x:c r="D485" s="449" t="str">
        <x:f>IF($J485&lt;&gt;"",REGEXREPLACE(TO_TEXT('_Supporto Listone'!D485),"(.)","$1"&amp;UNICHAR(822)),'_Supporto Listone'!D485)</x:f>
        <x:v>Pc</x:v>
      </x:c>
      <x:c r="E485" s="449" t="str">
        <x:f>IF($J485&lt;&gt;"",REGEXREPLACE(TO_TEXT('_Supporto Listone'!E485),"(.)","$1"&amp;UNICHAR(822)),'_Supporto Listone'!E485)</x:f>
        <x:v>Riserva / rotazione</x:v>
      </x:c>
      <x:c r="F485" s="466" t="n">
        <x:f>IF($J485&lt;&gt;"",REGEXREPLACE(TO_TEXT('_Supporto Listone'!F485),"(.)","$1"&amp;UNICHAR(822)),'_Supporto Listone'!F485)</x:f>
        <x:v>4</x:v>
      </x:c>
      <x:c r="G485" s="466" t="n">
        <x:f>IF($J485&lt;&gt;"",REGEXREPLACE(TO_TEXT('_Supporto Listone'!G485),"(.)","$1"&amp;UNICHAR(822)),'_Supporto Listone'!G485)</x:f>
        <x:v>9</x:v>
      </x:c>
      <x:c r="H485" s="466" t="n">
        <x:f>IF($J485&lt;&gt;"",REGEXREPLACE(TO_TEXT('_Supporto Listone'!H485),"(.)","$1"&amp;UNICHAR(822)),'_Supporto Listone'!H485)</x:f>
        <x:v>5</x:v>
      </x:c>
      <x:c r="I485" s="450"/>
      <x:c r="J485" s="449" t="str">
        <x:f>IF(COUNTIF(Asta!$B$4:$B$47,'_Supporto Listone'!B485)&gt;0,"Simone",IF(COUNTIF(Asta!$D$4:$D$47,'_Supporto Listone'!B485)&gt;0,"Giacomo",IF(COUNTIF(Asta!$F$4:$F$47,'_Supporto Listone'!B485)&gt;0,"Niko",IF(COUNTIF(Asta!$H$4:$H$47,'_Supporto Listone'!B485)&gt;0,"Quici",IF(COUNTIF(Asta!$J$4:$J$47,'_Supporto Listone'!B485)&gt;0,"Fratello Quici",IF(COUNTIF(Asta!$L$4:$L$47,'_Supporto Listone'!B485)&gt;0,"Nicolò",IF(COUNTIF(Asta!$N$4:$N$47,'_Supporto Listone'!B485)&gt;0,"Vi",IF(COUNTIF(Asta!$P$4:$P$47,'_Supporto Listone'!B485)&gt;0,"Lore",IF(COUNTIF(Asta!$R$4:$R$47,'_Supporto Listone'!B485)&gt;0,"Robbo",IF(COUNTIF(Asta!$T$4:$T$47,'_Supporto Listone'!B485)&gt;0,"Ale",""))))))))))</x:f>
      </x:c>
      <x:c r="K485" s="497" t="str">
        <x:f>IF(COUNTIF(Asta!$B$4:$B$47,'_Supporto Listone'!B485)&gt;0,INDEX(Asta!$C$4:$C$47,MATCH('_Supporto Listone'!B485,Asta!$B$4:$B$47,0)),IF(COUNTIF(Asta!$D$4:$D$47,'_Supporto Listone'!B485)&gt;0,INDEX(Asta!$E$4:$E$47,MATCH('_Supporto Listone'!B485,Asta!$D$4:$D$47,0)),IF(COUNTIF(Asta!$F$4:$F$47,'_Supporto Listone'!B485)&gt;0,INDEX(Asta!$G$4:$G$47,MATCH('_Supporto Listone'!B485,Asta!$F$4:$F$47,0)),IF(COUNTIF(Asta!$H$4:$H$47,'_Supporto Listone'!B485)&gt;0,INDEX(Asta!$I$4:$I$47,MATCH('_Supporto Listone'!B485,Asta!$H$4:$H$47,0)),IF(COUNTIF(Asta!$J$4:$J$47,'_Supporto Listone'!B485)&gt;0,INDEX(Asta!$K$4:$K$47,MATCH('_Supporto Listone'!B485,Asta!$J$4:$J$47,0)),IF(COUNTIF(Asta!$L$4:$L$47,'_Supporto Listone'!B485)&gt;0,INDEX(Asta!$M$4:$M$47,MATCH('_Supporto Listone'!B485,Asta!$L$4:$L$47,0)),IF(COUNTIF(Asta!$N$4:$N$47,'_Supporto Listone'!B485)&gt;0,INDEX(Asta!$O$4:$O$47,MATCH('_Supporto Listone'!B485,Asta!$N$4:$N$47,0)),IF(COUNTIF(Asta!$P$4:$P$47,'_Supporto Listone'!B485)&gt;0,INDEX(Asta!$Q$4:$Q$47,MATCH('_Supporto Listone'!B485,Asta!$P$4:$P$47,0)),IF(COUNTIF(Asta!$R$4:$R$47,'_Supporto Listone'!B485)&gt;0,INDEX(Asta!$S$4:$S$47,MATCH('_Supporto Listone'!B485,Asta!$R$4:$R$47,0)),IF(COUNTIF(Asta!$T$4:$T$47,'_Supporto Listone'!B485)&gt;0,INDEX(Asta!$U$4:$U$47,MATCH('_Supporto Listone'!B485,Asta!$T$4:$T$47,0)),""))))))))))</x:f>
      </x:c>
    </x:row>
    <x:row r="486">
      <x:c r="A486" s="448" t="str">
        <x:f>IF($J486&lt;&gt;"",REGEXREPLACE(TO_TEXT('_Supporto Listone'!A486),"(.)","$1"&amp;UNICHAR(822)),'_Supporto Listone'!A486)</x:f>
        <x:v>A</x:v>
      </x:c>
      <x:c r="B486" s="449" t="str">
        <x:f>IF($J486&lt;&gt;"",REGEXREPLACE(TO_TEXT('_Supporto Listone'!B486),"(.)","$1"&amp;UNICHAR(822)),'_Supporto Listone'!B486)</x:f>
        <x:v>Mendy P.</x:v>
      </x:c>
      <x:c r="C486" s="449" t="str">
        <x:f>IF($J486&lt;&gt;"",REGEXREPLACE(TO_TEXT('_Supporto Listone'!C486),"(.)","$1"&amp;UNICHAR(822)),'_Supporto Listone'!C486)</x:f>
        <x:v>Cagliari</x:v>
      </x:c>
      <x:c r="D486" s="449" t="str">
        <x:f>IF($J486&lt;&gt;"",REGEXREPLACE(TO_TEXT('_Supporto Listone'!D486),"(.)","$1"&amp;UNICHAR(822)),'_Supporto Listone'!D486)</x:f>
        <x:v>Pc</x:v>
      </x:c>
      <x:c r="E486" s="449" t="str">
        <x:f>IF($J486&lt;&gt;"",REGEXREPLACE(TO_TEXT('_Supporto Listone'!E486),"(.)","$1"&amp;UNICHAR(822)),'_Supporto Listone'!E486)</x:f>
        <x:v>Riserva / rotazione</x:v>
      </x:c>
      <x:c r="F486" s="466" t="n">
        <x:f>IF($J486&lt;&gt;"",REGEXREPLACE(TO_TEXT('_Supporto Listone'!F486),"(.)","$1"&amp;UNICHAR(822)),'_Supporto Listone'!F486)</x:f>
        <x:v>4</x:v>
      </x:c>
      <x:c r="G486" s="466" t="n">
        <x:f>IF($J486&lt;&gt;"",REGEXREPLACE(TO_TEXT('_Supporto Listone'!G486),"(.)","$1"&amp;UNICHAR(822)),'_Supporto Listone'!G486)</x:f>
        <x:v>9</x:v>
      </x:c>
      <x:c r="H486" s="466" t="n">
        <x:f>IF($J486&lt;&gt;"",REGEXREPLACE(TO_TEXT('_Supporto Listone'!H486),"(.)","$1"&amp;UNICHAR(822)),'_Supporto Listone'!H486)</x:f>
        <x:v>5</x:v>
      </x:c>
      <x:c r="I486" s="450"/>
      <x:c r="J486" s="449" t="str">
        <x:f>IF(COUNTIF(Asta!$B$4:$B$47,'_Supporto Listone'!B486)&gt;0,"Simone",IF(COUNTIF(Asta!$D$4:$D$47,'_Supporto Listone'!B486)&gt;0,"Giacomo",IF(COUNTIF(Asta!$F$4:$F$47,'_Supporto Listone'!B486)&gt;0,"Niko",IF(COUNTIF(Asta!$H$4:$H$47,'_Supporto Listone'!B486)&gt;0,"Quici",IF(COUNTIF(Asta!$J$4:$J$47,'_Supporto Listone'!B486)&gt;0,"Fratello Quici",IF(COUNTIF(Asta!$L$4:$L$47,'_Supporto Listone'!B486)&gt;0,"Nicolò",IF(COUNTIF(Asta!$N$4:$N$47,'_Supporto Listone'!B486)&gt;0,"Vi",IF(COUNTIF(Asta!$P$4:$P$47,'_Supporto Listone'!B486)&gt;0,"Lore",IF(COUNTIF(Asta!$R$4:$R$47,'_Supporto Listone'!B486)&gt;0,"Robbo",IF(COUNTIF(Asta!$T$4:$T$47,'_Supporto Listone'!B486)&gt;0,"Ale",""))))))))))</x:f>
      </x:c>
      <x:c r="K486" s="497" t="str">
        <x:f>IF(COUNTIF(Asta!$B$4:$B$47,'_Supporto Listone'!B486)&gt;0,INDEX(Asta!$C$4:$C$47,MATCH('_Supporto Listone'!B486,Asta!$B$4:$B$47,0)),IF(COUNTIF(Asta!$D$4:$D$47,'_Supporto Listone'!B486)&gt;0,INDEX(Asta!$E$4:$E$47,MATCH('_Supporto Listone'!B486,Asta!$D$4:$D$47,0)),IF(COUNTIF(Asta!$F$4:$F$47,'_Supporto Listone'!B486)&gt;0,INDEX(Asta!$G$4:$G$47,MATCH('_Supporto Listone'!B486,Asta!$F$4:$F$47,0)),IF(COUNTIF(Asta!$H$4:$H$47,'_Supporto Listone'!B486)&gt;0,INDEX(Asta!$I$4:$I$47,MATCH('_Supporto Listone'!B486,Asta!$H$4:$H$47,0)),IF(COUNTIF(Asta!$J$4:$J$47,'_Supporto Listone'!B486)&gt;0,INDEX(Asta!$K$4:$K$47,MATCH('_Supporto Listone'!B486,Asta!$J$4:$J$47,0)),IF(COUNTIF(Asta!$L$4:$L$47,'_Supporto Listone'!B486)&gt;0,INDEX(Asta!$M$4:$M$47,MATCH('_Supporto Listone'!B486,Asta!$L$4:$L$47,0)),IF(COUNTIF(Asta!$N$4:$N$47,'_Supporto Listone'!B486)&gt;0,INDEX(Asta!$O$4:$O$47,MATCH('_Supporto Listone'!B486,Asta!$N$4:$N$47,0)),IF(COUNTIF(Asta!$P$4:$P$47,'_Supporto Listone'!B486)&gt;0,INDEX(Asta!$Q$4:$Q$47,MATCH('_Supporto Listone'!B486,Asta!$P$4:$P$47,0)),IF(COUNTIF(Asta!$R$4:$R$47,'_Supporto Listone'!B486)&gt;0,INDEX(Asta!$S$4:$S$47,MATCH('_Supporto Listone'!B486,Asta!$R$4:$R$47,0)),IF(COUNTIF(Asta!$T$4:$T$47,'_Supporto Listone'!B486)&gt;0,INDEX(Asta!$U$4:$U$47,MATCH('_Supporto Listone'!B486,Asta!$T$4:$T$47,0)),""))))))))))</x:f>
      </x:c>
    </x:row>
    <x:row r="487">
      <x:c r="A487" s="448" t="str">
        <x:f>IF($J487&lt;&gt;"",REGEXREPLACE(TO_TEXT('_Supporto Listone'!A487),"(.)","$1"&amp;UNICHAR(822)),'_Supporto Listone'!A487)</x:f>
        <x:v>A</x:v>
      </x:c>
      <x:c r="B487" s="449" t="str">
        <x:f>IF($J487&lt;&gt;"",REGEXREPLACE(TO_TEXT('_Supporto Listone'!B487),"(.)","$1"&amp;UNICHAR(822)),'_Supporto Listone'!B487)</x:f>
        <x:v>Morata</x:v>
      </x:c>
      <x:c r="C487" s="449" t="str">
        <x:f>IF($J487&lt;&gt;"",REGEXREPLACE(TO_TEXT('_Supporto Listone'!C487),"(.)","$1"&amp;UNICHAR(822)),'_Supporto Listone'!C487)</x:f>
        <x:v>Como</x:v>
      </x:c>
      <x:c r="D487" s="449" t="str">
        <x:f>IF($J487&lt;&gt;"",REGEXREPLACE(TO_TEXT('_Supporto Listone'!D487),"(.)","$1"&amp;UNICHAR(822)),'_Supporto Listone'!D487)</x:f>
        <x:v>Pc</x:v>
      </x:c>
      <x:c r="E487" s="449" t="str">
        <x:f>IF($J487&lt;&gt;"",REGEXREPLACE(TO_TEXT('_Supporto Listone'!E487),"(.)","$1"&amp;UNICHAR(822)),'_Supporto Listone'!E487)</x:f>
        <x:v>Riserva / rotazione</x:v>
      </x:c>
      <x:c r="F487" s="466" t="n">
        <x:f>IF($J487&lt;&gt;"",REGEXREPLACE(TO_TEXT('_Supporto Listone'!F487),"(.)","$1"&amp;UNICHAR(822)),'_Supporto Listone'!F487)</x:f>
        <x:v>4</x:v>
      </x:c>
      <x:c r="G487" s="466" t="n">
        <x:f>IF($J487&lt;&gt;"",REGEXREPLACE(TO_TEXT('_Supporto Listone'!G487),"(.)","$1"&amp;UNICHAR(822)),'_Supporto Listone'!G487)</x:f>
        <x:v>10</x:v>
      </x:c>
      <x:c r="H487" s="466" t="n">
        <x:f>IF($J487&lt;&gt;"",REGEXREPLACE(TO_TEXT('_Supporto Listone'!H487),"(.)","$1"&amp;UNICHAR(822)),'_Supporto Listone'!H487)</x:f>
        <x:v>5</x:v>
      </x:c>
      <x:c r="I487" s="450"/>
      <x:c r="J487" s="449" t="str">
        <x:f>IF(COUNTIF(Asta!$B$4:$B$47,'_Supporto Listone'!B487)&gt;0,"Simone",IF(COUNTIF(Asta!$D$4:$D$47,'_Supporto Listone'!B487)&gt;0,"Giacomo",IF(COUNTIF(Asta!$F$4:$F$47,'_Supporto Listone'!B487)&gt;0,"Niko",IF(COUNTIF(Asta!$H$4:$H$47,'_Supporto Listone'!B487)&gt;0,"Quici",IF(COUNTIF(Asta!$J$4:$J$47,'_Supporto Listone'!B487)&gt;0,"Fratello Quici",IF(COUNTIF(Asta!$L$4:$L$47,'_Supporto Listone'!B487)&gt;0,"Nicolò",IF(COUNTIF(Asta!$N$4:$N$47,'_Supporto Listone'!B487)&gt;0,"Vi",IF(COUNTIF(Asta!$P$4:$P$47,'_Supporto Listone'!B487)&gt;0,"Lore",IF(COUNTIF(Asta!$R$4:$R$47,'_Supporto Listone'!B487)&gt;0,"Robbo",IF(COUNTIF(Asta!$T$4:$T$47,'_Supporto Listone'!B487)&gt;0,"Ale",""))))))))))</x:f>
      </x:c>
      <x:c r="K487" s="497" t="str">
        <x:f>IF(COUNTIF(Asta!$B$4:$B$47,'_Supporto Listone'!B487)&gt;0,INDEX(Asta!$C$4:$C$47,MATCH('_Supporto Listone'!B487,Asta!$B$4:$B$47,0)),IF(COUNTIF(Asta!$D$4:$D$47,'_Supporto Listone'!B487)&gt;0,INDEX(Asta!$E$4:$E$47,MATCH('_Supporto Listone'!B487,Asta!$D$4:$D$47,0)),IF(COUNTIF(Asta!$F$4:$F$47,'_Supporto Listone'!B487)&gt;0,INDEX(Asta!$G$4:$G$47,MATCH('_Supporto Listone'!B487,Asta!$F$4:$F$47,0)),IF(COUNTIF(Asta!$H$4:$H$47,'_Supporto Listone'!B487)&gt;0,INDEX(Asta!$I$4:$I$47,MATCH('_Supporto Listone'!B487,Asta!$H$4:$H$47,0)),IF(COUNTIF(Asta!$J$4:$J$47,'_Supporto Listone'!B487)&gt;0,INDEX(Asta!$K$4:$K$47,MATCH('_Supporto Listone'!B487,Asta!$J$4:$J$47,0)),IF(COUNTIF(Asta!$L$4:$L$47,'_Supporto Listone'!B487)&gt;0,INDEX(Asta!$M$4:$M$47,MATCH('_Supporto Listone'!B487,Asta!$L$4:$L$47,0)),IF(COUNTIF(Asta!$N$4:$N$47,'_Supporto Listone'!B487)&gt;0,INDEX(Asta!$O$4:$O$47,MATCH('_Supporto Listone'!B487,Asta!$N$4:$N$47,0)),IF(COUNTIF(Asta!$P$4:$P$47,'_Supporto Listone'!B487)&gt;0,INDEX(Asta!$Q$4:$Q$47,MATCH('_Supporto Listone'!B487,Asta!$P$4:$P$47,0)),IF(COUNTIF(Asta!$R$4:$R$47,'_Supporto Listone'!B487)&gt;0,INDEX(Asta!$S$4:$S$47,MATCH('_Supporto Listone'!B487,Asta!$R$4:$R$47,0)),IF(COUNTIF(Asta!$T$4:$T$47,'_Supporto Listone'!B487)&gt;0,INDEX(Asta!$U$4:$U$47,MATCH('_Supporto Listone'!B487,Asta!$T$4:$T$47,0)),""))))))))))</x:f>
      </x:c>
    </x:row>
    <x:row r="488">
      <x:c r="A488" s="448" t="str">
        <x:f>IF($J488&lt;&gt;"",REGEXREPLACE(TO_TEXT('_Supporto Listone'!A488),"(.)","$1"&amp;UNICHAR(822)),'_Supporto Listone'!A488)</x:f>
        <x:v>A</x:v>
      </x:c>
      <x:c r="B488" s="449" t="str">
        <x:f>IF($J488&lt;&gt;"",REGEXREPLACE(TO_TEXT('_Supporto Listone'!B488),"(.)","$1"&amp;UNICHAR(822)),'_Supporto Listone'!B488)</x:f>
        <x:v>Kvernadze</x:v>
      </x:c>
      <x:c r="C488" s="449" t="str">
        <x:f>IF($J488&lt;&gt;"",REGEXREPLACE(TO_TEXT('_Supporto Listone'!C488),"(.)","$1"&amp;UNICHAR(822)),'_Supporto Listone'!C488)</x:f>
        <x:v>Frosinone</x:v>
      </x:c>
      <x:c r="D488" s="449" t="str">
        <x:f>IF($J488&lt;&gt;"",REGEXREPLACE(TO_TEXT('_Supporto Listone'!D488),"(.)","$1"&amp;UNICHAR(822)),'_Supporto Listone'!D488)</x:f>
        <x:v>W;A</x:v>
      </x:c>
      <x:c r="E488" s="449" t="str">
        <x:f>IF($J488&lt;&gt;"",REGEXREPLACE(TO_TEXT('_Supporto Listone'!E488),"(.)","$1"&amp;UNICHAR(822)),'_Supporto Listone'!E488)</x:f>
        <x:v>Titolare</x:v>
      </x:c>
      <x:c r="F488" s="466" t="n">
        <x:f>IF($J488&lt;&gt;"",REGEXREPLACE(TO_TEXT('_Supporto Listone'!F488),"(.)","$1"&amp;UNICHAR(822)),'_Supporto Listone'!F488)</x:f>
        <x:v>4</x:v>
      </x:c>
      <x:c r="G488" s="466" t="n">
        <x:f>IF($J488&lt;&gt;"",REGEXREPLACE(TO_TEXT('_Supporto Listone'!G488),"(.)","$1"&amp;UNICHAR(822)),'_Supporto Listone'!G488)</x:f>
        <x:v>15</x:v>
      </x:c>
      <x:c r="H488" s="466" t="n">
        <x:f>IF($J488&lt;&gt;"",REGEXREPLACE(TO_TEXT('_Supporto Listone'!H488),"(.)","$1"&amp;UNICHAR(822)),'_Supporto Listone'!H488)</x:f>
        <x:v>8</x:v>
      </x:c>
      <x:c r="I488" s="450"/>
      <x:c r="J488" s="449" t="str">
        <x:f>IF(COUNTIF(Asta!$B$4:$B$47,'_Supporto Listone'!B488)&gt;0,"Simone",IF(COUNTIF(Asta!$D$4:$D$47,'_Supporto Listone'!B488)&gt;0,"Giacomo",IF(COUNTIF(Asta!$F$4:$F$47,'_Supporto Listone'!B488)&gt;0,"Niko",IF(COUNTIF(Asta!$H$4:$H$47,'_Supporto Listone'!B488)&gt;0,"Quici",IF(COUNTIF(Asta!$J$4:$J$47,'_Supporto Listone'!B488)&gt;0,"Fratello Quici",IF(COUNTIF(Asta!$L$4:$L$47,'_Supporto Listone'!B488)&gt;0,"Nicolò",IF(COUNTIF(Asta!$N$4:$N$47,'_Supporto Listone'!B488)&gt;0,"Vi",IF(COUNTIF(Asta!$P$4:$P$47,'_Supporto Listone'!B488)&gt;0,"Lore",IF(COUNTIF(Asta!$R$4:$R$47,'_Supporto Listone'!B488)&gt;0,"Robbo",IF(COUNTIF(Asta!$T$4:$T$47,'_Supporto Listone'!B488)&gt;0,"Ale",""))))))))))</x:f>
      </x:c>
      <x:c r="K488" s="497" t="str">
        <x:f>IF(COUNTIF(Asta!$B$4:$B$47,'_Supporto Listone'!B488)&gt;0,INDEX(Asta!$C$4:$C$47,MATCH('_Supporto Listone'!B488,Asta!$B$4:$B$47,0)),IF(COUNTIF(Asta!$D$4:$D$47,'_Supporto Listone'!B488)&gt;0,INDEX(Asta!$E$4:$E$47,MATCH('_Supporto Listone'!B488,Asta!$D$4:$D$47,0)),IF(COUNTIF(Asta!$F$4:$F$47,'_Supporto Listone'!B488)&gt;0,INDEX(Asta!$G$4:$G$47,MATCH('_Supporto Listone'!B488,Asta!$F$4:$F$47,0)),IF(COUNTIF(Asta!$H$4:$H$47,'_Supporto Listone'!B488)&gt;0,INDEX(Asta!$I$4:$I$47,MATCH('_Supporto Listone'!B488,Asta!$H$4:$H$47,0)),IF(COUNTIF(Asta!$J$4:$J$47,'_Supporto Listone'!B488)&gt;0,INDEX(Asta!$K$4:$K$47,MATCH('_Supporto Listone'!B488,Asta!$J$4:$J$47,0)),IF(COUNTIF(Asta!$L$4:$L$47,'_Supporto Listone'!B488)&gt;0,INDEX(Asta!$M$4:$M$47,MATCH('_Supporto Listone'!B488,Asta!$L$4:$L$47,0)),IF(COUNTIF(Asta!$N$4:$N$47,'_Supporto Listone'!B488)&gt;0,INDEX(Asta!$O$4:$O$47,MATCH('_Supporto Listone'!B488,Asta!$N$4:$N$47,0)),IF(COUNTIF(Asta!$P$4:$P$47,'_Supporto Listone'!B488)&gt;0,INDEX(Asta!$Q$4:$Q$47,MATCH('_Supporto Listone'!B488,Asta!$P$4:$P$47,0)),IF(COUNTIF(Asta!$R$4:$R$47,'_Supporto Listone'!B488)&gt;0,INDEX(Asta!$S$4:$S$47,MATCH('_Supporto Listone'!B488,Asta!$R$4:$R$47,0)),IF(COUNTIF(Asta!$T$4:$T$47,'_Supporto Listone'!B488)&gt;0,INDEX(Asta!$U$4:$U$47,MATCH('_Supporto Listone'!B488,Asta!$T$4:$T$47,0)),""))))))))))</x:f>
      </x:c>
    </x:row>
    <x:row r="489">
      <x:c r="A489" s="448" t="str">
        <x:f>IF($J489&lt;&gt;"",REGEXREPLACE(TO_TEXT('_Supporto Listone'!A489),"(.)","$1"&amp;UNICHAR(822)),'_Supporto Listone'!A489)</x:f>
        <x:v>A</x:v>
      </x:c>
      <x:c r="B489" s="449" t="str">
        <x:f>IF($J489&lt;&gt;"",REGEXREPLACE(TO_TEXT('_Supporto Listone'!B489),"(.)","$1"&amp;UNICHAR(822)),'_Supporto Listone'!B489)</x:f>
        <x:v>Havel</x:v>
      </x:c>
      <x:c r="C489" s="449" t="str">
        <x:f>IF($J489&lt;&gt;"",REGEXREPLACE(TO_TEXT('_Supporto Listone'!C489),"(.)","$1"&amp;UNICHAR(822)),'_Supporto Listone'!C489)</x:f>
        <x:v>Genoa</x:v>
      </x:c>
      <x:c r="D489" s="449" t="str">
        <x:f>IF($J489&lt;&gt;"",REGEXREPLACE(TO_TEXT('_Supporto Listone'!D489),"(.)","$1"&amp;UNICHAR(822)),'_Supporto Listone'!D489)</x:f>
        <x:v>Pc</x:v>
      </x:c>
      <x:c r="E489" s="449" t="str">
        <x:f>IF($J489&lt;&gt;"",REGEXREPLACE(TO_TEXT('_Supporto Listone'!E489),"(.)","$1"&amp;UNICHAR(822)),'_Supporto Listone'!E489)</x:f>
        <x:v>Riserva / rotazione</x:v>
      </x:c>
      <x:c r="F489" s="466" t="n">
        <x:f>IF($J489&lt;&gt;"",REGEXREPLACE(TO_TEXT('_Supporto Listone'!F489),"(.)","$1"&amp;UNICHAR(822)),'_Supporto Listone'!F489)</x:f>
        <x:v>4</x:v>
      </x:c>
      <x:c r="G489" s="466" t="n">
        <x:f>IF($J489&lt;&gt;"",REGEXREPLACE(TO_TEXT('_Supporto Listone'!G489),"(.)","$1"&amp;UNICHAR(822)),'_Supporto Listone'!G489)</x:f>
        <x:v>9</x:v>
      </x:c>
      <x:c r="H489" s="466" t="n">
        <x:f>IF($J489&lt;&gt;"",REGEXREPLACE(TO_TEXT('_Supporto Listone'!H489),"(.)","$1"&amp;UNICHAR(822)),'_Supporto Listone'!H489)</x:f>
        <x:v>5</x:v>
      </x:c>
      <x:c r="I489" s="450"/>
      <x:c r="J489" s="449" t="str">
        <x:f>IF(COUNTIF(Asta!$B$4:$B$47,'_Supporto Listone'!B489)&gt;0,"Simone",IF(COUNTIF(Asta!$D$4:$D$47,'_Supporto Listone'!B489)&gt;0,"Giacomo",IF(COUNTIF(Asta!$F$4:$F$47,'_Supporto Listone'!B489)&gt;0,"Niko",IF(COUNTIF(Asta!$H$4:$H$47,'_Supporto Listone'!B489)&gt;0,"Quici",IF(COUNTIF(Asta!$J$4:$J$47,'_Supporto Listone'!B489)&gt;0,"Fratello Quici",IF(COUNTIF(Asta!$L$4:$L$47,'_Supporto Listone'!B489)&gt;0,"Nicolò",IF(COUNTIF(Asta!$N$4:$N$47,'_Supporto Listone'!B489)&gt;0,"Vi",IF(COUNTIF(Asta!$P$4:$P$47,'_Supporto Listone'!B489)&gt;0,"Lore",IF(COUNTIF(Asta!$R$4:$R$47,'_Supporto Listone'!B489)&gt;0,"Robbo",IF(COUNTIF(Asta!$T$4:$T$47,'_Supporto Listone'!B489)&gt;0,"Ale",""))))))))))</x:f>
      </x:c>
      <x:c r="K489" s="497" t="str">
        <x:f>IF(COUNTIF(Asta!$B$4:$B$47,'_Supporto Listone'!B489)&gt;0,INDEX(Asta!$C$4:$C$47,MATCH('_Supporto Listone'!B489,Asta!$B$4:$B$47,0)),IF(COUNTIF(Asta!$D$4:$D$47,'_Supporto Listone'!B489)&gt;0,INDEX(Asta!$E$4:$E$47,MATCH('_Supporto Listone'!B489,Asta!$D$4:$D$47,0)),IF(COUNTIF(Asta!$F$4:$F$47,'_Supporto Listone'!B489)&gt;0,INDEX(Asta!$G$4:$G$47,MATCH('_Supporto Listone'!B489,Asta!$F$4:$F$47,0)),IF(COUNTIF(Asta!$H$4:$H$47,'_Supporto Listone'!B489)&gt;0,INDEX(Asta!$I$4:$I$47,MATCH('_Supporto Listone'!B489,Asta!$H$4:$H$47,0)),IF(COUNTIF(Asta!$J$4:$J$47,'_Supporto Listone'!B489)&gt;0,INDEX(Asta!$K$4:$K$47,MATCH('_Supporto Listone'!B489,Asta!$J$4:$J$47,0)),IF(COUNTIF(Asta!$L$4:$L$47,'_Supporto Listone'!B489)&gt;0,INDEX(Asta!$M$4:$M$47,MATCH('_Supporto Listone'!B489,Asta!$L$4:$L$47,0)),IF(COUNTIF(Asta!$N$4:$N$47,'_Supporto Listone'!B489)&gt;0,INDEX(Asta!$O$4:$O$47,MATCH('_Supporto Listone'!B489,Asta!$N$4:$N$47,0)),IF(COUNTIF(Asta!$P$4:$P$47,'_Supporto Listone'!B489)&gt;0,INDEX(Asta!$Q$4:$Q$47,MATCH('_Supporto Listone'!B489,Asta!$P$4:$P$47,0)),IF(COUNTIF(Asta!$R$4:$R$47,'_Supporto Listone'!B489)&gt;0,INDEX(Asta!$S$4:$S$47,MATCH('_Supporto Listone'!B489,Asta!$R$4:$R$47,0)),IF(COUNTIF(Asta!$T$4:$T$47,'_Supporto Listone'!B489)&gt;0,INDEX(Asta!$U$4:$U$47,MATCH('_Supporto Listone'!B489,Asta!$T$4:$T$47,0)),""))))))))))</x:f>
      </x:c>
    </x:row>
    <x:row r="490">
      <x:c r="A490" s="448" t="str">
        <x:f>IF($J490&lt;&gt;"",REGEXREPLACE(TO_TEXT('_Supporto Listone'!A490),"(.)","$1"&amp;UNICHAR(822)),'_Supporto Listone'!A490)</x:f>
        <x:v>A</x:v>
      </x:c>
      <x:c r="B490" s="449" t="str">
        <x:f>IF($J490&lt;&gt;"",REGEXREPLACE(TO_TEXT('_Supporto Listone'!B490),"(.)","$1"&amp;UNICHAR(822)),'_Supporto Listone'!B490)</x:f>
        <x:v>Giovane</x:v>
      </x:c>
      <x:c r="C490" s="449" t="str">
        <x:f>IF($J490&lt;&gt;"",REGEXREPLACE(TO_TEXT('_Supporto Listone'!C490),"(.)","$1"&amp;UNICHAR(822)),'_Supporto Listone'!C490)</x:f>
        <x:v>Napoli</x:v>
      </x:c>
      <x:c r="D490" s="449" t="str">
        <x:f>IF($J490&lt;&gt;"",REGEXREPLACE(TO_TEXT('_Supporto Listone'!D490),"(.)","$1"&amp;UNICHAR(822)),'_Supporto Listone'!D490)</x:f>
        <x:v>A</x:v>
      </x:c>
      <x:c r="E490" s="449" t="str">
        <x:f>IF($J490&lt;&gt;"",REGEXREPLACE(TO_TEXT('_Supporto Listone'!E490),"(.)","$1"&amp;UNICHAR(822)),'_Supporto Listone'!E490)</x:f>
        <x:v>Riserva / rotazione</x:v>
      </x:c>
      <x:c r="F490" s="466" t="n">
        <x:f>IF($J490&lt;&gt;"",REGEXREPLACE(TO_TEXT('_Supporto Listone'!F490),"(.)","$1"&amp;UNICHAR(822)),'_Supporto Listone'!F490)</x:f>
        <x:v>4</x:v>
      </x:c>
      <x:c r="G490" s="466" t="n">
        <x:f>IF($J490&lt;&gt;"",REGEXREPLACE(TO_TEXT('_Supporto Listone'!G490),"(.)","$1"&amp;UNICHAR(822)),'_Supporto Listone'!G490)</x:f>
        <x:v>10</x:v>
      </x:c>
      <x:c r="H490" s="466" t="n">
        <x:f>IF($J490&lt;&gt;"",REGEXREPLACE(TO_TEXT('_Supporto Listone'!H490),"(.)","$1"&amp;UNICHAR(822)),'_Supporto Listone'!H490)</x:f>
        <x:v>5</x:v>
      </x:c>
      <x:c r="I490" s="450"/>
      <x:c r="J490" s="449" t="str">
        <x:f>IF(COUNTIF(Asta!$B$4:$B$47,'_Supporto Listone'!B490)&gt;0,"Simone",IF(COUNTIF(Asta!$D$4:$D$47,'_Supporto Listone'!B490)&gt;0,"Giacomo",IF(COUNTIF(Asta!$F$4:$F$47,'_Supporto Listone'!B490)&gt;0,"Niko",IF(COUNTIF(Asta!$H$4:$H$47,'_Supporto Listone'!B490)&gt;0,"Quici",IF(COUNTIF(Asta!$J$4:$J$47,'_Supporto Listone'!B490)&gt;0,"Fratello Quici",IF(COUNTIF(Asta!$L$4:$L$47,'_Supporto Listone'!B490)&gt;0,"Nicolò",IF(COUNTIF(Asta!$N$4:$N$47,'_Supporto Listone'!B490)&gt;0,"Vi",IF(COUNTIF(Asta!$P$4:$P$47,'_Supporto Listone'!B490)&gt;0,"Lore",IF(COUNTIF(Asta!$R$4:$R$47,'_Supporto Listone'!B490)&gt;0,"Robbo",IF(COUNTIF(Asta!$T$4:$T$47,'_Supporto Listone'!B490)&gt;0,"Ale",""))))))))))</x:f>
      </x:c>
      <x:c r="K490" s="497" t="str">
        <x:f>IF(COUNTIF(Asta!$B$4:$B$47,'_Supporto Listone'!B490)&gt;0,INDEX(Asta!$C$4:$C$47,MATCH('_Supporto Listone'!B490,Asta!$B$4:$B$47,0)),IF(COUNTIF(Asta!$D$4:$D$47,'_Supporto Listone'!B490)&gt;0,INDEX(Asta!$E$4:$E$47,MATCH('_Supporto Listone'!B490,Asta!$D$4:$D$47,0)),IF(COUNTIF(Asta!$F$4:$F$47,'_Supporto Listone'!B490)&gt;0,INDEX(Asta!$G$4:$G$47,MATCH('_Supporto Listone'!B490,Asta!$F$4:$F$47,0)),IF(COUNTIF(Asta!$H$4:$H$47,'_Supporto Listone'!B490)&gt;0,INDEX(Asta!$I$4:$I$47,MATCH('_Supporto Listone'!B490,Asta!$H$4:$H$47,0)),IF(COUNTIF(Asta!$J$4:$J$47,'_Supporto Listone'!B490)&gt;0,INDEX(Asta!$K$4:$K$47,MATCH('_Supporto Listone'!B490,Asta!$J$4:$J$47,0)),IF(COUNTIF(Asta!$L$4:$L$47,'_Supporto Listone'!B490)&gt;0,INDEX(Asta!$M$4:$M$47,MATCH('_Supporto Listone'!B490,Asta!$L$4:$L$47,0)),IF(COUNTIF(Asta!$N$4:$N$47,'_Supporto Listone'!B490)&gt;0,INDEX(Asta!$O$4:$O$47,MATCH('_Supporto Listone'!B490,Asta!$N$4:$N$47,0)),IF(COUNTIF(Asta!$P$4:$P$47,'_Supporto Listone'!B490)&gt;0,INDEX(Asta!$Q$4:$Q$47,MATCH('_Supporto Listone'!B490,Asta!$P$4:$P$47,0)),IF(COUNTIF(Asta!$R$4:$R$47,'_Supporto Listone'!B490)&gt;0,INDEX(Asta!$S$4:$S$47,MATCH('_Supporto Listone'!B490,Asta!$R$4:$R$47,0)),IF(COUNTIF(Asta!$T$4:$T$47,'_Supporto Listone'!B490)&gt;0,INDEX(Asta!$U$4:$U$47,MATCH('_Supporto Listone'!B490,Asta!$T$4:$T$47,0)),""))))))))))</x:f>
      </x:c>
    </x:row>
    <x:row r="491">
      <x:c r="A491" s="448" t="str">
        <x:f>IF($J491&lt;&gt;"",REGEXREPLACE(TO_TEXT('_Supporto Listone'!A491),"(.)","$1"&amp;UNICHAR(822)),'_Supporto Listone'!A491)</x:f>
        <x:v>A</x:v>
      </x:c>
      <x:c r="B491" s="449" t="str">
        <x:f>IF($J491&lt;&gt;"",REGEXREPLACE(TO_TEXT('_Supporto Listone'!B491),"(.)","$1"&amp;UNICHAR(822)),'_Supporto Listone'!B491)</x:f>
        <x:v>Kulenovic</x:v>
      </x:c>
      <x:c r="C491" s="449" t="str">
        <x:f>IF($J491&lt;&gt;"",REGEXREPLACE(TO_TEXT('_Supporto Listone'!C491),"(.)","$1"&amp;UNICHAR(822)),'_Supporto Listone'!C491)</x:f>
        <x:v>Torino</x:v>
      </x:c>
      <x:c r="D491" s="449" t="str">
        <x:f>IF($J491&lt;&gt;"",REGEXREPLACE(TO_TEXT('_Supporto Listone'!D491),"(.)","$1"&amp;UNICHAR(822)),'_Supporto Listone'!D491)</x:f>
        <x:v>Pc</x:v>
      </x:c>
      <x:c r="E491" s="449" t="str">
        <x:f>IF($J491&lt;&gt;"",REGEXREPLACE(TO_TEXT('_Supporto Listone'!E491),"(.)","$1"&amp;UNICHAR(822)),'_Supporto Listone'!E491)</x:f>
        <x:v>Riserva / rotazione</x:v>
      </x:c>
      <x:c r="F491" s="466" t="n">
        <x:f>IF($J491&lt;&gt;"",REGEXREPLACE(TO_TEXT('_Supporto Listone'!F491),"(.)","$1"&amp;UNICHAR(822)),'_Supporto Listone'!F491)</x:f>
        <x:v>4</x:v>
      </x:c>
      <x:c r="G491" s="466" t="n">
        <x:f>IF($J491&lt;&gt;"",REGEXREPLACE(TO_TEXT('_Supporto Listone'!G491),"(.)","$1"&amp;UNICHAR(822)),'_Supporto Listone'!G491)</x:f>
        <x:v>9</x:v>
      </x:c>
      <x:c r="H491" s="466" t="n">
        <x:f>IF($J491&lt;&gt;"",REGEXREPLACE(TO_TEXT('_Supporto Listone'!H491),"(.)","$1"&amp;UNICHAR(822)),'_Supporto Listone'!H491)</x:f>
        <x:v>5</x:v>
      </x:c>
      <x:c r="I491" s="450"/>
      <x:c r="J491" s="449" t="str">
        <x:f>IF(COUNTIF(Asta!$B$4:$B$47,'_Supporto Listone'!B491)&gt;0,"Simone",IF(COUNTIF(Asta!$D$4:$D$47,'_Supporto Listone'!B491)&gt;0,"Giacomo",IF(COUNTIF(Asta!$F$4:$F$47,'_Supporto Listone'!B491)&gt;0,"Niko",IF(COUNTIF(Asta!$H$4:$H$47,'_Supporto Listone'!B491)&gt;0,"Quici",IF(COUNTIF(Asta!$J$4:$J$47,'_Supporto Listone'!B491)&gt;0,"Fratello Quici",IF(COUNTIF(Asta!$L$4:$L$47,'_Supporto Listone'!B491)&gt;0,"Nicolò",IF(COUNTIF(Asta!$N$4:$N$47,'_Supporto Listone'!B491)&gt;0,"Vi",IF(COUNTIF(Asta!$P$4:$P$47,'_Supporto Listone'!B491)&gt;0,"Lore",IF(COUNTIF(Asta!$R$4:$R$47,'_Supporto Listone'!B491)&gt;0,"Robbo",IF(COUNTIF(Asta!$T$4:$T$47,'_Supporto Listone'!B491)&gt;0,"Ale",""))))))))))</x:f>
      </x:c>
      <x:c r="K491" s="497" t="str">
        <x:f>IF(COUNTIF(Asta!$B$4:$B$47,'_Supporto Listone'!B491)&gt;0,INDEX(Asta!$C$4:$C$47,MATCH('_Supporto Listone'!B491,Asta!$B$4:$B$47,0)),IF(COUNTIF(Asta!$D$4:$D$47,'_Supporto Listone'!B491)&gt;0,INDEX(Asta!$E$4:$E$47,MATCH('_Supporto Listone'!B491,Asta!$D$4:$D$47,0)),IF(COUNTIF(Asta!$F$4:$F$47,'_Supporto Listone'!B491)&gt;0,INDEX(Asta!$G$4:$G$47,MATCH('_Supporto Listone'!B491,Asta!$F$4:$F$47,0)),IF(COUNTIF(Asta!$H$4:$H$47,'_Supporto Listone'!B491)&gt;0,INDEX(Asta!$I$4:$I$47,MATCH('_Supporto Listone'!B491,Asta!$H$4:$H$47,0)),IF(COUNTIF(Asta!$J$4:$J$47,'_Supporto Listone'!B491)&gt;0,INDEX(Asta!$K$4:$K$47,MATCH('_Supporto Listone'!B491,Asta!$J$4:$J$47,0)),IF(COUNTIF(Asta!$L$4:$L$47,'_Supporto Listone'!B491)&gt;0,INDEX(Asta!$M$4:$M$47,MATCH('_Supporto Listone'!B491,Asta!$L$4:$L$47,0)),IF(COUNTIF(Asta!$N$4:$N$47,'_Supporto Listone'!B491)&gt;0,INDEX(Asta!$O$4:$O$47,MATCH('_Supporto Listone'!B491,Asta!$N$4:$N$47,0)),IF(COUNTIF(Asta!$P$4:$P$47,'_Supporto Listone'!B491)&gt;0,INDEX(Asta!$Q$4:$Q$47,MATCH('_Supporto Listone'!B491,Asta!$P$4:$P$47,0)),IF(COUNTIF(Asta!$R$4:$R$47,'_Supporto Listone'!B491)&gt;0,INDEX(Asta!$S$4:$S$47,MATCH('_Supporto Listone'!B491,Asta!$R$4:$R$47,0)),IF(COUNTIF(Asta!$T$4:$T$47,'_Supporto Listone'!B491)&gt;0,INDEX(Asta!$U$4:$U$47,MATCH('_Supporto Listone'!B491,Asta!$T$4:$T$47,0)),""))))))))))</x:f>
      </x:c>
    </x:row>
    <x:row r="492">
      <x:c r="A492" s="448" t="str">
        <x:f>IF($J492&lt;&gt;"",REGEXREPLACE(TO_TEXT('_Supporto Listone'!A492),"(.)","$1"&amp;UNICHAR(822)),'_Supporto Listone'!A492)</x:f>
        <x:v>A</x:v>
      </x:c>
      <x:c r="B492" s="449" t="str">
        <x:f>IF($J492&lt;&gt;"",REGEXREPLACE(TO_TEXT('_Supporto Listone'!B492),"(.)","$1"&amp;UNICHAR(822)),'_Supporto Listone'!B492)</x:f>
        <x:v>Gueye</x:v>
      </x:c>
      <x:c r="C492" s="449" t="str">
        <x:f>IF($J492&lt;&gt;"",REGEXREPLACE(TO_TEXT('_Supporto Listone'!C492),"(.)","$1"&amp;UNICHAR(822)),'_Supporto Listone'!C492)</x:f>
        <x:v>Udinese</x:v>
      </x:c>
      <x:c r="D492" s="449" t="str">
        <x:f>IF($J492&lt;&gt;"",REGEXREPLACE(TO_TEXT('_Supporto Listone'!D492),"(.)","$1"&amp;UNICHAR(822)),'_Supporto Listone'!D492)</x:f>
        <x:v>Pc</x:v>
      </x:c>
      <x:c r="E492" s="449" t="str">
        <x:f>IF($J492&lt;&gt;"",REGEXREPLACE(TO_TEXT('_Supporto Listone'!E492),"(.)","$1"&amp;UNICHAR(822)),'_Supporto Listone'!E492)</x:f>
        <x:v>Riserva / rotazione</x:v>
      </x:c>
      <x:c r="F492" s="466" t="n">
        <x:f>IF($J492&lt;&gt;"",REGEXREPLACE(TO_TEXT('_Supporto Listone'!F492),"(.)","$1"&amp;UNICHAR(822)),'_Supporto Listone'!F492)</x:f>
        <x:v>4</x:v>
      </x:c>
      <x:c r="G492" s="466" t="n">
        <x:f>IF($J492&lt;&gt;"",REGEXREPLACE(TO_TEXT('_Supporto Listone'!G492),"(.)","$1"&amp;UNICHAR(822)),'_Supporto Listone'!G492)</x:f>
        <x:v>7</x:v>
      </x:c>
      <x:c r="H492" s="466" t="n">
        <x:f>IF($J492&lt;&gt;"",REGEXREPLACE(TO_TEXT('_Supporto Listone'!H492),"(.)","$1"&amp;UNICHAR(822)),'_Supporto Listone'!H492)</x:f>
        <x:v>4</x:v>
      </x:c>
      <x:c r="I492" s="450"/>
      <x:c r="J492" s="449" t="str">
        <x:f>IF(COUNTIF(Asta!$B$4:$B$47,'_Supporto Listone'!B492)&gt;0,"Simone",IF(COUNTIF(Asta!$D$4:$D$47,'_Supporto Listone'!B492)&gt;0,"Giacomo",IF(COUNTIF(Asta!$F$4:$F$47,'_Supporto Listone'!B492)&gt;0,"Niko",IF(COUNTIF(Asta!$H$4:$H$47,'_Supporto Listone'!B492)&gt;0,"Quici",IF(COUNTIF(Asta!$J$4:$J$47,'_Supporto Listone'!B492)&gt;0,"Fratello Quici",IF(COUNTIF(Asta!$L$4:$L$47,'_Supporto Listone'!B492)&gt;0,"Nicolò",IF(COUNTIF(Asta!$N$4:$N$47,'_Supporto Listone'!B492)&gt;0,"Vi",IF(COUNTIF(Asta!$P$4:$P$47,'_Supporto Listone'!B492)&gt;0,"Lore",IF(COUNTIF(Asta!$R$4:$R$47,'_Supporto Listone'!B492)&gt;0,"Robbo",IF(COUNTIF(Asta!$T$4:$T$47,'_Supporto Listone'!B492)&gt;0,"Ale",""))))))))))</x:f>
      </x:c>
      <x:c r="K492" s="497" t="str">
        <x:f>IF(COUNTIF(Asta!$B$4:$B$47,'_Supporto Listone'!B492)&gt;0,INDEX(Asta!$C$4:$C$47,MATCH('_Supporto Listone'!B492,Asta!$B$4:$B$47,0)),IF(COUNTIF(Asta!$D$4:$D$47,'_Supporto Listone'!B492)&gt;0,INDEX(Asta!$E$4:$E$47,MATCH('_Supporto Listone'!B492,Asta!$D$4:$D$47,0)),IF(COUNTIF(Asta!$F$4:$F$47,'_Supporto Listone'!B492)&gt;0,INDEX(Asta!$G$4:$G$47,MATCH('_Supporto Listone'!B492,Asta!$F$4:$F$47,0)),IF(COUNTIF(Asta!$H$4:$H$47,'_Supporto Listone'!B492)&gt;0,INDEX(Asta!$I$4:$I$47,MATCH('_Supporto Listone'!B492,Asta!$H$4:$H$47,0)),IF(COUNTIF(Asta!$J$4:$J$47,'_Supporto Listone'!B492)&gt;0,INDEX(Asta!$K$4:$K$47,MATCH('_Supporto Listone'!B492,Asta!$J$4:$J$47,0)),IF(COUNTIF(Asta!$L$4:$L$47,'_Supporto Listone'!B492)&gt;0,INDEX(Asta!$M$4:$M$47,MATCH('_Supporto Listone'!B492,Asta!$L$4:$L$47,0)),IF(COUNTIF(Asta!$N$4:$N$47,'_Supporto Listone'!B492)&gt;0,INDEX(Asta!$O$4:$O$47,MATCH('_Supporto Listone'!B492,Asta!$N$4:$N$47,0)),IF(COUNTIF(Asta!$P$4:$P$47,'_Supporto Listone'!B492)&gt;0,INDEX(Asta!$Q$4:$Q$47,MATCH('_Supporto Listone'!B492,Asta!$P$4:$P$47,0)),IF(COUNTIF(Asta!$R$4:$R$47,'_Supporto Listone'!B492)&gt;0,INDEX(Asta!$S$4:$S$47,MATCH('_Supporto Listone'!B492,Asta!$R$4:$R$47,0)),IF(COUNTIF(Asta!$T$4:$T$47,'_Supporto Listone'!B492)&gt;0,INDEX(Asta!$U$4:$U$47,MATCH('_Supporto Listone'!B492,Asta!$T$4:$T$47,0)),""))))))))))</x:f>
      </x:c>
    </x:row>
    <x:row r="493">
      <x:c r="A493" s="448" t="str">
        <x:f>IF($J493&lt;&gt;"",REGEXREPLACE(TO_TEXT('_Supporto Listone'!A493),"(.)","$1"&amp;UNICHAR(822)),'_Supporto Listone'!A493)</x:f>
        <x:v>A</x:v>
      </x:c>
      <x:c r="B493" s="449" t="str">
        <x:f>IF($J493&lt;&gt;"",REGEXREPLACE(TO_TEXT('_Supporto Listone'!B493),"(.)","$1"&amp;UNICHAR(822)),'_Supporto Listone'!B493)</x:f>
        <x:v>Kuhn</x:v>
      </x:c>
      <x:c r="C493" s="449" t="str">
        <x:f>IF($J493&lt;&gt;"",REGEXREPLACE(TO_TEXT('_Supporto Listone'!C493),"(.)","$1"&amp;UNICHAR(822)),'_Supporto Listone'!C493)</x:f>
        <x:v>Como</x:v>
      </x:c>
      <x:c r="D493" s="449" t="str">
        <x:f>IF($J493&lt;&gt;"",REGEXREPLACE(TO_TEXT('_Supporto Listone'!D493),"(.)","$1"&amp;UNICHAR(822)),'_Supporto Listone'!D493)</x:f>
        <x:v>W;A</x:v>
      </x:c>
      <x:c r="E493" s="449" t="str">
        <x:f>IF($J493&lt;&gt;"",REGEXREPLACE(TO_TEXT('_Supporto Listone'!E493),"(.)","$1"&amp;UNICHAR(822)),'_Supporto Listone'!E493)</x:f>
        <x:v>Riserva / rotazione</x:v>
      </x:c>
      <x:c r="F493" s="466" t="n">
        <x:f>IF($J493&lt;&gt;"",REGEXREPLACE(TO_TEXT('_Supporto Listone'!F493),"(.)","$1"&amp;UNICHAR(822)),'_Supporto Listone'!F493)</x:f>
        <x:v>3</x:v>
      </x:c>
      <x:c r="G493" s="466" t="n">
        <x:f>IF($J493&lt;&gt;"",REGEXREPLACE(TO_TEXT('_Supporto Listone'!G493),"(.)","$1"&amp;UNICHAR(822)),'_Supporto Listone'!G493)</x:f>
        <x:v>5</x:v>
      </x:c>
      <x:c r="H493" s="466" t="n">
        <x:f>IF($J493&lt;&gt;"",REGEXREPLACE(TO_TEXT('_Supporto Listone'!H493),"(.)","$1"&amp;UNICHAR(822)),'_Supporto Listone'!H493)</x:f>
        <x:v>3</x:v>
      </x:c>
      <x:c r="I493" s="450"/>
      <x:c r="J493" s="449" t="str">
        <x:f>IF(COUNTIF(Asta!$B$4:$B$47,'_Supporto Listone'!B493)&gt;0,"Simone",IF(COUNTIF(Asta!$D$4:$D$47,'_Supporto Listone'!B493)&gt;0,"Giacomo",IF(COUNTIF(Asta!$F$4:$F$47,'_Supporto Listone'!B493)&gt;0,"Niko",IF(COUNTIF(Asta!$H$4:$H$47,'_Supporto Listone'!B493)&gt;0,"Quici",IF(COUNTIF(Asta!$J$4:$J$47,'_Supporto Listone'!B493)&gt;0,"Fratello Quici",IF(COUNTIF(Asta!$L$4:$L$47,'_Supporto Listone'!B493)&gt;0,"Nicolò",IF(COUNTIF(Asta!$N$4:$N$47,'_Supporto Listone'!B493)&gt;0,"Vi",IF(COUNTIF(Asta!$P$4:$P$47,'_Supporto Listone'!B493)&gt;0,"Lore",IF(COUNTIF(Asta!$R$4:$R$47,'_Supporto Listone'!B493)&gt;0,"Robbo",IF(COUNTIF(Asta!$T$4:$T$47,'_Supporto Listone'!B493)&gt;0,"Ale",""))))))))))</x:f>
      </x:c>
      <x:c r="K493" s="497" t="str">
        <x:f>IF(COUNTIF(Asta!$B$4:$B$47,'_Supporto Listone'!B493)&gt;0,INDEX(Asta!$C$4:$C$47,MATCH('_Supporto Listone'!B493,Asta!$B$4:$B$47,0)),IF(COUNTIF(Asta!$D$4:$D$47,'_Supporto Listone'!B493)&gt;0,INDEX(Asta!$E$4:$E$47,MATCH('_Supporto Listone'!B493,Asta!$D$4:$D$47,0)),IF(COUNTIF(Asta!$F$4:$F$47,'_Supporto Listone'!B493)&gt;0,INDEX(Asta!$G$4:$G$47,MATCH('_Supporto Listone'!B493,Asta!$F$4:$F$47,0)),IF(COUNTIF(Asta!$H$4:$H$47,'_Supporto Listone'!B493)&gt;0,INDEX(Asta!$I$4:$I$47,MATCH('_Supporto Listone'!B493,Asta!$H$4:$H$47,0)),IF(COUNTIF(Asta!$J$4:$J$47,'_Supporto Listone'!B493)&gt;0,INDEX(Asta!$K$4:$K$47,MATCH('_Supporto Listone'!B493,Asta!$J$4:$J$47,0)),IF(COUNTIF(Asta!$L$4:$L$47,'_Supporto Listone'!B493)&gt;0,INDEX(Asta!$M$4:$M$47,MATCH('_Supporto Listone'!B493,Asta!$L$4:$L$47,0)),IF(COUNTIF(Asta!$N$4:$N$47,'_Supporto Listone'!B493)&gt;0,INDEX(Asta!$O$4:$O$47,MATCH('_Supporto Listone'!B493,Asta!$N$4:$N$47,0)),IF(COUNTIF(Asta!$P$4:$P$47,'_Supporto Listone'!B493)&gt;0,INDEX(Asta!$Q$4:$Q$47,MATCH('_Supporto Listone'!B493,Asta!$P$4:$P$47,0)),IF(COUNTIF(Asta!$R$4:$R$47,'_Supporto Listone'!B493)&gt;0,INDEX(Asta!$S$4:$S$47,MATCH('_Supporto Listone'!B493,Asta!$R$4:$R$47,0)),IF(COUNTIF(Asta!$T$4:$T$47,'_Supporto Listone'!B493)&gt;0,INDEX(Asta!$U$4:$U$47,MATCH('_Supporto Listone'!B493,Asta!$T$4:$T$47,0)),""))))))))))</x:f>
      </x:c>
    </x:row>
    <x:row r="494">
      <x:c r="A494" s="448" t="str">
        <x:f>IF($J494&lt;&gt;"",REGEXREPLACE(TO_TEXT('_Supporto Listone'!A494),"(.)","$1"&amp;UNICHAR(822)),'_Supporto Listone'!A494)</x:f>
        <x:v>A</x:v>
      </x:c>
      <x:c r="B494" s="449" t="str">
        <x:f>IF($J494&lt;&gt;"",REGEXREPLACE(TO_TEXT('_Supporto Listone'!B494),"(.)","$1"&amp;UNICHAR(822)),'_Supporto Listone'!B494)</x:f>
        <x:v>Ekhator</x:v>
      </x:c>
      <x:c r="C494" s="449" t="str">
        <x:f>IF($J494&lt;&gt;"",REGEXREPLACE(TO_TEXT('_Supporto Listone'!C494),"(.)","$1"&amp;UNICHAR(822)),'_Supporto Listone'!C494)</x:f>
        <x:v>Juventus</x:v>
      </x:c>
      <x:c r="D494" s="449" t="str">
        <x:f>IF($J494&lt;&gt;"",REGEXREPLACE(TO_TEXT('_Supporto Listone'!D494),"(.)","$1"&amp;UNICHAR(822)),'_Supporto Listone'!D494)</x:f>
        <x:v>A</x:v>
      </x:c>
      <x:c r="E494" s="449" t="str">
        <x:f>IF($J494&lt;&gt;"",REGEXREPLACE(TO_TEXT('_Supporto Listone'!E494),"(.)","$1"&amp;UNICHAR(822)),'_Supporto Listone'!E494)</x:f>
        <x:v>Riserva / rotazione</x:v>
      </x:c>
      <x:c r="F494" s="466" t="n">
        <x:f>IF($J494&lt;&gt;"",REGEXREPLACE(TO_TEXT('_Supporto Listone'!F494),"(.)","$1"&amp;UNICHAR(822)),'_Supporto Listone'!F494)</x:f>
        <x:v>3</x:v>
      </x:c>
      <x:c r="G494" s="466" t="n">
        <x:f>IF($J494&lt;&gt;"",REGEXREPLACE(TO_TEXT('_Supporto Listone'!G494),"(.)","$1"&amp;UNICHAR(822)),'_Supporto Listone'!G494)</x:f>
        <x:v>10</x:v>
      </x:c>
      <x:c r="H494" s="466" t="n">
        <x:f>IF($J494&lt;&gt;"",REGEXREPLACE(TO_TEXT('_Supporto Listone'!H494),"(.)","$1"&amp;UNICHAR(822)),'_Supporto Listone'!H494)</x:f>
        <x:v>5</x:v>
      </x:c>
      <x:c r="I494" s="450"/>
      <x:c r="J494" s="449" t="str">
        <x:f>IF(COUNTIF(Asta!$B$4:$B$47,'_Supporto Listone'!B494)&gt;0,"Simone",IF(COUNTIF(Asta!$D$4:$D$47,'_Supporto Listone'!B494)&gt;0,"Giacomo",IF(COUNTIF(Asta!$F$4:$F$47,'_Supporto Listone'!B494)&gt;0,"Niko",IF(COUNTIF(Asta!$H$4:$H$47,'_Supporto Listone'!B494)&gt;0,"Quici",IF(COUNTIF(Asta!$J$4:$J$47,'_Supporto Listone'!B494)&gt;0,"Fratello Quici",IF(COUNTIF(Asta!$L$4:$L$47,'_Supporto Listone'!B494)&gt;0,"Nicolò",IF(COUNTIF(Asta!$N$4:$N$47,'_Supporto Listone'!B494)&gt;0,"Vi",IF(COUNTIF(Asta!$P$4:$P$47,'_Supporto Listone'!B494)&gt;0,"Lore",IF(COUNTIF(Asta!$R$4:$R$47,'_Supporto Listone'!B494)&gt;0,"Robbo",IF(COUNTIF(Asta!$T$4:$T$47,'_Supporto Listone'!B494)&gt;0,"Ale",""))))))))))</x:f>
      </x:c>
      <x:c r="K494" s="497" t="str">
        <x:f>IF(COUNTIF(Asta!$B$4:$B$47,'_Supporto Listone'!B494)&gt;0,INDEX(Asta!$C$4:$C$47,MATCH('_Supporto Listone'!B494,Asta!$B$4:$B$47,0)),IF(COUNTIF(Asta!$D$4:$D$47,'_Supporto Listone'!B494)&gt;0,INDEX(Asta!$E$4:$E$47,MATCH('_Supporto Listone'!B494,Asta!$D$4:$D$47,0)),IF(COUNTIF(Asta!$F$4:$F$47,'_Supporto Listone'!B494)&gt;0,INDEX(Asta!$G$4:$G$47,MATCH('_Supporto Listone'!B494,Asta!$F$4:$F$47,0)),IF(COUNTIF(Asta!$H$4:$H$47,'_Supporto Listone'!B494)&gt;0,INDEX(Asta!$I$4:$I$47,MATCH('_Supporto Listone'!B494,Asta!$H$4:$H$47,0)),IF(COUNTIF(Asta!$J$4:$J$47,'_Supporto Listone'!B494)&gt;0,INDEX(Asta!$K$4:$K$47,MATCH('_Supporto Listone'!B494,Asta!$J$4:$J$47,0)),IF(COUNTIF(Asta!$L$4:$L$47,'_Supporto Listone'!B494)&gt;0,INDEX(Asta!$M$4:$M$47,MATCH('_Supporto Listone'!B494,Asta!$L$4:$L$47,0)),IF(COUNTIF(Asta!$N$4:$N$47,'_Supporto Listone'!B494)&gt;0,INDEX(Asta!$O$4:$O$47,MATCH('_Supporto Listone'!B494,Asta!$N$4:$N$47,0)),IF(COUNTIF(Asta!$P$4:$P$47,'_Supporto Listone'!B494)&gt;0,INDEX(Asta!$Q$4:$Q$47,MATCH('_Supporto Listone'!B494,Asta!$P$4:$P$47,0)),IF(COUNTIF(Asta!$R$4:$R$47,'_Supporto Listone'!B494)&gt;0,INDEX(Asta!$S$4:$S$47,MATCH('_Supporto Listone'!B494,Asta!$R$4:$R$47,0)),IF(COUNTIF(Asta!$T$4:$T$47,'_Supporto Listone'!B494)&gt;0,INDEX(Asta!$U$4:$U$47,MATCH('_Supporto Listone'!B494,Asta!$T$4:$T$47,0)),""))))))))))</x:f>
      </x:c>
    </x:row>
    <x:row r="495">
      <x:c r="A495" s="448" t="str">
        <x:f>IF($J495&lt;&gt;"",REGEXREPLACE(TO_TEXT('_Supporto Listone'!A495),"(.)","$1"&amp;UNICHAR(822)),'_Supporto Listone'!A495)</x:f>
        <x:v>A</x:v>
      </x:c>
      <x:c r="B495" s="449" t="str">
        <x:f>IF($J495&lt;&gt;"",REGEXREPLACE(TO_TEXT('_Supporto Listone'!B495),"(.)","$1"&amp;UNICHAR(822)),'_Supporto Listone'!B495)</x:f>
        <x:v>N'Dri</x:v>
      </x:c>
      <x:c r="C495" s="449" t="str">
        <x:f>IF($J495&lt;&gt;"",REGEXREPLACE(TO_TEXT('_Supporto Listone'!C495),"(.)","$1"&amp;UNICHAR(822)),'_Supporto Listone'!C495)</x:f>
        <x:v>Lecce</x:v>
      </x:c>
      <x:c r="D495" s="449" t="str">
        <x:f>IF($J495&lt;&gt;"",REGEXREPLACE(TO_TEXT('_Supporto Listone'!D495),"(.)","$1"&amp;UNICHAR(822)),'_Supporto Listone'!D495)</x:f>
        <x:v>W;A</x:v>
      </x:c>
      <x:c r="E495" s="449" t="str">
        <x:f>IF($J495&lt;&gt;"",REGEXREPLACE(TO_TEXT('_Supporto Listone'!E495),"(.)","$1"&amp;UNICHAR(822)),'_Supporto Listone'!E495)</x:f>
        <x:v>Riserva / rotazione</x:v>
      </x:c>
      <x:c r="F495" s="466" t="n">
        <x:f>IF($J495&lt;&gt;"",REGEXREPLACE(TO_TEXT('_Supporto Listone'!F495),"(.)","$1"&amp;UNICHAR(822)),'_Supporto Listone'!F495)</x:f>
        <x:v>3</x:v>
      </x:c>
      <x:c r="G495" s="466" t="n">
        <x:f>IF($J495&lt;&gt;"",REGEXREPLACE(TO_TEXT('_Supporto Listone'!G495),"(.)","$1"&amp;UNICHAR(822)),'_Supporto Listone'!G495)</x:f>
        <x:v>9</x:v>
      </x:c>
      <x:c r="H495" s="466" t="n">
        <x:f>IF($J495&lt;&gt;"",REGEXREPLACE(TO_TEXT('_Supporto Listone'!H495),"(.)","$1"&amp;UNICHAR(822)),'_Supporto Listone'!H495)</x:f>
        <x:v>5</x:v>
      </x:c>
      <x:c r="I495" s="450"/>
      <x:c r="J495" s="449" t="str">
        <x:f>IF(COUNTIF(Asta!$B$4:$B$47,'_Supporto Listone'!B495)&gt;0,"Simone",IF(COUNTIF(Asta!$D$4:$D$47,'_Supporto Listone'!B495)&gt;0,"Giacomo",IF(COUNTIF(Asta!$F$4:$F$47,'_Supporto Listone'!B495)&gt;0,"Niko",IF(COUNTIF(Asta!$H$4:$H$47,'_Supporto Listone'!B495)&gt;0,"Quici",IF(COUNTIF(Asta!$J$4:$J$47,'_Supporto Listone'!B495)&gt;0,"Fratello Quici",IF(COUNTIF(Asta!$L$4:$L$47,'_Supporto Listone'!B495)&gt;0,"Nicolò",IF(COUNTIF(Asta!$N$4:$N$47,'_Supporto Listone'!B495)&gt;0,"Vi",IF(COUNTIF(Asta!$P$4:$P$47,'_Supporto Listone'!B495)&gt;0,"Lore",IF(COUNTIF(Asta!$R$4:$R$47,'_Supporto Listone'!B495)&gt;0,"Robbo",IF(COUNTIF(Asta!$T$4:$T$47,'_Supporto Listone'!B495)&gt;0,"Ale",""))))))))))</x:f>
      </x:c>
      <x:c r="K495" s="497" t="str">
        <x:f>IF(COUNTIF(Asta!$B$4:$B$47,'_Supporto Listone'!B495)&gt;0,INDEX(Asta!$C$4:$C$47,MATCH('_Supporto Listone'!B495,Asta!$B$4:$B$47,0)),IF(COUNTIF(Asta!$D$4:$D$47,'_Supporto Listone'!B495)&gt;0,INDEX(Asta!$E$4:$E$47,MATCH('_Supporto Listone'!B495,Asta!$D$4:$D$47,0)),IF(COUNTIF(Asta!$F$4:$F$47,'_Supporto Listone'!B495)&gt;0,INDEX(Asta!$G$4:$G$47,MATCH('_Supporto Listone'!B495,Asta!$F$4:$F$47,0)),IF(COUNTIF(Asta!$H$4:$H$47,'_Supporto Listone'!B495)&gt;0,INDEX(Asta!$I$4:$I$47,MATCH('_Supporto Listone'!B495,Asta!$H$4:$H$47,0)),IF(COUNTIF(Asta!$J$4:$J$47,'_Supporto Listone'!B495)&gt;0,INDEX(Asta!$K$4:$K$47,MATCH('_Supporto Listone'!B495,Asta!$J$4:$J$47,0)),IF(COUNTIF(Asta!$L$4:$L$47,'_Supporto Listone'!B495)&gt;0,INDEX(Asta!$M$4:$M$47,MATCH('_Supporto Listone'!B495,Asta!$L$4:$L$47,0)),IF(COUNTIF(Asta!$N$4:$N$47,'_Supporto Listone'!B495)&gt;0,INDEX(Asta!$O$4:$O$47,MATCH('_Supporto Listone'!B495,Asta!$N$4:$N$47,0)),IF(COUNTIF(Asta!$P$4:$P$47,'_Supporto Listone'!B495)&gt;0,INDEX(Asta!$Q$4:$Q$47,MATCH('_Supporto Listone'!B495,Asta!$P$4:$P$47,0)),IF(COUNTIF(Asta!$R$4:$R$47,'_Supporto Listone'!B495)&gt;0,INDEX(Asta!$S$4:$S$47,MATCH('_Supporto Listone'!B495,Asta!$R$4:$R$47,0)),IF(COUNTIF(Asta!$T$4:$T$47,'_Supporto Listone'!B495)&gt;0,INDEX(Asta!$U$4:$U$47,MATCH('_Supporto Listone'!B495,Asta!$T$4:$T$47,0)),""))))))))))</x:f>
      </x:c>
    </x:row>
    <x:row r="496">
      <x:c r="A496" s="448" t="str">
        <x:f>IF($J496&lt;&gt;"",REGEXREPLACE(TO_TEXT('_Supporto Listone'!A496),"(.)","$1"&amp;UNICHAR(822)),'_Supporto Listone'!A496)</x:f>
        <x:v>A</x:v>
      </x:c>
      <x:c r="B496" s="449" t="str">
        <x:f>IF($J496&lt;&gt;"",REGEXREPLACE(TO_TEXT('_Supporto Listone'!B496),"(.)","$1"&amp;UNICHAR(822)),'_Supporto Listone'!B496)</x:f>
        <x:v>Varela G.</x:v>
      </x:c>
      <x:c r="C496" s="449" t="str">
        <x:f>IF($J496&lt;&gt;"",REGEXREPLACE(TO_TEXT('_Supporto Listone'!C496),"(.)","$1"&amp;UNICHAR(822)),'_Supporto Listone'!C496)</x:f>
        <x:v>Monza</x:v>
      </x:c>
      <x:c r="D496" s="449" t="str">
        <x:f>IF($J496&lt;&gt;"",REGEXREPLACE(TO_TEXT('_Supporto Listone'!D496),"(.)","$1"&amp;UNICHAR(822)),'_Supporto Listone'!D496)</x:f>
        <x:v>Pc</x:v>
      </x:c>
      <x:c r="E496" s="449" t="str">
        <x:f>IF($J496&lt;&gt;"",REGEXREPLACE(TO_TEXT('_Supporto Listone'!E496),"(.)","$1"&amp;UNICHAR(822)),'_Supporto Listone'!E496)</x:f>
        <x:v>Titolare / ballottaggio</x:v>
      </x:c>
      <x:c r="F496" s="466" t="n">
        <x:f>IF($J496&lt;&gt;"",REGEXREPLACE(TO_TEXT('_Supporto Listone'!F496),"(.)","$1"&amp;UNICHAR(822)),'_Supporto Listone'!F496)</x:f>
        <x:v>3</x:v>
      </x:c>
      <x:c r="G496" s="466" t="n">
        <x:f>IF($J496&lt;&gt;"",REGEXREPLACE(TO_TEXT('_Supporto Listone'!G496),"(.)","$1"&amp;UNICHAR(822)),'_Supporto Listone'!G496)</x:f>
        <x:v>7</x:v>
      </x:c>
      <x:c r="H496" s="466" t="n">
        <x:f>IF($J496&lt;&gt;"",REGEXREPLACE(TO_TEXT('_Supporto Listone'!H496),"(.)","$1"&amp;UNICHAR(822)),'_Supporto Listone'!H496)</x:f>
        <x:v>4</x:v>
      </x:c>
      <x:c r="I496" s="450" t="str">
        <x:f>IF($J496&lt;&gt;"",REGEXREPLACE(TO_TEXT('_Supporto Listone'!I496),"(.)","$1"&amp;UNICHAR(822)),'_Supporto Listone'!I496)</x:f>
        <x:v>Rigorista</x:v>
      </x:c>
      <x:c r="J496" s="449" t="str">
        <x:f>IF(COUNTIF(Asta!$B$4:$B$47,'_Supporto Listone'!B496)&gt;0,"Simone",IF(COUNTIF(Asta!$D$4:$D$47,'_Supporto Listone'!B496)&gt;0,"Giacomo",IF(COUNTIF(Asta!$F$4:$F$47,'_Supporto Listone'!B496)&gt;0,"Niko",IF(COUNTIF(Asta!$H$4:$H$47,'_Supporto Listone'!B496)&gt;0,"Quici",IF(COUNTIF(Asta!$J$4:$J$47,'_Supporto Listone'!B496)&gt;0,"Fratello Quici",IF(COUNTIF(Asta!$L$4:$L$47,'_Supporto Listone'!B496)&gt;0,"Nicolò",IF(COUNTIF(Asta!$N$4:$N$47,'_Supporto Listone'!B496)&gt;0,"Vi",IF(COUNTIF(Asta!$P$4:$P$47,'_Supporto Listone'!B496)&gt;0,"Lore",IF(COUNTIF(Asta!$R$4:$R$47,'_Supporto Listone'!B496)&gt;0,"Robbo",IF(COUNTIF(Asta!$T$4:$T$47,'_Supporto Listone'!B496)&gt;0,"Ale",""))))))))))</x:f>
      </x:c>
      <x:c r="K496" s="497" t="str">
        <x:f>IF(COUNTIF(Asta!$B$4:$B$47,'_Supporto Listone'!B496)&gt;0,INDEX(Asta!$C$4:$C$47,MATCH('_Supporto Listone'!B496,Asta!$B$4:$B$47,0)),IF(COUNTIF(Asta!$D$4:$D$47,'_Supporto Listone'!B496)&gt;0,INDEX(Asta!$E$4:$E$47,MATCH('_Supporto Listone'!B496,Asta!$D$4:$D$47,0)),IF(COUNTIF(Asta!$F$4:$F$47,'_Supporto Listone'!B496)&gt;0,INDEX(Asta!$G$4:$G$47,MATCH('_Supporto Listone'!B496,Asta!$F$4:$F$47,0)),IF(COUNTIF(Asta!$H$4:$H$47,'_Supporto Listone'!B496)&gt;0,INDEX(Asta!$I$4:$I$47,MATCH('_Supporto Listone'!B496,Asta!$H$4:$H$47,0)),IF(COUNTIF(Asta!$J$4:$J$47,'_Supporto Listone'!B496)&gt;0,INDEX(Asta!$K$4:$K$47,MATCH('_Supporto Listone'!B496,Asta!$J$4:$J$47,0)),IF(COUNTIF(Asta!$L$4:$L$47,'_Supporto Listone'!B496)&gt;0,INDEX(Asta!$M$4:$M$47,MATCH('_Supporto Listone'!B496,Asta!$L$4:$L$47,0)),IF(COUNTIF(Asta!$N$4:$N$47,'_Supporto Listone'!B496)&gt;0,INDEX(Asta!$O$4:$O$47,MATCH('_Supporto Listone'!B496,Asta!$N$4:$N$47,0)),IF(COUNTIF(Asta!$P$4:$P$47,'_Supporto Listone'!B496)&gt;0,INDEX(Asta!$Q$4:$Q$47,MATCH('_Supporto Listone'!B496,Asta!$P$4:$P$47,0)),IF(COUNTIF(Asta!$R$4:$R$47,'_Supporto Listone'!B496)&gt;0,INDEX(Asta!$S$4:$S$47,MATCH('_Supporto Listone'!B496,Asta!$R$4:$R$47,0)),IF(COUNTIF(Asta!$T$4:$T$47,'_Supporto Listone'!B496)&gt;0,INDEX(Asta!$U$4:$U$47,MATCH('_Supporto Listone'!B496,Asta!$T$4:$T$47,0)),""))))))))))</x:f>
      </x:c>
    </x:row>
    <x:row r="497">
      <x:c r="A497" s="448" t="str">
        <x:f>IF($J497&lt;&gt;"",REGEXREPLACE(TO_TEXT('_Supporto Listone'!A497),"(.)","$1"&amp;UNICHAR(822)),'_Supporto Listone'!A497)</x:f>
        <x:v>A</x:v>
      </x:c>
      <x:c r="B497" s="449" t="str">
        <x:f>IF($J497&lt;&gt;"",REGEXREPLACE(TO_TEXT('_Supporto Listone'!B497),"(.)","$1"&amp;UNICHAR(822)),'_Supporto Listone'!B497)</x:f>
        <x:v>Lang</x:v>
      </x:c>
      <x:c r="C497" s="449" t="str">
        <x:f>IF($J497&lt;&gt;"",REGEXREPLACE(TO_TEXT('_Supporto Listone'!C497),"(.)","$1"&amp;UNICHAR(822)),'_Supporto Listone'!C497)</x:f>
        <x:v>Napoli</x:v>
      </x:c>
      <x:c r="D497" s="449" t="str">
        <x:f>IF($J497&lt;&gt;"",REGEXREPLACE(TO_TEXT('_Supporto Listone'!D497),"(.)","$1"&amp;UNICHAR(822)),'_Supporto Listone'!D497)</x:f>
        <x:v>A</x:v>
      </x:c>
      <x:c r="E497" s="449" t="str">
        <x:f>IF($J497&lt;&gt;"",REGEXREPLACE(TO_TEXT('_Supporto Listone'!E497),"(.)","$1"&amp;UNICHAR(822)),'_Supporto Listone'!E497)</x:f>
        <x:v>Riserva / rotazione</x:v>
      </x:c>
      <x:c r="F497" s="466" t="n">
        <x:f>IF($J497&lt;&gt;"",REGEXREPLACE(TO_TEXT('_Supporto Listone'!F497),"(.)","$1"&amp;UNICHAR(822)),'_Supporto Listone'!F497)</x:f>
        <x:v>3</x:v>
      </x:c>
      <x:c r="G497" s="466" t="n">
        <x:f>IF($J497&lt;&gt;"",REGEXREPLACE(TO_TEXT('_Supporto Listone'!G497),"(.)","$1"&amp;UNICHAR(822)),'_Supporto Listone'!G497)</x:f>
        <x:v>10</x:v>
      </x:c>
      <x:c r="H497" s="466" t="n">
        <x:f>IF($J497&lt;&gt;"",REGEXREPLACE(TO_TEXT('_Supporto Listone'!H497),"(.)","$1"&amp;UNICHAR(822)),'_Supporto Listone'!H497)</x:f>
        <x:v>5</x:v>
      </x:c>
      <x:c r="I497" s="450"/>
      <x:c r="J497" s="449" t="str">
        <x:f>IF(COUNTIF(Asta!$B$4:$B$47,'_Supporto Listone'!B497)&gt;0,"Simone",IF(COUNTIF(Asta!$D$4:$D$47,'_Supporto Listone'!B497)&gt;0,"Giacomo",IF(COUNTIF(Asta!$F$4:$F$47,'_Supporto Listone'!B497)&gt;0,"Niko",IF(COUNTIF(Asta!$H$4:$H$47,'_Supporto Listone'!B497)&gt;0,"Quici",IF(COUNTIF(Asta!$J$4:$J$47,'_Supporto Listone'!B497)&gt;0,"Fratello Quici",IF(COUNTIF(Asta!$L$4:$L$47,'_Supporto Listone'!B497)&gt;0,"Nicolò",IF(COUNTIF(Asta!$N$4:$N$47,'_Supporto Listone'!B497)&gt;0,"Vi",IF(COUNTIF(Asta!$P$4:$P$47,'_Supporto Listone'!B497)&gt;0,"Lore",IF(COUNTIF(Asta!$R$4:$R$47,'_Supporto Listone'!B497)&gt;0,"Robbo",IF(COUNTIF(Asta!$T$4:$T$47,'_Supporto Listone'!B497)&gt;0,"Ale",""))))))))))</x:f>
      </x:c>
      <x:c r="K497" s="497" t="str">
        <x:f>IF(COUNTIF(Asta!$B$4:$B$47,'_Supporto Listone'!B497)&gt;0,INDEX(Asta!$C$4:$C$47,MATCH('_Supporto Listone'!B497,Asta!$B$4:$B$47,0)),IF(COUNTIF(Asta!$D$4:$D$47,'_Supporto Listone'!B497)&gt;0,INDEX(Asta!$E$4:$E$47,MATCH('_Supporto Listone'!B497,Asta!$D$4:$D$47,0)),IF(COUNTIF(Asta!$F$4:$F$47,'_Supporto Listone'!B497)&gt;0,INDEX(Asta!$G$4:$G$47,MATCH('_Supporto Listone'!B497,Asta!$F$4:$F$47,0)),IF(COUNTIF(Asta!$H$4:$H$47,'_Supporto Listone'!B497)&gt;0,INDEX(Asta!$I$4:$I$47,MATCH('_Supporto Listone'!B497,Asta!$H$4:$H$47,0)),IF(COUNTIF(Asta!$J$4:$J$47,'_Supporto Listone'!B497)&gt;0,INDEX(Asta!$K$4:$K$47,MATCH('_Supporto Listone'!B497,Asta!$J$4:$J$47,0)),IF(COUNTIF(Asta!$L$4:$L$47,'_Supporto Listone'!B497)&gt;0,INDEX(Asta!$M$4:$M$47,MATCH('_Supporto Listone'!B497,Asta!$L$4:$L$47,0)),IF(COUNTIF(Asta!$N$4:$N$47,'_Supporto Listone'!B497)&gt;0,INDEX(Asta!$O$4:$O$47,MATCH('_Supporto Listone'!B497,Asta!$N$4:$N$47,0)),IF(COUNTIF(Asta!$P$4:$P$47,'_Supporto Listone'!B497)&gt;0,INDEX(Asta!$Q$4:$Q$47,MATCH('_Supporto Listone'!B497,Asta!$P$4:$P$47,0)),IF(COUNTIF(Asta!$R$4:$R$47,'_Supporto Listone'!B497)&gt;0,INDEX(Asta!$S$4:$S$47,MATCH('_Supporto Listone'!B497,Asta!$R$4:$R$47,0)),IF(COUNTIF(Asta!$T$4:$T$47,'_Supporto Listone'!B497)&gt;0,INDEX(Asta!$U$4:$U$47,MATCH('_Supporto Listone'!B497,Asta!$T$4:$T$47,0)),""))))))))))</x:f>
      </x:c>
    </x:row>
    <x:row r="498">
      <x:c r="A498" s="448" t="str">
        <x:f>IF($J498&lt;&gt;"",REGEXREPLACE(TO_TEXT('_Supporto Listone'!A498),"(.)","$1"&amp;UNICHAR(822)),'_Supporto Listone'!A498)</x:f>
        <x:v>A</x:v>
      </x:c>
      <x:c r="B498" s="449" t="str">
        <x:f>IF($J498&lt;&gt;"",REGEXREPLACE(TO_TEXT('_Supporto Listone'!B498),"(.)","$1"&amp;UNICHAR(822)),'_Supporto Listone'!B498)</x:f>
        <x:v>Lucca</x:v>
      </x:c>
      <x:c r="C498" s="449" t="str">
        <x:f>IF($J498&lt;&gt;"",REGEXREPLACE(TO_TEXT('_Supporto Listone'!C498),"(.)","$1"&amp;UNICHAR(822)),'_Supporto Listone'!C498)</x:f>
        <x:v>Napoli</x:v>
      </x:c>
      <x:c r="D498" s="449" t="str">
        <x:f>IF($J498&lt;&gt;"",REGEXREPLACE(TO_TEXT('_Supporto Listone'!D498),"(.)","$1"&amp;UNICHAR(822)),'_Supporto Listone'!D498)</x:f>
        <x:v>Pc</x:v>
      </x:c>
      <x:c r="E498" s="449" t="str">
        <x:f>IF($J498&lt;&gt;"",REGEXREPLACE(TO_TEXT('_Supporto Listone'!E498),"(.)","$1"&amp;UNICHAR(822)),'_Supporto Listone'!E498)</x:f>
        <x:v>Riserva / rotazione</x:v>
      </x:c>
      <x:c r="F498" s="466" t="n">
        <x:f>IF($J498&lt;&gt;"",REGEXREPLACE(TO_TEXT('_Supporto Listone'!F498),"(.)","$1"&amp;UNICHAR(822)),'_Supporto Listone'!F498)</x:f>
        <x:v>3</x:v>
      </x:c>
      <x:c r="G498" s="466" t="n">
        <x:f>IF($J498&lt;&gt;"",REGEXREPLACE(TO_TEXT('_Supporto Listone'!G498),"(.)","$1"&amp;UNICHAR(822)),'_Supporto Listone'!G498)</x:f>
        <x:v>10</x:v>
      </x:c>
      <x:c r="H498" s="466" t="n">
        <x:f>IF($J498&lt;&gt;"",REGEXREPLACE(TO_TEXT('_Supporto Listone'!H498),"(.)","$1"&amp;UNICHAR(822)),'_Supporto Listone'!H498)</x:f>
        <x:v>5</x:v>
      </x:c>
      <x:c r="I498" s="450"/>
      <x:c r="J498" s="449" t="str">
        <x:f>IF(COUNTIF(Asta!$B$4:$B$47,'_Supporto Listone'!B498)&gt;0,"Simone",IF(COUNTIF(Asta!$D$4:$D$47,'_Supporto Listone'!B498)&gt;0,"Giacomo",IF(COUNTIF(Asta!$F$4:$F$47,'_Supporto Listone'!B498)&gt;0,"Niko",IF(COUNTIF(Asta!$H$4:$H$47,'_Supporto Listone'!B498)&gt;0,"Quici",IF(COUNTIF(Asta!$J$4:$J$47,'_Supporto Listone'!B498)&gt;0,"Fratello Quici",IF(COUNTIF(Asta!$L$4:$L$47,'_Supporto Listone'!B498)&gt;0,"Nicolò",IF(COUNTIF(Asta!$N$4:$N$47,'_Supporto Listone'!B498)&gt;0,"Vi",IF(COUNTIF(Asta!$P$4:$P$47,'_Supporto Listone'!B498)&gt;0,"Lore",IF(COUNTIF(Asta!$R$4:$R$47,'_Supporto Listone'!B498)&gt;0,"Robbo",IF(COUNTIF(Asta!$T$4:$T$47,'_Supporto Listone'!B498)&gt;0,"Ale",""))))))))))</x:f>
      </x:c>
      <x:c r="K498" s="497" t="str">
        <x:f>IF(COUNTIF(Asta!$B$4:$B$47,'_Supporto Listone'!B498)&gt;0,INDEX(Asta!$C$4:$C$47,MATCH('_Supporto Listone'!B498,Asta!$B$4:$B$47,0)),IF(COUNTIF(Asta!$D$4:$D$47,'_Supporto Listone'!B498)&gt;0,INDEX(Asta!$E$4:$E$47,MATCH('_Supporto Listone'!B498,Asta!$D$4:$D$47,0)),IF(COUNTIF(Asta!$F$4:$F$47,'_Supporto Listone'!B498)&gt;0,INDEX(Asta!$G$4:$G$47,MATCH('_Supporto Listone'!B498,Asta!$F$4:$F$47,0)),IF(COUNTIF(Asta!$H$4:$H$47,'_Supporto Listone'!B498)&gt;0,INDEX(Asta!$I$4:$I$47,MATCH('_Supporto Listone'!B498,Asta!$H$4:$H$47,0)),IF(COUNTIF(Asta!$J$4:$J$47,'_Supporto Listone'!B498)&gt;0,INDEX(Asta!$K$4:$K$47,MATCH('_Supporto Listone'!B498,Asta!$J$4:$J$47,0)),IF(COUNTIF(Asta!$L$4:$L$47,'_Supporto Listone'!B498)&gt;0,INDEX(Asta!$M$4:$M$47,MATCH('_Supporto Listone'!B498,Asta!$L$4:$L$47,0)),IF(COUNTIF(Asta!$N$4:$N$47,'_Supporto Listone'!B498)&gt;0,INDEX(Asta!$O$4:$O$47,MATCH('_Supporto Listone'!B498,Asta!$N$4:$N$47,0)),IF(COUNTIF(Asta!$P$4:$P$47,'_Supporto Listone'!B498)&gt;0,INDEX(Asta!$Q$4:$Q$47,MATCH('_Supporto Listone'!B498,Asta!$P$4:$P$47,0)),IF(COUNTIF(Asta!$R$4:$R$47,'_Supporto Listone'!B498)&gt;0,INDEX(Asta!$S$4:$S$47,MATCH('_Supporto Listone'!B498,Asta!$R$4:$R$47,0)),IF(COUNTIF(Asta!$T$4:$T$47,'_Supporto Listone'!B498)&gt;0,INDEX(Asta!$U$4:$U$47,MATCH('_Supporto Listone'!B498,Asta!$T$4:$T$47,0)),""))))))))))</x:f>
      </x:c>
    </x:row>
    <x:row r="499">
      <x:c r="A499" s="448" t="str">
        <x:f>IF($J499&lt;&gt;"",REGEXREPLACE(TO_TEXT('_Supporto Listone'!A499),"(.)","$1"&amp;UNICHAR(822)),'_Supporto Listone'!A499)</x:f>
        <x:v>A</x:v>
      </x:c>
      <x:c r="B499" s="449" t="str">
        <x:f>IF($J499&lt;&gt;"",REGEXREPLACE(TO_TEXT('_Supporto Listone'!B499),"(.)","$1"&amp;UNICHAR(822)),'_Supporto Listone'!B499)</x:f>
        <x:v>Elphege</x:v>
      </x:c>
      <x:c r="C499" s="449" t="str">
        <x:f>IF($J499&lt;&gt;"",REGEXREPLACE(TO_TEXT('_Supporto Listone'!C499),"(.)","$1"&amp;UNICHAR(822)),'_Supporto Listone'!C499)</x:f>
        <x:v>Parma</x:v>
      </x:c>
      <x:c r="D499" s="449" t="str">
        <x:f>IF($J499&lt;&gt;"",REGEXREPLACE(TO_TEXT('_Supporto Listone'!D499),"(.)","$1"&amp;UNICHAR(822)),'_Supporto Listone'!D499)</x:f>
        <x:v>Pc</x:v>
      </x:c>
      <x:c r="E499" s="449" t="str">
        <x:f>IF($J499&lt;&gt;"",REGEXREPLACE(TO_TEXT('_Supporto Listone'!E499),"(.)","$1"&amp;UNICHAR(822)),'_Supporto Listone'!E499)</x:f>
        <x:v>Ballottaggio</x:v>
      </x:c>
      <x:c r="F499" s="466" t="n">
        <x:f>IF($J499&lt;&gt;"",REGEXREPLACE(TO_TEXT('_Supporto Listone'!F499),"(.)","$1"&amp;UNICHAR(822)),'_Supporto Listone'!F499)</x:f>
        <x:v>3</x:v>
      </x:c>
      <x:c r="G499" s="466" t="n">
        <x:f>IF($J499&lt;&gt;"",REGEXREPLACE(TO_TEXT('_Supporto Listone'!G499),"(.)","$1"&amp;UNICHAR(822)),'_Supporto Listone'!G499)</x:f>
        <x:v>11</x:v>
      </x:c>
      <x:c r="H499" s="466" t="n">
        <x:f>IF($J499&lt;&gt;"",REGEXREPLACE(TO_TEXT('_Supporto Listone'!H499),"(.)","$1"&amp;UNICHAR(822)),'_Supporto Listone'!H499)</x:f>
        <x:v>6</x:v>
      </x:c>
      <x:c r="I499" s="450"/>
      <x:c r="J499" s="449" t="str">
        <x:f>IF(COUNTIF(Asta!$B$4:$B$47,'_Supporto Listone'!B499)&gt;0,"Simone",IF(COUNTIF(Asta!$D$4:$D$47,'_Supporto Listone'!B499)&gt;0,"Giacomo",IF(COUNTIF(Asta!$F$4:$F$47,'_Supporto Listone'!B499)&gt;0,"Niko",IF(COUNTIF(Asta!$H$4:$H$47,'_Supporto Listone'!B499)&gt;0,"Quici",IF(COUNTIF(Asta!$J$4:$J$47,'_Supporto Listone'!B499)&gt;0,"Fratello Quici",IF(COUNTIF(Asta!$L$4:$L$47,'_Supporto Listone'!B499)&gt;0,"Nicolò",IF(COUNTIF(Asta!$N$4:$N$47,'_Supporto Listone'!B499)&gt;0,"Vi",IF(COUNTIF(Asta!$P$4:$P$47,'_Supporto Listone'!B499)&gt;0,"Lore",IF(COUNTIF(Asta!$R$4:$R$47,'_Supporto Listone'!B499)&gt;0,"Robbo",IF(COUNTIF(Asta!$T$4:$T$47,'_Supporto Listone'!B499)&gt;0,"Ale",""))))))))))</x:f>
      </x:c>
      <x:c r="K499" s="497" t="str">
        <x:f>IF(COUNTIF(Asta!$B$4:$B$47,'_Supporto Listone'!B499)&gt;0,INDEX(Asta!$C$4:$C$47,MATCH('_Supporto Listone'!B499,Asta!$B$4:$B$47,0)),IF(COUNTIF(Asta!$D$4:$D$47,'_Supporto Listone'!B499)&gt;0,INDEX(Asta!$E$4:$E$47,MATCH('_Supporto Listone'!B499,Asta!$D$4:$D$47,0)),IF(COUNTIF(Asta!$F$4:$F$47,'_Supporto Listone'!B499)&gt;0,INDEX(Asta!$G$4:$G$47,MATCH('_Supporto Listone'!B499,Asta!$F$4:$F$47,0)),IF(COUNTIF(Asta!$H$4:$H$47,'_Supporto Listone'!B499)&gt;0,INDEX(Asta!$I$4:$I$47,MATCH('_Supporto Listone'!B499,Asta!$H$4:$H$47,0)),IF(COUNTIF(Asta!$J$4:$J$47,'_Supporto Listone'!B499)&gt;0,INDEX(Asta!$K$4:$K$47,MATCH('_Supporto Listone'!B499,Asta!$J$4:$J$47,0)),IF(COUNTIF(Asta!$L$4:$L$47,'_Supporto Listone'!B499)&gt;0,INDEX(Asta!$M$4:$M$47,MATCH('_Supporto Listone'!B499,Asta!$L$4:$L$47,0)),IF(COUNTIF(Asta!$N$4:$N$47,'_Supporto Listone'!B499)&gt;0,INDEX(Asta!$O$4:$O$47,MATCH('_Supporto Listone'!B499,Asta!$N$4:$N$47,0)),IF(COUNTIF(Asta!$P$4:$P$47,'_Supporto Listone'!B499)&gt;0,INDEX(Asta!$Q$4:$Q$47,MATCH('_Supporto Listone'!B499,Asta!$P$4:$P$47,0)),IF(COUNTIF(Asta!$R$4:$R$47,'_Supporto Listone'!B499)&gt;0,INDEX(Asta!$S$4:$S$47,MATCH('_Supporto Listone'!B499,Asta!$R$4:$R$47,0)),IF(COUNTIF(Asta!$T$4:$T$47,'_Supporto Listone'!B499)&gt;0,INDEX(Asta!$U$4:$U$47,MATCH('_Supporto Listone'!B499,Asta!$T$4:$T$47,0)),""))))))))))</x:f>
      </x:c>
    </x:row>
    <x:row r="500">
      <x:c r="A500" s="448" t="str">
        <x:f>IF($J500&lt;&gt;"",REGEXREPLACE(TO_TEXT('_Supporto Listone'!A500),"(.)","$1"&amp;UNICHAR(822)),'_Supporto Listone'!A500)</x:f>
        <x:v>A</x:v>
      </x:c>
      <x:c r="B500" s="449" t="str">
        <x:f>IF($J500&lt;&gt;"",REGEXREPLACE(TO_TEXT('_Supporto Listone'!B500),"(.)","$1"&amp;UNICHAR(822)),'_Supporto Listone'!B500)</x:f>
        <x:v>Petagna</x:v>
      </x:c>
      <x:c r="C500" s="449" t="str">
        <x:f>IF($J500&lt;&gt;"",REGEXREPLACE(TO_TEXT('_Supporto Listone'!C500),"(.)","$1"&amp;UNICHAR(822)),'_Supporto Listone'!C500)</x:f>
        <x:v>Monza</x:v>
      </x:c>
      <x:c r="D500" s="449" t="str">
        <x:f>IF($J500&lt;&gt;"",REGEXREPLACE(TO_TEXT('_Supporto Listone'!D500),"(.)","$1"&amp;UNICHAR(822)),'_Supporto Listone'!D500)</x:f>
        <x:v>Pc</x:v>
      </x:c>
      <x:c r="E500" s="449" t="str">
        <x:f>IF($J500&lt;&gt;"",REGEXREPLACE(TO_TEXT('_Supporto Listone'!E500),"(.)","$1"&amp;UNICHAR(822)),'_Supporto Listone'!E500)</x:f>
        <x:v>Riserva / rotazione</x:v>
      </x:c>
      <x:c r="F500" s="466" t="n">
        <x:f>IF($J500&lt;&gt;"",REGEXREPLACE(TO_TEXT('_Supporto Listone'!F500),"(.)","$1"&amp;UNICHAR(822)),'_Supporto Listone'!F500)</x:f>
        <x:v>2</x:v>
      </x:c>
      <x:c r="G500" s="466" t="n">
        <x:f>IF($J500&lt;&gt;"",REGEXREPLACE(TO_TEXT('_Supporto Listone'!G500),"(.)","$1"&amp;UNICHAR(822)),'_Supporto Listone'!G500)</x:f>
        <x:v>5</x:v>
      </x:c>
      <x:c r="H500" s="466" t="n">
        <x:f>IF($J500&lt;&gt;"",REGEXREPLACE(TO_TEXT('_Supporto Listone'!H500),"(.)","$1"&amp;UNICHAR(822)),'_Supporto Listone'!H500)</x:f>
        <x:v>3</x:v>
      </x:c>
      <x:c r="I500" s="450"/>
      <x:c r="J500" s="449" t="str">
        <x:f>IF(COUNTIF(Asta!$B$4:$B$47,'_Supporto Listone'!B500)&gt;0,"Simone",IF(COUNTIF(Asta!$D$4:$D$47,'_Supporto Listone'!B500)&gt;0,"Giacomo",IF(COUNTIF(Asta!$F$4:$F$47,'_Supporto Listone'!B500)&gt;0,"Niko",IF(COUNTIF(Asta!$H$4:$H$47,'_Supporto Listone'!B500)&gt;0,"Quici",IF(COUNTIF(Asta!$J$4:$J$47,'_Supporto Listone'!B500)&gt;0,"Fratello Quici",IF(COUNTIF(Asta!$L$4:$L$47,'_Supporto Listone'!B500)&gt;0,"Nicolò",IF(COUNTIF(Asta!$N$4:$N$47,'_Supporto Listone'!B500)&gt;0,"Vi",IF(COUNTIF(Asta!$P$4:$P$47,'_Supporto Listone'!B500)&gt;0,"Lore",IF(COUNTIF(Asta!$R$4:$R$47,'_Supporto Listone'!B500)&gt;0,"Robbo",IF(COUNTIF(Asta!$T$4:$T$47,'_Supporto Listone'!B500)&gt;0,"Ale",""))))))))))</x:f>
      </x:c>
      <x:c r="K500" s="497" t="str">
        <x:f>IF(COUNTIF(Asta!$B$4:$B$47,'_Supporto Listone'!B500)&gt;0,INDEX(Asta!$C$4:$C$47,MATCH('_Supporto Listone'!B500,Asta!$B$4:$B$47,0)),IF(COUNTIF(Asta!$D$4:$D$47,'_Supporto Listone'!B500)&gt;0,INDEX(Asta!$E$4:$E$47,MATCH('_Supporto Listone'!B500,Asta!$D$4:$D$47,0)),IF(COUNTIF(Asta!$F$4:$F$47,'_Supporto Listone'!B500)&gt;0,INDEX(Asta!$G$4:$G$47,MATCH('_Supporto Listone'!B500,Asta!$F$4:$F$47,0)),IF(COUNTIF(Asta!$H$4:$H$47,'_Supporto Listone'!B500)&gt;0,INDEX(Asta!$I$4:$I$47,MATCH('_Supporto Listone'!B500,Asta!$H$4:$H$47,0)),IF(COUNTIF(Asta!$J$4:$J$47,'_Supporto Listone'!B500)&gt;0,INDEX(Asta!$K$4:$K$47,MATCH('_Supporto Listone'!B500,Asta!$J$4:$J$47,0)),IF(COUNTIF(Asta!$L$4:$L$47,'_Supporto Listone'!B500)&gt;0,INDEX(Asta!$M$4:$M$47,MATCH('_Supporto Listone'!B500,Asta!$L$4:$L$47,0)),IF(COUNTIF(Asta!$N$4:$N$47,'_Supporto Listone'!B500)&gt;0,INDEX(Asta!$O$4:$O$47,MATCH('_Supporto Listone'!B500,Asta!$N$4:$N$47,0)),IF(COUNTIF(Asta!$P$4:$P$47,'_Supporto Listone'!B500)&gt;0,INDEX(Asta!$Q$4:$Q$47,MATCH('_Supporto Listone'!B500,Asta!$P$4:$P$47,0)),IF(COUNTIF(Asta!$R$4:$R$47,'_Supporto Listone'!B500)&gt;0,INDEX(Asta!$S$4:$S$47,MATCH('_Supporto Listone'!B500,Asta!$R$4:$R$47,0)),IF(COUNTIF(Asta!$T$4:$T$47,'_Supporto Listone'!B500)&gt;0,INDEX(Asta!$U$4:$U$47,MATCH('_Supporto Listone'!B500,Asta!$T$4:$T$47,0)),""))))))))))</x:f>
      </x:c>
    </x:row>
    <x:row r="501">
      <x:c r="A501" s="448" t="str">
        <x:f>IF($J501&lt;&gt;"",REGEXREPLACE(TO_TEXT('_Supporto Listone'!A501),"(.)","$1"&amp;UNICHAR(822)),'_Supporto Listone'!A501)</x:f>
        <x:v>A</x:v>
      </x:c>
      <x:c r="B501" s="449" t="str">
        <x:f>IF($J501&lt;&gt;"",REGEXREPLACE(TO_TEXT('_Supporto Listone'!B501),"(.)","$1"&amp;UNICHAR(822)),'_Supporto Listone'!B501)</x:f>
        <x:v>Buksa</x:v>
      </x:c>
      <x:c r="C501" s="449" t="str">
        <x:f>IF($J501&lt;&gt;"",REGEXREPLACE(TO_TEXT('_Supporto Listone'!C501),"(.)","$1"&amp;UNICHAR(822)),'_Supporto Listone'!C501)</x:f>
        <x:v>Udinese</x:v>
      </x:c>
      <x:c r="D501" s="449" t="str">
        <x:f>IF($J501&lt;&gt;"",REGEXREPLACE(TO_TEXT('_Supporto Listone'!D501),"(.)","$1"&amp;UNICHAR(822)),'_Supporto Listone'!D501)</x:f>
        <x:v>Pc</x:v>
      </x:c>
      <x:c r="E501" s="449" t="str">
        <x:f>IF($J501&lt;&gt;"",REGEXREPLACE(TO_TEXT('_Supporto Listone'!E501),"(.)","$1"&amp;UNICHAR(822)),'_Supporto Listone'!E501)</x:f>
        <x:v>Riserva / rotazione</x:v>
      </x:c>
      <x:c r="F501" s="466" t="n">
        <x:f>IF($J501&lt;&gt;"",REGEXREPLACE(TO_TEXT('_Supporto Listone'!F501),"(.)","$1"&amp;UNICHAR(822)),'_Supporto Listone'!F501)</x:f>
        <x:v>2</x:v>
      </x:c>
      <x:c r="G501" s="466" t="n">
        <x:f>IF($J501&lt;&gt;"",REGEXREPLACE(TO_TEXT('_Supporto Listone'!G501),"(.)","$1"&amp;UNICHAR(822)),'_Supporto Listone'!G501)</x:f>
        <x:v>4</x:v>
      </x:c>
      <x:c r="H501" s="466" t="n">
        <x:f>IF($J501&lt;&gt;"",REGEXREPLACE(TO_TEXT('_Supporto Listone'!H501),"(.)","$1"&amp;UNICHAR(822)),'_Supporto Listone'!H501)</x:f>
        <x:v>2</x:v>
      </x:c>
      <x:c r="I501" s="450"/>
      <x:c r="J501" s="449" t="str">
        <x:f>IF(COUNTIF(Asta!$B$4:$B$47,'_Supporto Listone'!B501)&gt;0,"Simone",IF(COUNTIF(Asta!$D$4:$D$47,'_Supporto Listone'!B501)&gt;0,"Giacomo",IF(COUNTIF(Asta!$F$4:$F$47,'_Supporto Listone'!B501)&gt;0,"Niko",IF(COUNTIF(Asta!$H$4:$H$47,'_Supporto Listone'!B501)&gt;0,"Quici",IF(COUNTIF(Asta!$J$4:$J$47,'_Supporto Listone'!B501)&gt;0,"Fratello Quici",IF(COUNTIF(Asta!$L$4:$L$47,'_Supporto Listone'!B501)&gt;0,"Nicolò",IF(COUNTIF(Asta!$N$4:$N$47,'_Supporto Listone'!B501)&gt;0,"Vi",IF(COUNTIF(Asta!$P$4:$P$47,'_Supporto Listone'!B501)&gt;0,"Lore",IF(COUNTIF(Asta!$R$4:$R$47,'_Supporto Listone'!B501)&gt;0,"Robbo",IF(COUNTIF(Asta!$T$4:$T$47,'_Supporto Listone'!B501)&gt;0,"Ale",""))))))))))</x:f>
      </x:c>
      <x:c r="K501" s="497" t="str">
        <x:f>IF(COUNTIF(Asta!$B$4:$B$47,'_Supporto Listone'!B501)&gt;0,INDEX(Asta!$C$4:$C$47,MATCH('_Supporto Listone'!B501,Asta!$B$4:$B$47,0)),IF(COUNTIF(Asta!$D$4:$D$47,'_Supporto Listone'!B501)&gt;0,INDEX(Asta!$E$4:$E$47,MATCH('_Supporto Listone'!B501,Asta!$D$4:$D$47,0)),IF(COUNTIF(Asta!$F$4:$F$47,'_Supporto Listone'!B501)&gt;0,INDEX(Asta!$G$4:$G$47,MATCH('_Supporto Listone'!B501,Asta!$F$4:$F$47,0)),IF(COUNTIF(Asta!$H$4:$H$47,'_Supporto Listone'!B501)&gt;0,INDEX(Asta!$I$4:$I$47,MATCH('_Supporto Listone'!B501,Asta!$H$4:$H$47,0)),IF(COUNTIF(Asta!$J$4:$J$47,'_Supporto Listone'!B501)&gt;0,INDEX(Asta!$K$4:$K$47,MATCH('_Supporto Listone'!B501,Asta!$J$4:$J$47,0)),IF(COUNTIF(Asta!$L$4:$L$47,'_Supporto Listone'!B501)&gt;0,INDEX(Asta!$M$4:$M$47,MATCH('_Supporto Listone'!B501,Asta!$L$4:$L$47,0)),IF(COUNTIF(Asta!$N$4:$N$47,'_Supporto Listone'!B501)&gt;0,INDEX(Asta!$O$4:$O$47,MATCH('_Supporto Listone'!B501,Asta!$N$4:$N$47,0)),IF(COUNTIF(Asta!$P$4:$P$47,'_Supporto Listone'!B501)&gt;0,INDEX(Asta!$Q$4:$Q$47,MATCH('_Supporto Listone'!B501,Asta!$P$4:$P$47,0)),IF(COUNTIF(Asta!$R$4:$R$47,'_Supporto Listone'!B501)&gt;0,INDEX(Asta!$S$4:$S$47,MATCH('_Supporto Listone'!B501,Asta!$R$4:$R$47,0)),IF(COUNTIF(Asta!$T$4:$T$47,'_Supporto Listone'!B501)&gt;0,INDEX(Asta!$U$4:$U$47,MATCH('_Supporto Listone'!B501,Asta!$T$4:$T$47,0)),""))))))))))</x:f>
      </x:c>
    </x:row>
    <x:row r="502">
      <x:c r="A502" s="448" t="str">
        <x:f>IF($J502&lt;&gt;"",REGEXREPLACE(TO_TEXT('_Supporto Listone'!A502),"(.)","$1"&amp;UNICHAR(822)),'_Supporto Listone'!A502)</x:f>
        <x:v>A</x:v>
      </x:c>
      <x:c r="B502" s="449" t="str">
        <x:f>IF($J502&lt;&gt;"",REGEXREPLACE(TO_TEXT('_Supporto Listone'!B502),"(.)","$1"&amp;UNICHAR(822)),'_Supporto Listone'!B502)</x:f>
        <x:v>Albarracin</x:v>
      </x:c>
      <x:c r="C502" s="449" t="str">
        <x:f>IF($J502&lt;&gt;"",REGEXREPLACE(TO_TEXT('_Supporto Listone'!C502),"(.)","$1"&amp;UNICHAR(822)),'_Supporto Listone'!C502)</x:f>
        <x:v>Cagliari</x:v>
      </x:c>
      <x:c r="D502" s="449" t="str">
        <x:f>IF($J502&lt;&gt;"",REGEXREPLACE(TO_TEXT('_Supporto Listone'!D502),"(.)","$1"&amp;UNICHAR(822)),'_Supporto Listone'!D502)</x:f>
        <x:v>A</x:v>
      </x:c>
      <x:c r="E502" s="449" t="str">
        <x:f>IF($J502&lt;&gt;"",REGEXREPLACE(TO_TEXT('_Supporto Listone'!E502),"(.)","$1"&amp;UNICHAR(822)),'_Supporto Listone'!E502)</x:f>
        <x:v>Riserva / rotazione</x:v>
      </x:c>
      <x:c r="F502" s="466" t="n">
        <x:f>IF($J502&lt;&gt;"",REGEXREPLACE(TO_TEXT('_Supporto Listone'!F502),"(.)","$1"&amp;UNICHAR(822)),'_Supporto Listone'!F502)</x:f>
        <x:v>1</x:v>
      </x:c>
      <x:c r="G502" s="466" t="n">
        <x:f>IF($J502&lt;&gt;"",REGEXREPLACE(TO_TEXT('_Supporto Listone'!G502),"(.)","$1"&amp;UNICHAR(822)),'_Supporto Listone'!G502)</x:f>
        <x:v>1</x:v>
      </x:c>
      <x:c r="H502" s="466" t="n">
        <x:f>IF($J502&lt;&gt;"",REGEXREPLACE(TO_TEXT('_Supporto Listone'!H502),"(.)","$1"&amp;UNICHAR(822)),'_Supporto Listone'!H502)</x:f>
        <x:v>1</x:v>
      </x:c>
      <x:c r="I502" s="450"/>
      <x:c r="J502" s="449" t="str">
        <x:f>IF(COUNTIF(Asta!$B$4:$B$47,'_Supporto Listone'!B502)&gt;0,"Simone",IF(COUNTIF(Asta!$D$4:$D$47,'_Supporto Listone'!B502)&gt;0,"Giacomo",IF(COUNTIF(Asta!$F$4:$F$47,'_Supporto Listone'!B502)&gt;0,"Niko",IF(COUNTIF(Asta!$H$4:$H$47,'_Supporto Listone'!B502)&gt;0,"Quici",IF(COUNTIF(Asta!$J$4:$J$47,'_Supporto Listone'!B502)&gt;0,"Fratello Quici",IF(COUNTIF(Asta!$L$4:$L$47,'_Supporto Listone'!B502)&gt;0,"Nicolò",IF(COUNTIF(Asta!$N$4:$N$47,'_Supporto Listone'!B502)&gt;0,"Vi",IF(COUNTIF(Asta!$P$4:$P$47,'_Supporto Listone'!B502)&gt;0,"Lore",IF(COUNTIF(Asta!$R$4:$R$47,'_Supporto Listone'!B502)&gt;0,"Robbo",IF(COUNTIF(Asta!$T$4:$T$47,'_Supporto Listone'!B502)&gt;0,"Ale",""))))))))))</x:f>
      </x:c>
      <x:c r="K502" s="497" t="str">
        <x:f>IF(COUNTIF(Asta!$B$4:$B$47,'_Supporto Listone'!B502)&gt;0,INDEX(Asta!$C$4:$C$47,MATCH('_Supporto Listone'!B502,Asta!$B$4:$B$47,0)),IF(COUNTIF(Asta!$D$4:$D$47,'_Supporto Listone'!B502)&gt;0,INDEX(Asta!$E$4:$E$47,MATCH('_Supporto Listone'!B502,Asta!$D$4:$D$47,0)),IF(COUNTIF(Asta!$F$4:$F$47,'_Supporto Listone'!B502)&gt;0,INDEX(Asta!$G$4:$G$47,MATCH('_Supporto Listone'!B502,Asta!$F$4:$F$47,0)),IF(COUNTIF(Asta!$H$4:$H$47,'_Supporto Listone'!B502)&gt;0,INDEX(Asta!$I$4:$I$47,MATCH('_Supporto Listone'!B502,Asta!$H$4:$H$47,0)),IF(COUNTIF(Asta!$J$4:$J$47,'_Supporto Listone'!B502)&gt;0,INDEX(Asta!$K$4:$K$47,MATCH('_Supporto Listone'!B502,Asta!$J$4:$J$47,0)),IF(COUNTIF(Asta!$L$4:$L$47,'_Supporto Listone'!B502)&gt;0,INDEX(Asta!$M$4:$M$47,MATCH('_Supporto Listone'!B502,Asta!$L$4:$L$47,0)),IF(COUNTIF(Asta!$N$4:$N$47,'_Supporto Listone'!B502)&gt;0,INDEX(Asta!$O$4:$O$47,MATCH('_Supporto Listone'!B502,Asta!$N$4:$N$47,0)),IF(COUNTIF(Asta!$P$4:$P$47,'_Supporto Listone'!B502)&gt;0,INDEX(Asta!$Q$4:$Q$47,MATCH('_Supporto Listone'!B502,Asta!$P$4:$P$47,0)),IF(COUNTIF(Asta!$R$4:$R$47,'_Supporto Listone'!B502)&gt;0,INDEX(Asta!$S$4:$S$47,MATCH('_Supporto Listone'!B502,Asta!$R$4:$R$47,0)),IF(COUNTIF(Asta!$T$4:$T$47,'_Supporto Listone'!B502)&gt;0,INDEX(Asta!$U$4:$U$47,MATCH('_Supporto Listone'!B502,Asta!$T$4:$T$47,0)),""))))))))))</x:f>
      </x:c>
    </x:row>
    <x:row r="503">
      <x:c r="A503" s="448" t="str">
        <x:f>IF($J503&lt;&gt;"",REGEXREPLACE(TO_TEXT('_Supporto Listone'!A503),"(.)","$1"&amp;UNICHAR(822)),'_Supporto Listone'!A503)</x:f>
        <x:v>A</x:v>
      </x:c>
      <x:c r="B503" s="449" t="str">
        <x:f>IF($J503&lt;&gt;"",REGEXREPLACE(TO_TEXT('_Supporto Listone'!B503),"(.)","$1"&amp;UNICHAR(822)),'_Supporto Listone'!B503)</x:f>
        <x:v>Trepy</x:v>
      </x:c>
      <x:c r="C503" s="449" t="str">
        <x:f>IF($J503&lt;&gt;"",REGEXREPLACE(TO_TEXT('_Supporto Listone'!C503),"(.)","$1"&amp;UNICHAR(822)),'_Supporto Listone'!C503)</x:f>
        <x:v>Cagliari</x:v>
      </x:c>
      <x:c r="D503" s="449" t="str">
        <x:f>IF($J503&lt;&gt;"",REGEXREPLACE(TO_TEXT('_Supporto Listone'!D503),"(.)","$1"&amp;UNICHAR(822)),'_Supporto Listone'!D503)</x:f>
        <x:v>Pc</x:v>
      </x:c>
      <x:c r="E503" s="449" t="str">
        <x:f>IF($J503&lt;&gt;"",REGEXREPLACE(TO_TEXT('_Supporto Listone'!E503),"(.)","$1"&amp;UNICHAR(822)),'_Supporto Listone'!E503)</x:f>
        <x:v>Riserva / rotazione</x:v>
      </x:c>
      <x:c r="F503" s="466" t="n">
        <x:f>IF($J503&lt;&gt;"",REGEXREPLACE(TO_TEXT('_Supporto Listone'!F503),"(.)","$1"&amp;UNICHAR(822)),'_Supporto Listone'!F503)</x:f>
        <x:v>1</x:v>
      </x:c>
      <x:c r="G503" s="466" t="n">
        <x:f>IF($J503&lt;&gt;"",REGEXREPLACE(TO_TEXT('_Supporto Listone'!G503),"(.)","$1"&amp;UNICHAR(822)),'_Supporto Listone'!G503)</x:f>
        <x:v>2</x:v>
      </x:c>
      <x:c r="H503" s="466" t="n">
        <x:f>IF($J503&lt;&gt;"",REGEXREPLACE(TO_TEXT('_Supporto Listone'!H503),"(.)","$1"&amp;UNICHAR(822)),'_Supporto Listone'!H503)</x:f>
        <x:v>1</x:v>
      </x:c>
      <x:c r="I503" s="450"/>
      <x:c r="J503" s="449" t="str">
        <x:f>IF(COUNTIF(Asta!$B$4:$B$47,'_Supporto Listone'!B503)&gt;0,"Simone",IF(COUNTIF(Asta!$D$4:$D$47,'_Supporto Listone'!B503)&gt;0,"Giacomo",IF(COUNTIF(Asta!$F$4:$F$47,'_Supporto Listone'!B503)&gt;0,"Niko",IF(COUNTIF(Asta!$H$4:$H$47,'_Supporto Listone'!B503)&gt;0,"Quici",IF(COUNTIF(Asta!$J$4:$J$47,'_Supporto Listone'!B503)&gt;0,"Fratello Quici",IF(COUNTIF(Asta!$L$4:$L$47,'_Supporto Listone'!B503)&gt;0,"Nicolò",IF(COUNTIF(Asta!$N$4:$N$47,'_Supporto Listone'!B503)&gt;0,"Vi",IF(COUNTIF(Asta!$P$4:$P$47,'_Supporto Listone'!B503)&gt;0,"Lore",IF(COUNTIF(Asta!$R$4:$R$47,'_Supporto Listone'!B503)&gt;0,"Robbo",IF(COUNTIF(Asta!$T$4:$T$47,'_Supporto Listone'!B503)&gt;0,"Ale",""))))))))))</x:f>
      </x:c>
      <x:c r="K503" s="497" t="str">
        <x:f>IF(COUNTIF(Asta!$B$4:$B$47,'_Supporto Listone'!B503)&gt;0,INDEX(Asta!$C$4:$C$47,MATCH('_Supporto Listone'!B503,Asta!$B$4:$B$47,0)),IF(COUNTIF(Asta!$D$4:$D$47,'_Supporto Listone'!B503)&gt;0,INDEX(Asta!$E$4:$E$47,MATCH('_Supporto Listone'!B503,Asta!$D$4:$D$47,0)),IF(COUNTIF(Asta!$F$4:$F$47,'_Supporto Listone'!B503)&gt;0,INDEX(Asta!$G$4:$G$47,MATCH('_Supporto Listone'!B503,Asta!$F$4:$F$47,0)),IF(COUNTIF(Asta!$H$4:$H$47,'_Supporto Listone'!B503)&gt;0,INDEX(Asta!$I$4:$I$47,MATCH('_Supporto Listone'!B503,Asta!$H$4:$H$47,0)),IF(COUNTIF(Asta!$J$4:$J$47,'_Supporto Listone'!B503)&gt;0,INDEX(Asta!$K$4:$K$47,MATCH('_Supporto Listone'!B503,Asta!$J$4:$J$47,0)),IF(COUNTIF(Asta!$L$4:$L$47,'_Supporto Listone'!B503)&gt;0,INDEX(Asta!$M$4:$M$47,MATCH('_Supporto Listone'!B503,Asta!$L$4:$L$47,0)),IF(COUNTIF(Asta!$N$4:$N$47,'_Supporto Listone'!B503)&gt;0,INDEX(Asta!$O$4:$O$47,MATCH('_Supporto Listone'!B503,Asta!$N$4:$N$47,0)),IF(COUNTIF(Asta!$P$4:$P$47,'_Supporto Listone'!B503)&gt;0,INDEX(Asta!$Q$4:$Q$47,MATCH('_Supporto Listone'!B503,Asta!$P$4:$P$47,0)),IF(COUNTIF(Asta!$R$4:$R$47,'_Supporto Listone'!B503)&gt;0,INDEX(Asta!$S$4:$S$47,MATCH('_Supporto Listone'!B503,Asta!$R$4:$R$47,0)),IF(COUNTIF(Asta!$T$4:$T$47,'_Supporto Listone'!B503)&gt;0,INDEX(Asta!$U$4:$U$47,MATCH('_Supporto Listone'!B503,Asta!$T$4:$T$47,0)),""))))))))))</x:f>
      </x:c>
    </x:row>
    <x:row r="504">
      <x:c r="A504" s="448" t="str">
        <x:f>IF($J504&lt;&gt;"",REGEXREPLACE(TO_TEXT('_Supporto Listone'!A504),"(.)","$1"&amp;UNICHAR(822)),'_Supporto Listone'!A504)</x:f>
        <x:v>A</x:v>
      </x:c>
      <x:c r="B504" s="449" t="str">
        <x:f>IF($J504&lt;&gt;"",REGEXREPLACE(TO_TEXT('_Supporto Listone'!B504),"(.)","$1"&amp;UNICHAR(822)),'_Supporto Listone'!B504)</x:f>
        <x:v>Azon</x:v>
      </x:c>
      <x:c r="C504" s="449" t="str">
        <x:f>IF($J504&lt;&gt;"",REGEXREPLACE(TO_TEXT('_Supporto Listone'!C504),"(.)","$1"&amp;UNICHAR(822)),'_Supporto Listone'!C504)</x:f>
        <x:v>Como</x:v>
      </x:c>
      <x:c r="D504" s="449" t="str">
        <x:f>IF($J504&lt;&gt;"",REGEXREPLACE(TO_TEXT('_Supporto Listone'!D504),"(.)","$1"&amp;UNICHAR(822)),'_Supporto Listone'!D504)</x:f>
        <x:v>Pc</x:v>
      </x:c>
      <x:c r="E504" s="449" t="str">
        <x:f>IF($J504&lt;&gt;"",REGEXREPLACE(TO_TEXT('_Supporto Listone'!E504),"(.)","$1"&amp;UNICHAR(822)),'_Supporto Listone'!E504)</x:f>
        <x:v>Riserva / rotazione</x:v>
      </x:c>
      <x:c r="F504" s="466" t="n">
        <x:f>IF($J504&lt;&gt;"",REGEXREPLACE(TO_TEXT('_Supporto Listone'!F504),"(.)","$1"&amp;UNICHAR(822)),'_Supporto Listone'!F504)</x:f>
        <x:v>1</x:v>
      </x:c>
      <x:c r="G504" s="466" t="n">
        <x:f>IF($J504&lt;&gt;"",REGEXREPLACE(TO_TEXT('_Supporto Listone'!G504),"(.)","$1"&amp;UNICHAR(822)),'_Supporto Listone'!G504)</x:f>
        <x:v>1</x:v>
      </x:c>
      <x:c r="H504" s="466" t="n">
        <x:f>IF($J504&lt;&gt;"",REGEXREPLACE(TO_TEXT('_Supporto Listone'!H504),"(.)","$1"&amp;UNICHAR(822)),'_Supporto Listone'!H504)</x:f>
        <x:v>1</x:v>
      </x:c>
      <x:c r="I504" s="450"/>
      <x:c r="J504" s="449" t="str">
        <x:f>IF(COUNTIF(Asta!$B$4:$B$47,'_Supporto Listone'!B504)&gt;0,"Simone",IF(COUNTIF(Asta!$D$4:$D$47,'_Supporto Listone'!B504)&gt;0,"Giacomo",IF(COUNTIF(Asta!$F$4:$F$47,'_Supporto Listone'!B504)&gt;0,"Niko",IF(COUNTIF(Asta!$H$4:$H$47,'_Supporto Listone'!B504)&gt;0,"Quici",IF(COUNTIF(Asta!$J$4:$J$47,'_Supporto Listone'!B504)&gt;0,"Fratello Quici",IF(COUNTIF(Asta!$L$4:$L$47,'_Supporto Listone'!B504)&gt;0,"Nicolò",IF(COUNTIF(Asta!$N$4:$N$47,'_Supporto Listone'!B504)&gt;0,"Vi",IF(COUNTIF(Asta!$P$4:$P$47,'_Supporto Listone'!B504)&gt;0,"Lore",IF(COUNTIF(Asta!$R$4:$R$47,'_Supporto Listone'!B504)&gt;0,"Robbo",IF(COUNTIF(Asta!$T$4:$T$47,'_Supporto Listone'!B504)&gt;0,"Ale",""))))))))))</x:f>
      </x:c>
      <x:c r="K504" s="497" t="str">
        <x:f>IF(COUNTIF(Asta!$B$4:$B$47,'_Supporto Listone'!B504)&gt;0,INDEX(Asta!$C$4:$C$47,MATCH('_Supporto Listone'!B504,Asta!$B$4:$B$47,0)),IF(COUNTIF(Asta!$D$4:$D$47,'_Supporto Listone'!B504)&gt;0,INDEX(Asta!$E$4:$E$47,MATCH('_Supporto Listone'!B504,Asta!$D$4:$D$47,0)),IF(COUNTIF(Asta!$F$4:$F$47,'_Supporto Listone'!B504)&gt;0,INDEX(Asta!$G$4:$G$47,MATCH('_Supporto Listone'!B504,Asta!$F$4:$F$47,0)),IF(COUNTIF(Asta!$H$4:$H$47,'_Supporto Listone'!B504)&gt;0,INDEX(Asta!$I$4:$I$47,MATCH('_Supporto Listone'!B504,Asta!$H$4:$H$47,0)),IF(COUNTIF(Asta!$J$4:$J$47,'_Supporto Listone'!B504)&gt;0,INDEX(Asta!$K$4:$K$47,MATCH('_Supporto Listone'!B504,Asta!$J$4:$J$47,0)),IF(COUNTIF(Asta!$L$4:$L$47,'_Supporto Listone'!B504)&gt;0,INDEX(Asta!$M$4:$M$47,MATCH('_Supporto Listone'!B504,Asta!$L$4:$L$47,0)),IF(COUNTIF(Asta!$N$4:$N$47,'_Supporto Listone'!B504)&gt;0,INDEX(Asta!$O$4:$O$47,MATCH('_Supporto Listone'!B504,Asta!$N$4:$N$47,0)),IF(COUNTIF(Asta!$P$4:$P$47,'_Supporto Listone'!B504)&gt;0,INDEX(Asta!$Q$4:$Q$47,MATCH('_Supporto Listone'!B504,Asta!$P$4:$P$47,0)),IF(COUNTIF(Asta!$R$4:$R$47,'_Supporto Listone'!B504)&gt;0,INDEX(Asta!$S$4:$S$47,MATCH('_Supporto Listone'!B504,Asta!$R$4:$R$47,0)),IF(COUNTIF(Asta!$T$4:$T$47,'_Supporto Listone'!B504)&gt;0,INDEX(Asta!$U$4:$U$47,MATCH('_Supporto Listone'!B504,Asta!$T$4:$T$47,0)),""))))))))))</x:f>
      </x:c>
    </x:row>
    <x:row r="505">
      <x:c r="A505" s="448" t="str">
        <x:f>IF($J505&lt;&gt;"",REGEXREPLACE(TO_TEXT('_Supporto Listone'!A505),"(.)","$1"&amp;UNICHAR(822)),'_Supporto Listone'!A505)</x:f>
        <x:v>A</x:v>
      </x:c>
      <x:c r="B505" s="449" t="str">
        <x:f>IF($J505&lt;&gt;"",REGEXREPLACE(TO_TEXT('_Supporto Listone'!B505),"(.)","$1"&amp;UNICHAR(822)),'_Supporto Listone'!B505)</x:f>
        <x:v>Vaz</x:v>
      </x:c>
      <x:c r="C505" s="449" t="str">
        <x:f>IF($J505&lt;&gt;"",REGEXREPLACE(TO_TEXT('_Supporto Listone'!C505),"(.)","$1"&amp;UNICHAR(822)),'_Supporto Listone'!C505)</x:f>
        <x:v>Roma</x:v>
      </x:c>
      <x:c r="D505" s="449" t="str">
        <x:f>IF($J505&lt;&gt;"",REGEXREPLACE(TO_TEXT('_Supporto Listone'!D505),"(.)","$1"&amp;UNICHAR(822)),'_Supporto Listone'!D505)</x:f>
        <x:v>Pc</x:v>
      </x:c>
      <x:c r="E505" s="449" t="str">
        <x:f>IF($J505&lt;&gt;"",REGEXREPLACE(TO_TEXT('_Supporto Listone'!E505),"(.)","$1"&amp;UNICHAR(822)),'_Supporto Listone'!E505)</x:f>
        <x:v>Riserva / rotazione</x:v>
      </x:c>
      <x:c r="F505" s="466" t="n">
        <x:f>IF($J505&lt;&gt;"",REGEXREPLACE(TO_TEXT('_Supporto Listone'!F505),"(.)","$1"&amp;UNICHAR(822)),'_Supporto Listone'!F505)</x:f>
        <x:v>1</x:v>
      </x:c>
      <x:c r="G505" s="466" t="n">
        <x:f>IF($J505&lt;&gt;"",REGEXREPLACE(TO_TEXT('_Supporto Listone'!G505),"(.)","$1"&amp;UNICHAR(822)),'_Supporto Listone'!G505)</x:f>
        <x:v>4</x:v>
      </x:c>
      <x:c r="H505" s="466" t="n">
        <x:f>IF($J505&lt;&gt;"",REGEXREPLACE(TO_TEXT('_Supporto Listone'!H505),"(.)","$1"&amp;UNICHAR(822)),'_Supporto Listone'!H505)</x:f>
        <x:v>2</x:v>
      </x:c>
      <x:c r="I505" s="450"/>
      <x:c r="J505" s="449" t="str">
        <x:f>IF(COUNTIF(Asta!$B$4:$B$47,'_Supporto Listone'!B505)&gt;0,"Simone",IF(COUNTIF(Asta!$D$4:$D$47,'_Supporto Listone'!B505)&gt;0,"Giacomo",IF(COUNTIF(Asta!$F$4:$F$47,'_Supporto Listone'!B505)&gt;0,"Niko",IF(COUNTIF(Asta!$H$4:$H$47,'_Supporto Listone'!B505)&gt;0,"Quici",IF(COUNTIF(Asta!$J$4:$J$47,'_Supporto Listone'!B505)&gt;0,"Fratello Quici",IF(COUNTIF(Asta!$L$4:$L$47,'_Supporto Listone'!B505)&gt;0,"Nicolò",IF(COUNTIF(Asta!$N$4:$N$47,'_Supporto Listone'!B505)&gt;0,"Vi",IF(COUNTIF(Asta!$P$4:$P$47,'_Supporto Listone'!B505)&gt;0,"Lore",IF(COUNTIF(Asta!$R$4:$R$47,'_Supporto Listone'!B505)&gt;0,"Robbo",IF(COUNTIF(Asta!$T$4:$T$47,'_Supporto Listone'!B505)&gt;0,"Ale",""))))))))))</x:f>
      </x:c>
      <x:c r="K505" s="497" t="str">
        <x:f>IF(COUNTIF(Asta!$B$4:$B$47,'_Supporto Listone'!B505)&gt;0,INDEX(Asta!$C$4:$C$47,MATCH('_Supporto Listone'!B505,Asta!$B$4:$B$47,0)),IF(COUNTIF(Asta!$D$4:$D$47,'_Supporto Listone'!B505)&gt;0,INDEX(Asta!$E$4:$E$47,MATCH('_Supporto Listone'!B505,Asta!$D$4:$D$47,0)),IF(COUNTIF(Asta!$F$4:$F$47,'_Supporto Listone'!B505)&gt;0,INDEX(Asta!$G$4:$G$47,MATCH('_Supporto Listone'!B505,Asta!$F$4:$F$47,0)),IF(COUNTIF(Asta!$H$4:$H$47,'_Supporto Listone'!B505)&gt;0,INDEX(Asta!$I$4:$I$47,MATCH('_Supporto Listone'!B505,Asta!$H$4:$H$47,0)),IF(COUNTIF(Asta!$J$4:$J$47,'_Supporto Listone'!B505)&gt;0,INDEX(Asta!$K$4:$K$47,MATCH('_Supporto Listone'!B505,Asta!$J$4:$J$47,0)),IF(COUNTIF(Asta!$L$4:$L$47,'_Supporto Listone'!B505)&gt;0,INDEX(Asta!$M$4:$M$47,MATCH('_Supporto Listone'!B505,Asta!$L$4:$L$47,0)),IF(COUNTIF(Asta!$N$4:$N$47,'_Supporto Listone'!B505)&gt;0,INDEX(Asta!$O$4:$O$47,MATCH('_Supporto Listone'!B505,Asta!$N$4:$N$47,0)),IF(COUNTIF(Asta!$P$4:$P$47,'_Supporto Listone'!B505)&gt;0,INDEX(Asta!$Q$4:$Q$47,MATCH('_Supporto Listone'!B505,Asta!$P$4:$P$47,0)),IF(COUNTIF(Asta!$R$4:$R$47,'_Supporto Listone'!B505)&gt;0,INDEX(Asta!$S$4:$S$47,MATCH('_Supporto Listone'!B505,Asta!$R$4:$R$47,0)),IF(COUNTIF(Asta!$T$4:$T$47,'_Supporto Listone'!B505)&gt;0,INDEX(Asta!$U$4:$U$47,MATCH('_Supporto Listone'!B505,Asta!$T$4:$T$47,0)),""))))))))))</x:f>
      </x:c>
    </x:row>
    <x:row r="506">
      <x:c r="A506" s="448" t="str">
        <x:f>IF($J506&lt;&gt;"",REGEXREPLACE(TO_TEXT('_Supporto Listone'!A506),"(.)","$1"&amp;UNICHAR(822)),'_Supporto Listone'!A506)</x:f>
        <x:v>A</x:v>
      </x:c>
      <x:c r="B506" s="449" t="str">
        <x:f>IF($J506&lt;&gt;"",REGEXREPLACE(TO_TEXT('_Supporto Listone'!B506),"(.)","$1"&amp;UNICHAR(822)),'_Supporto Listone'!B506)</x:f>
        <x:v>Moro L.</x:v>
      </x:c>
      <x:c r="C506" s="449" t="str">
        <x:f>IF($J506&lt;&gt;"",REGEXREPLACE(TO_TEXT('_Supporto Listone'!C506),"(.)","$1"&amp;UNICHAR(822)),'_Supporto Listone'!C506)</x:f>
        <x:v>Sassuolo</x:v>
      </x:c>
      <x:c r="D506" s="449" t="str">
        <x:f>IF($J506&lt;&gt;"",REGEXREPLACE(TO_TEXT('_Supporto Listone'!D506),"(.)","$1"&amp;UNICHAR(822)),'_Supporto Listone'!D506)</x:f>
        <x:v>Pc</x:v>
      </x:c>
      <x:c r="E506" s="449" t="str">
        <x:f>IF($J506&lt;&gt;"",REGEXREPLACE(TO_TEXT('_Supporto Listone'!E506),"(.)","$1"&amp;UNICHAR(822)),'_Supporto Listone'!E506)</x:f>
        <x:v>Riserva / rotazione</x:v>
      </x:c>
      <x:c r="F506" s="466" t="n">
        <x:f>IF($J506&lt;&gt;"",REGEXREPLACE(TO_TEXT('_Supporto Listone'!F506),"(.)","$1"&amp;UNICHAR(822)),'_Supporto Listone'!F506)</x:f>
        <x:v>1</x:v>
      </x:c>
      <x:c r="G506" s="466" t="n">
        <x:f>IF($J506&lt;&gt;"",REGEXREPLACE(TO_TEXT('_Supporto Listone'!G506),"(.)","$1"&amp;UNICHAR(822)),'_Supporto Listone'!G506)</x:f>
        <x:v>1</x:v>
      </x:c>
      <x:c r="H506" s="466" t="n">
        <x:f>IF($J506&lt;&gt;"",REGEXREPLACE(TO_TEXT('_Supporto Listone'!H506),"(.)","$1"&amp;UNICHAR(822)),'_Supporto Listone'!H506)</x:f>
        <x:v>1</x:v>
      </x:c>
      <x:c r="I506" s="450"/>
      <x:c r="J506" s="449" t="str">
        <x:f>IF(COUNTIF(Asta!$B$4:$B$47,'_Supporto Listone'!B506)&gt;0,"Simone",IF(COUNTIF(Asta!$D$4:$D$47,'_Supporto Listone'!B506)&gt;0,"Giacomo",IF(COUNTIF(Asta!$F$4:$F$47,'_Supporto Listone'!B506)&gt;0,"Niko",IF(COUNTIF(Asta!$H$4:$H$47,'_Supporto Listone'!B506)&gt;0,"Quici",IF(COUNTIF(Asta!$J$4:$J$47,'_Supporto Listone'!B506)&gt;0,"Fratello Quici",IF(COUNTIF(Asta!$L$4:$L$47,'_Supporto Listone'!B506)&gt;0,"Nicolò",IF(COUNTIF(Asta!$N$4:$N$47,'_Supporto Listone'!B506)&gt;0,"Vi",IF(COUNTIF(Asta!$P$4:$P$47,'_Supporto Listone'!B506)&gt;0,"Lore",IF(COUNTIF(Asta!$R$4:$R$47,'_Supporto Listone'!B506)&gt;0,"Robbo",IF(COUNTIF(Asta!$T$4:$T$47,'_Supporto Listone'!B506)&gt;0,"Ale",""))))))))))</x:f>
      </x:c>
      <x:c r="K506" s="497" t="str">
        <x:f>IF(COUNTIF(Asta!$B$4:$B$47,'_Supporto Listone'!B506)&gt;0,INDEX(Asta!$C$4:$C$47,MATCH('_Supporto Listone'!B506,Asta!$B$4:$B$47,0)),IF(COUNTIF(Asta!$D$4:$D$47,'_Supporto Listone'!B506)&gt;0,INDEX(Asta!$E$4:$E$47,MATCH('_Supporto Listone'!B506,Asta!$D$4:$D$47,0)),IF(COUNTIF(Asta!$F$4:$F$47,'_Supporto Listone'!B506)&gt;0,INDEX(Asta!$G$4:$G$47,MATCH('_Supporto Listone'!B506,Asta!$F$4:$F$47,0)),IF(COUNTIF(Asta!$H$4:$H$47,'_Supporto Listone'!B506)&gt;0,INDEX(Asta!$I$4:$I$47,MATCH('_Supporto Listone'!B506,Asta!$H$4:$H$47,0)),IF(COUNTIF(Asta!$J$4:$J$47,'_Supporto Listone'!B506)&gt;0,INDEX(Asta!$K$4:$K$47,MATCH('_Supporto Listone'!B506,Asta!$J$4:$J$47,0)),IF(COUNTIF(Asta!$L$4:$L$47,'_Supporto Listone'!B506)&gt;0,INDEX(Asta!$M$4:$M$47,MATCH('_Supporto Listone'!B506,Asta!$L$4:$L$47,0)),IF(COUNTIF(Asta!$N$4:$N$47,'_Supporto Listone'!B506)&gt;0,INDEX(Asta!$O$4:$O$47,MATCH('_Supporto Listone'!B506,Asta!$N$4:$N$47,0)),IF(COUNTIF(Asta!$P$4:$P$47,'_Supporto Listone'!B506)&gt;0,INDEX(Asta!$Q$4:$Q$47,MATCH('_Supporto Listone'!B506,Asta!$P$4:$P$47,0)),IF(COUNTIF(Asta!$R$4:$R$47,'_Supporto Listone'!B506)&gt;0,INDEX(Asta!$S$4:$S$47,MATCH('_Supporto Listone'!B506,Asta!$R$4:$R$47,0)),IF(COUNTIF(Asta!$T$4:$T$47,'_Supporto Listone'!B506)&gt;0,INDEX(Asta!$U$4:$U$47,MATCH('_Supporto Listone'!B506,Asta!$T$4:$T$47,0)),""))))))))))</x:f>
      </x:c>
    </x:row>
    <x:row r="507">
      <x:c r="A507" s="448" t="str">
        <x:f>IF($J507&lt;&gt;"",REGEXREPLACE(TO_TEXT('_Supporto Listone'!A507),"(.)","$1"&amp;UNICHAR(822)),'_Supporto Listone'!A507)</x:f>
        <x:v>A</x:v>
      </x:c>
      <x:c r="B507" s="449" t="str">
        <x:f>IF($J507&lt;&gt;"",REGEXREPLACE(TO_TEXT('_Supporto Listone'!B507),"(.)","$1"&amp;UNICHAR(822)),'_Supporto Listone'!B507)</x:f>
        <x:v>Bayo V.</x:v>
      </x:c>
      <x:c r="C507" s="449" t="str">
        <x:f>IF($J507&lt;&gt;"",REGEXREPLACE(TO_TEXT('_Supporto Listone'!C507),"(.)","$1"&amp;UNICHAR(822)),'_Supporto Listone'!C507)</x:f>
        <x:v>Udinese</x:v>
      </x:c>
      <x:c r="D507" s="449" t="str">
        <x:f>IF($J507&lt;&gt;"",REGEXREPLACE(TO_TEXT('_Supporto Listone'!D507),"(.)","$1"&amp;UNICHAR(822)),'_Supporto Listone'!D507)</x:f>
        <x:v>Pc</x:v>
      </x:c>
      <x:c r="E507" s="449" t="str">
        <x:f>IF($J507&lt;&gt;"",REGEXREPLACE(TO_TEXT('_Supporto Listone'!E507),"(.)","$1"&amp;UNICHAR(822)),'_Supporto Listone'!E507)</x:f>
        <x:v>Riserva / rotazione</x:v>
      </x:c>
      <x:c r="F507" s="466" t="n">
        <x:f>IF($J507&lt;&gt;"",REGEXREPLACE(TO_TEXT('_Supporto Listone'!F507),"(.)","$1"&amp;UNICHAR(822)),'_Supporto Listone'!F507)</x:f>
        <x:v>1</x:v>
      </x:c>
      <x:c r="G507" s="466" t="n">
        <x:f>IF($J507&lt;&gt;"",REGEXREPLACE(TO_TEXT('_Supporto Listone'!G507),"(.)","$1"&amp;UNICHAR(822)),'_Supporto Listone'!G507)</x:f>
        <x:v>3</x:v>
      </x:c>
      <x:c r="H507" s="466" t="n">
        <x:f>IF($J507&lt;&gt;"",REGEXREPLACE(TO_TEXT('_Supporto Listone'!H507),"(.)","$1"&amp;UNICHAR(822)),'_Supporto Listone'!H507)</x:f>
        <x:v>2</x:v>
      </x:c>
      <x:c r="I507" s="450"/>
      <x:c r="J507" s="449" t="str">
        <x:f>IF(COUNTIF(Asta!$B$4:$B$47,'_Supporto Listone'!B507)&gt;0,"Simone",IF(COUNTIF(Asta!$D$4:$D$47,'_Supporto Listone'!B507)&gt;0,"Giacomo",IF(COUNTIF(Asta!$F$4:$F$47,'_Supporto Listone'!B507)&gt;0,"Niko",IF(COUNTIF(Asta!$H$4:$H$47,'_Supporto Listone'!B507)&gt;0,"Quici",IF(COUNTIF(Asta!$J$4:$J$47,'_Supporto Listone'!B507)&gt;0,"Fratello Quici",IF(COUNTIF(Asta!$L$4:$L$47,'_Supporto Listone'!B507)&gt;0,"Nicolò",IF(COUNTIF(Asta!$N$4:$N$47,'_Supporto Listone'!B507)&gt;0,"Vi",IF(COUNTIF(Asta!$P$4:$P$47,'_Supporto Listone'!B507)&gt;0,"Lore",IF(COUNTIF(Asta!$R$4:$R$47,'_Supporto Listone'!B507)&gt;0,"Robbo",IF(COUNTIF(Asta!$T$4:$T$47,'_Supporto Listone'!B507)&gt;0,"Ale",""))))))))))</x:f>
      </x:c>
      <x:c r="K507" s="497" t="str">
        <x:f>IF(COUNTIF(Asta!$B$4:$B$47,'_Supporto Listone'!B507)&gt;0,INDEX(Asta!$C$4:$C$47,MATCH('_Supporto Listone'!B507,Asta!$B$4:$B$47,0)),IF(COUNTIF(Asta!$D$4:$D$47,'_Supporto Listone'!B507)&gt;0,INDEX(Asta!$E$4:$E$47,MATCH('_Supporto Listone'!B507,Asta!$D$4:$D$47,0)),IF(COUNTIF(Asta!$F$4:$F$47,'_Supporto Listone'!B507)&gt;0,INDEX(Asta!$G$4:$G$47,MATCH('_Supporto Listone'!B507,Asta!$F$4:$F$47,0)),IF(COUNTIF(Asta!$H$4:$H$47,'_Supporto Listone'!B507)&gt;0,INDEX(Asta!$I$4:$I$47,MATCH('_Supporto Listone'!B507,Asta!$H$4:$H$47,0)),IF(COUNTIF(Asta!$J$4:$J$47,'_Supporto Listone'!B507)&gt;0,INDEX(Asta!$K$4:$K$47,MATCH('_Supporto Listone'!B507,Asta!$J$4:$J$47,0)),IF(COUNTIF(Asta!$L$4:$L$47,'_Supporto Listone'!B507)&gt;0,INDEX(Asta!$M$4:$M$47,MATCH('_Supporto Listone'!B507,Asta!$L$4:$L$47,0)),IF(COUNTIF(Asta!$N$4:$N$47,'_Supporto Listone'!B507)&gt;0,INDEX(Asta!$O$4:$O$47,MATCH('_Supporto Listone'!B507,Asta!$N$4:$N$47,0)),IF(COUNTIF(Asta!$P$4:$P$47,'_Supporto Listone'!B507)&gt;0,INDEX(Asta!$Q$4:$Q$47,MATCH('_Supporto Listone'!B507,Asta!$P$4:$P$47,0)),IF(COUNTIF(Asta!$R$4:$R$47,'_Supporto Listone'!B507)&gt;0,INDEX(Asta!$S$4:$S$47,MATCH('_Supporto Listone'!B507,Asta!$R$4:$R$47,0)),IF(COUNTIF(Asta!$T$4:$T$47,'_Supporto Listone'!B507)&gt;0,INDEX(Asta!$U$4:$U$47,MATCH('_Supporto Listone'!B507,Asta!$T$4:$T$47,0)),""))))))))))</x:f>
      </x:c>
    </x:row>
    <x:row r="508">
      <x:c r="A508" s="448" t="str">
        <x:f>IF($J508&lt;&gt;"",REGEXREPLACE(TO_TEXT('_Supporto Listone'!A508),"(.)","$1"&amp;UNICHAR(822)),'_Supporto Listone'!A508)</x:f>
        <x:v>A</x:v>
      </x:c>
      <x:c r="B508" s="449" t="str">
        <x:f>IF($J508&lt;&gt;"",REGEXREPLACE(TO_TEXT('_Supporto Listone'!B508),"(.)","$1"&amp;UNICHAR(822)),'_Supporto Listone'!B508)</x:f>
        <x:v>Lauberbach</x:v>
      </x:c>
      <x:c r="C508" s="449" t="str">
        <x:f>IF($J508&lt;&gt;"",REGEXREPLACE(TO_TEXT('_Supporto Listone'!C508),"(.)","$1"&amp;UNICHAR(822)),'_Supporto Listone'!C508)</x:f>
        <x:v>Venezia</x:v>
      </x:c>
      <x:c r="D508" s="449" t="str">
        <x:f>IF($J508&lt;&gt;"",REGEXREPLACE(TO_TEXT('_Supporto Listone'!D508),"(.)","$1"&amp;UNICHAR(822)),'_Supporto Listone'!D508)</x:f>
        <x:v>Pc</x:v>
      </x:c>
      <x:c r="E508" s="449" t="str">
        <x:f>IF($J508&lt;&gt;"",REGEXREPLACE(TO_TEXT('_Supporto Listone'!E508),"(.)","$1"&amp;UNICHAR(822)),'_Supporto Listone'!E508)</x:f>
        <x:v>Riserva / rotazione</x:v>
      </x:c>
      <x:c r="F508" s="466" t="n">
        <x:f>IF($J508&lt;&gt;"",REGEXREPLACE(TO_TEXT('_Supporto Listone'!F508),"(.)","$1"&amp;UNICHAR(822)),'_Supporto Listone'!F508)</x:f>
        <x:v>1</x:v>
      </x:c>
      <x:c r="G508" s="466" t="n">
        <x:f>IF($J508&lt;&gt;"",REGEXREPLACE(TO_TEXT('_Supporto Listone'!G508),"(.)","$1"&amp;UNICHAR(822)),'_Supporto Listone'!G508)</x:f>
        <x:v>1</x:v>
      </x:c>
      <x:c r="H508" s="466" t="n">
        <x:f>IF($J508&lt;&gt;"",REGEXREPLACE(TO_TEXT('_Supporto Listone'!H508),"(.)","$1"&amp;UNICHAR(822)),'_Supporto Listone'!H508)</x:f>
        <x:v>1</x:v>
      </x:c>
      <x:c r="I508" s="450"/>
      <x:c r="J508" s="449" t="str">
        <x:f>IF(COUNTIF(Asta!$B$4:$B$47,'_Supporto Listone'!B508)&gt;0,"Simone",IF(COUNTIF(Asta!$D$4:$D$47,'_Supporto Listone'!B508)&gt;0,"Giacomo",IF(COUNTIF(Asta!$F$4:$F$47,'_Supporto Listone'!B508)&gt;0,"Niko",IF(COUNTIF(Asta!$H$4:$H$47,'_Supporto Listone'!B508)&gt;0,"Quici",IF(COUNTIF(Asta!$J$4:$J$47,'_Supporto Listone'!B508)&gt;0,"Fratello Quici",IF(COUNTIF(Asta!$L$4:$L$47,'_Supporto Listone'!B508)&gt;0,"Nicolò",IF(COUNTIF(Asta!$N$4:$N$47,'_Supporto Listone'!B508)&gt;0,"Vi",IF(COUNTIF(Asta!$P$4:$P$47,'_Supporto Listone'!B508)&gt;0,"Lore",IF(COUNTIF(Asta!$R$4:$R$47,'_Supporto Listone'!B508)&gt;0,"Robbo",IF(COUNTIF(Asta!$T$4:$T$47,'_Supporto Listone'!B508)&gt;0,"Ale",""))))))))))</x:f>
      </x:c>
      <x:c r="K508" s="497" t="str">
        <x:f>IF(COUNTIF(Asta!$B$4:$B$47,'_Supporto Listone'!B508)&gt;0,INDEX(Asta!$C$4:$C$47,MATCH('_Supporto Listone'!B508,Asta!$B$4:$B$47,0)),IF(COUNTIF(Asta!$D$4:$D$47,'_Supporto Listone'!B508)&gt;0,INDEX(Asta!$E$4:$E$47,MATCH('_Supporto Listone'!B508,Asta!$D$4:$D$47,0)),IF(COUNTIF(Asta!$F$4:$F$47,'_Supporto Listone'!B508)&gt;0,INDEX(Asta!$G$4:$G$47,MATCH('_Supporto Listone'!B508,Asta!$F$4:$F$47,0)),IF(COUNTIF(Asta!$H$4:$H$47,'_Supporto Listone'!B508)&gt;0,INDEX(Asta!$I$4:$I$47,MATCH('_Supporto Listone'!B508,Asta!$H$4:$H$47,0)),IF(COUNTIF(Asta!$J$4:$J$47,'_Supporto Listone'!B508)&gt;0,INDEX(Asta!$K$4:$K$47,MATCH('_Supporto Listone'!B508,Asta!$J$4:$J$47,0)),IF(COUNTIF(Asta!$L$4:$L$47,'_Supporto Listone'!B508)&gt;0,INDEX(Asta!$M$4:$M$47,MATCH('_Supporto Listone'!B508,Asta!$L$4:$L$47,0)),IF(COUNTIF(Asta!$N$4:$N$47,'_Supporto Listone'!B508)&gt;0,INDEX(Asta!$O$4:$O$47,MATCH('_Supporto Listone'!B508,Asta!$N$4:$N$47,0)),IF(COUNTIF(Asta!$P$4:$P$47,'_Supporto Listone'!B508)&gt;0,INDEX(Asta!$Q$4:$Q$47,MATCH('_Supporto Listone'!B508,Asta!$P$4:$P$47,0)),IF(COUNTIF(Asta!$R$4:$R$47,'_Supporto Listone'!B508)&gt;0,INDEX(Asta!$S$4:$S$47,MATCH('_Supporto Listone'!B508,Asta!$R$4:$R$47,0)),IF(COUNTIF(Asta!$T$4:$T$47,'_Supporto Listone'!B508)&gt;0,INDEX(Asta!$U$4:$U$47,MATCH('_Supporto Listone'!B508,Asta!$T$4:$T$47,0)),""))))))))))</x:f>
      </x:c>
    </x:row>
    <x:row r="509">
      <x:c r="A509" s="452" t="str">
        <x:f>IF($J509&lt;&gt;"",REGEXREPLACE(TO_TEXT('_Supporto Listone'!A509),"(.)","$1"&amp;UNICHAR(822)),'_Supporto Listone'!A509)</x:f>
        <x:v>A</x:v>
      </x:c>
      <x:c r="B509" s="453" t="str">
        <x:f>IF($J509&lt;&gt;"",REGEXREPLACE(TO_TEXT('_Supporto Listone'!B509),"(.)","$1"&amp;UNICHAR(822)),'_Supporto Listone'!B509)</x:f>
        <x:v>Lisman</x:v>
      </x:c>
      <x:c r="C509" s="453" t="str">
        <x:f>IF($J509&lt;&gt;"",REGEXREPLACE(TO_TEXT('_Supporto Listone'!C509),"(.)","$1"&amp;UNICHAR(822)),'_Supporto Listone'!C509)</x:f>
        <x:v>Venezia</x:v>
      </x:c>
      <x:c r="D509" s="453" t="str">
        <x:f>IF($J509&lt;&gt;"",REGEXREPLACE(TO_TEXT('_Supporto Listone'!D509),"(.)","$1"&amp;UNICHAR(822)),'_Supporto Listone'!D509)</x:f>
        <x:v>W;A</x:v>
      </x:c>
      <x:c r="E509" s="453" t="str">
        <x:f>IF($J509&lt;&gt;"",REGEXREPLACE(TO_TEXT('_Supporto Listone'!E509),"(.)","$1"&amp;UNICHAR(822)),'_Supporto Listone'!E509)</x:f>
        <x:v>Riserva / rotazione</x:v>
      </x:c>
      <x:c r="F509" s="467" t="n">
        <x:f>IF($J509&lt;&gt;"",REGEXREPLACE(TO_TEXT('_Supporto Listone'!F509),"(.)","$1"&amp;UNICHAR(822)),'_Supporto Listone'!F509)</x:f>
        <x:v>1</x:v>
      </x:c>
      <x:c r="G509" s="467" t="n">
        <x:f>IF($J509&lt;&gt;"",REGEXREPLACE(TO_TEXT('_Supporto Listone'!G509),"(.)","$1"&amp;UNICHAR(822)),'_Supporto Listone'!G509)</x:f>
        <x:v>1</x:v>
      </x:c>
      <x:c r="H509" s="467" t="n">
        <x:f>IF($J509&lt;&gt;"",REGEXREPLACE(TO_TEXT('_Supporto Listone'!H509),"(.)","$1"&amp;UNICHAR(822)),'_Supporto Listone'!H509)</x:f>
        <x:v>1</x:v>
      </x:c>
      <x:c r="I509" s="454"/>
      <x:c r="J509" s="453" t="str">
        <x:f>IF(COUNTIF(Asta!$B$4:$B$47,'_Supporto Listone'!B509)&gt;0,"Simone",IF(COUNTIF(Asta!$D$4:$D$47,'_Supporto Listone'!B509)&gt;0,"Giacomo",IF(COUNTIF(Asta!$F$4:$F$47,'_Supporto Listone'!B509)&gt;0,"Niko",IF(COUNTIF(Asta!$H$4:$H$47,'_Supporto Listone'!B509)&gt;0,"Quici",IF(COUNTIF(Asta!$J$4:$J$47,'_Supporto Listone'!B509)&gt;0,"Fratello Quici",IF(COUNTIF(Asta!$L$4:$L$47,'_Supporto Listone'!B509)&gt;0,"Nicolò",IF(COUNTIF(Asta!$N$4:$N$47,'_Supporto Listone'!B509)&gt;0,"Vi",IF(COUNTIF(Asta!$P$4:$P$47,'_Supporto Listone'!B509)&gt;0,"Lore",IF(COUNTIF(Asta!$R$4:$R$47,'_Supporto Listone'!B509)&gt;0,"Robbo",IF(COUNTIF(Asta!$T$4:$T$47,'_Supporto Listone'!B509)&gt;0,"Ale",""))))))))))</x:f>
      </x:c>
      <x:c r="K509" s="498" t="str">
        <x:f>IF(COUNTIF(Asta!$B$4:$B$47,'_Supporto Listone'!B509)&gt;0,INDEX(Asta!$C$4:$C$47,MATCH('_Supporto Listone'!B509,Asta!$B$4:$B$47,0)),IF(COUNTIF(Asta!$D$4:$D$47,'_Supporto Listone'!B509)&gt;0,INDEX(Asta!$E$4:$E$47,MATCH('_Supporto Listone'!B509,Asta!$D$4:$D$47,0)),IF(COUNTIF(Asta!$F$4:$F$47,'_Supporto Listone'!B509)&gt;0,INDEX(Asta!$G$4:$G$47,MATCH('_Supporto Listone'!B509,Asta!$F$4:$F$47,0)),IF(COUNTIF(Asta!$H$4:$H$47,'_Supporto Listone'!B509)&gt;0,INDEX(Asta!$I$4:$I$47,MATCH('_Supporto Listone'!B509,Asta!$H$4:$H$47,0)),IF(COUNTIF(Asta!$J$4:$J$47,'_Supporto Listone'!B509)&gt;0,INDEX(Asta!$K$4:$K$47,MATCH('_Supporto Listone'!B509,Asta!$J$4:$J$47,0)),IF(COUNTIF(Asta!$L$4:$L$47,'_Supporto Listone'!B509)&gt;0,INDEX(Asta!$M$4:$M$47,MATCH('_Supporto Listone'!B509,Asta!$L$4:$L$47,0)),IF(COUNTIF(Asta!$N$4:$N$47,'_Supporto Listone'!B509)&gt;0,INDEX(Asta!$O$4:$O$47,MATCH('_Supporto Listone'!B509,Asta!$N$4:$N$47,0)),IF(COUNTIF(Asta!$P$4:$P$47,'_Supporto Listone'!B509)&gt;0,INDEX(Asta!$Q$4:$Q$47,MATCH('_Supporto Listone'!B509,Asta!$P$4:$P$47,0)),IF(COUNTIF(Asta!$R$4:$R$47,'_Supporto Listone'!B509)&gt;0,INDEX(Asta!$S$4:$S$47,MATCH('_Supporto Listone'!B509,Asta!$R$4:$R$47,0)),IF(COUNTIF(Asta!$T$4:$T$47,'_Supporto Listone'!B509)&gt;0,INDEX(Asta!$U$4:$U$47,MATCH('_Supporto Listone'!B509,Asta!$T$4:$T$47,0)),""))))))))))</x:f>
      </x:c>
    </x:row>
    <x:row r="510">
      <x:c r="A510" s="262" t="n"/>
      <x:c r="B510" s="262" t="n"/>
      <x:c r="C510" s="262" t="n"/>
      <x:c r="D510" s="262" t="n"/>
      <x:c r="E510" s="262" t="n"/>
      <x:c r="F510" s="460" t="n"/>
      <x:c r="G510" s="460" t="n"/>
      <x:c r="H510" s="460" t="n"/>
      <x:c r="I510" s="262" t="n"/>
      <x:c r="J510" s="262" t="n"/>
      <x:c r="K510" s="272" t="n"/>
    </x:row>
    <x:row r="511">
      <x:c r="A511" s="262" t="n"/>
      <x:c r="B511" s="262" t="n"/>
      <x:c r="C511" s="262" t="n"/>
      <x:c r="D511" s="262" t="n"/>
      <x:c r="E511" s="262" t="n"/>
      <x:c r="F511" s="460" t="n"/>
      <x:c r="G511" s="460" t="n"/>
      <x:c r="H511" s="460" t="n"/>
      <x:c r="I511" s="262" t="n"/>
      <x:c r="J511" s="262" t="n"/>
      <x:c r="K511" s="272" t="n"/>
    </x:row>
    <x:row r="512">
      <x:c r="A512" s="499" t="inlineStr">
        <x:is>
          <x:t xml:space="preserve">Fonti: https://tg24.sky.it/sport/2026/08/05/listone-fantacalcio-2026-2027-ruoli-quotazioni-novita · https://www.fantacalcio.it/news/calcio-italia/06_08_2026/asta-fantacalcio-le-probabili-formazioni-della-serie-a-enilive-2026-27-495558</x:t>
        </x:is>
      </x:c>
      <x:c r="B512" s="481" t="n"/>
      <x:c r="C512" s="481" t="n"/>
      <x:c r="D512" s="481" t="n"/>
      <x:c r="E512" s="481" t="n"/>
      <x:c r="F512" s="481" t="n"/>
      <x:c r="G512" s="481" t="n"/>
      <x:c r="H512" s="481" t="n"/>
      <x:c r="I512" s="481" t="n"/>
      <x:c r="J512" s="481" t="n"/>
      <x:c r="K512" s="481" t="n"/>
    </x:row>
  </x:sheetData>
  <x:mergeCells>
    <x:mergeCell ref="A1:H1"/>
    <x:mergeCell ref="A512:K512"/>
    <x:mergeCell ref="A3:K3"/>
    <x:mergeCell ref="A248:K248"/>
    <x:mergeCell ref="A423:K423"/>
    <x:mergeCell ref="A2:K2"/>
    <x:mergeCell ref="A1:K1"/>
    <x:mergeCell ref="A68:K68"/>
    <x:mergeCell ref="A5:K5"/>
  </x:mergeCells>
  <x:conditionalFormatting sqref="E7:E66">
    <x:cfRule type="expression" dxfId="0" priority="1">
      <x:formula>E7="Titolare"</x:formula>
    </x:cfRule>
  </x:conditionalFormatting>
  <x:conditionalFormatting sqref="E70:E246">
    <x:cfRule type="expression" dxfId="0" priority="2">
      <x:formula>E70="Titolare"</x:formula>
    </x:cfRule>
  </x:conditionalFormatting>
  <x:conditionalFormatting sqref="E250:E421">
    <x:cfRule type="expression" dxfId="0" priority="3">
      <x:formula>E250="Titolare"</x:formula>
    </x:cfRule>
  </x:conditionalFormatting>
  <x:conditionalFormatting sqref="E425:E509">
    <x:cfRule type="expression" dxfId="0" priority="4">
      <x:formula>E425="Titolare"</x:formula>
    </x:cfRule>
  </x:conditionalFormatting>
  <x:dataValidations count="4">
    <x:dataValidation type="list" allowBlank="0" showDropDown="0" showInputMessage="0" showErrorMessage="0" sqref="J7:J66">
      <x:formula1>",Simone,Giacomo,Niko,Quici,Fratello Quici,Nicolò,Vi,Lore,Robbo,Ale"</x:formula1>
    </x:dataValidation>
    <x:dataValidation type="list" allowBlank="0" showDropDown="0" showInputMessage="0" showErrorMessage="0" sqref="J70:J246">
      <x:formula1>",Simone,Giacomo,Niko,Quici,Fratello Quici,Nicolò,Vi,Lore,Robbo,Ale"</x:formula1>
    </x:dataValidation>
    <x:dataValidation type="list" allowBlank="0" showDropDown="0" showInputMessage="0" showErrorMessage="0" sqref="J250:J421">
      <x:formula1>",Simone,Giacomo,Niko,Quici,Fratello Quici,Nicolò,Vi,Lore,Robbo,Ale"</x:formula1>
    </x:dataValidation>
    <x:dataValidation type="list" allowBlank="0" showDropDown="0" showInputMessage="0" showErrorMessage="0" sqref="J425:J509">
      <x:formula1>",Simone,Giacomo,Niko,Quici,Fratello Quici,Nicolò,Vi,Lore,Robbo,Ale"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4" style="361" customWidth="1"/>
    <x:col min="2" max="2" width="70" style="361" customWidth="1"/>
  </x:cols>
  <x:sheetData>
    <x:row r="1">
      <x:c r="A1" s="227" t="inlineStr">
        <x:is>
          <x:t xml:space="preserve">COME USARE IL FILE</x:t>
        </x:is>
      </x:c>
      <x:c r="B1" s="481" t="n"/>
      <x:c r="C1" s="481" t="n"/>
      <x:c r="D1" s="481" t="n"/>
      <x:c r="E1" s="481" t="n"/>
      <x:c r="F1" s="481" t="n"/>
    </x:row>
    <x:row r="2">
      <x:c r="A2" s="184" t="n"/>
      <x:c r="B2" s="186" t="n"/>
    </x:row>
    <x:row r="3">
      <x:c r="A3" s="302" t="inlineStr">
        <x:is>
          <x:t xml:space="preserve">Voce</x:t>
        </x:is>
      </x:c>
      <x:c r="B3" s="302" t="inlineStr">
        <x:is>
          <x:t xml:space="preserve">Spiegazione</x:t>
        </x:is>
      </x:c>
    </x:row>
    <x:row r="4">
      <x:c r="A4" s="303" t="inlineStr">
        <x:is>
          <x:t xml:space="preserve">Crediti iniziali</x:t>
        </x:is>
      </x:c>
      <x:c r="B4" s="303" t="inlineStr">
        <x:is>
          <x:t xml:space="preserve">504 per ogni squadra</x:t>
        </x:is>
      </x:c>
    </x:row>
    <x:row r="5">
      <x:c r="A5" s="303" t="inlineStr">
        <x:is>
          <x:t xml:space="preserve">Rosa</x:t>
        </x:is>
      </x:c>
      <x:c r="B5" s="303" t="inlineStr">
        <x:is>
          <x:t xml:space="preserve">4 portieri, 9 difensori, 9 centrocampisti, 7 attaccanti = 29 giocatori</x:t>
        </x:is>
      </x:c>
    </x:row>
    <x:row r="6">
      <x:c r="A6" s="303" t="inlineStr">
        <x:is>
          <x:t xml:space="preserve">Inserimento</x:t>
        </x:is>
      </x:c>
      <x:c r="B6" s="303" t="inlineStr">
        <x:is>
          <x:t xml:space="preserve">Scrivi il nome del calciatore nella colonna “Calciatore” e il prezzo nella colonna “Crediti”.</x:t>
        </x:is>
      </x:c>
    </x:row>
    <x:row r="7">
      <x:c r="A7" s="303" t="inlineStr">
        <x:is>
          <x:t xml:space="preserve">Speso reparto</x:t>
        </x:is>
      </x:c>
      <x:c r="B7" s="303" t="inlineStr">
        <x:is>
          <x:t xml:space="preserve">Somma automatica dei crediti usati in quel reparto.</x:t>
        </x:is>
      </x:c>
    </x:row>
    <x:row r="8">
      <x:c r="A8" s="303" t="inlineStr">
        <x:is>
          <x:t xml:space="preserve">Crediti rimanenti</x:t>
        </x:is>
      </x:c>
      <x:c r="B8" s="303" t="inlineStr">
        <x:is>
          <x:t xml:space="preserve">504 meno tutti gli acquisti registrati fino a quel momento.</x:t>
        </x:is>
      </x:c>
    </x:row>
    <x:row r="9">
      <x:c r="A9" s="303" t="inlineStr">
        <x:is>
          <x:t xml:space="preserve">Ancora spendibili*</x:t>
        </x:is>
      </x:c>
      <x:c r="B9" s="303" t="inlineStr">
        <x:is>
          <x:t xml:space="preserve">Crediti rimanenti meno 1 credito per ogni slot della rosa ancora vuoto.</x:t>
        </x:is>
      </x:c>
    </x:row>
    <x:row r="10">
      <x:c r="A10" s="303" t="inlineStr">
        <x:is>
          <x:t xml:space="preserve">Google Sheets</x:t>
        </x:is>
      </x:c>
      <x:c r="B10" s="303" t="inlineStr">
        <x:is>
          <x:t xml:space="preserve">Carica il file .xlsx su Google Drive e aprilo con Fogli Google: formule e celle restano modificabili.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RIEPILOGO SQUADRE</x:t>
        </x:is>
      </x:c>
    </x:row>
    <x:row r="2"/>
    <x:row r="3">
      <x:c r="A3" t="inlineStr">
        <x:is>
          <x:t xml:space="preserve">Squadra</x:t>
        </x:is>
      </x:c>
      <x:c r="B3" t="inlineStr">
        <x:is>
          <x:t xml:space="preserve">Speso Portieri</x:t>
        </x:is>
      </x:c>
      <x:c r="C3" t="inlineStr">
        <x:is>
          <x:t xml:space="preserve">Speso Difensori</x:t>
        </x:is>
      </x:c>
      <x:c r="D3" t="inlineStr">
        <x:is>
          <x:t xml:space="preserve">Speso Centrocampisti</x:t>
        </x:is>
      </x:c>
      <x:c r="E3" t="inlineStr">
        <x:is>
          <x:t xml:space="preserve">Speso Attaccanti</x:t>
        </x:is>
      </x:c>
      <x:c r="F3" t="inlineStr">
        <x:is>
          <x:t xml:space="preserve">Speso Totale</x:t>
        </x:is>
      </x:c>
      <x:c r="G3" t="inlineStr">
        <x:is>
          <x:t xml:space="preserve">Crediti Rimasti</x:t>
        </x:is>
      </x:c>
      <x:c r="H3" t="inlineStr">
        <x:is>
          <x:t xml:space="preserve">Slot Liberi</x:t>
        </x:is>
      </x:c>
    </x:row>
    <x:row r="4">
      <x:c r="A4" t="inlineStr">
        <x:is>
          <x:t xml:space="preserve">Simone</x:t>
        </x:is>
      </x:c>
      <x:c r="B4" t="n">
        <x:f>Asta!B8</x:f>
        <x:v>0</x:v>
      </x:c>
      <x:c r="C4" t="n">
        <x:f>Asta!B21</x:f>
        <x:v>0</x:v>
      </x:c>
      <x:c r="D4" t="n">
        <x:f>Asta!B34</x:f>
        <x:v>0</x:v>
      </x:c>
      <x:c r="E4" t="n">
        <x:f>Asta!B45</x:f>
        <x:v>0</x:v>
      </x:c>
      <x:c r="F4" t="n">
        <x:f>SUM(B4:E4)</x:f>
        <x:v>0</x:v>
      </x:c>
      <x:c r="G4" t="n">
        <x:f>504-F4</x:f>
        <x:v>504</x:v>
      </x:c>
      <x:c r="H4" t="n">
        <x:f>IF(Asta!B4="",1,0)+IF(Asta!B5="",1,0)+IF(Asta!B6="",1,0)+IF(Asta!B7="",1,0)+IF(Asta!B12="",1,0)+IF(Asta!B13="",1,0)+IF(Asta!B14="",1,0)+IF(Asta!B15="",1,0)+IF(Asta!B16="",1,0)+IF(Asta!B17="",1,0)+IF(Asta!B18="",1,0)+IF(Asta!B19="",1,0)+IF(Asta!B20="",1,0)+IF(Asta!B25="",1,0)+IF(Asta!B26="",1,0)+IF(Asta!B27="",1,0)+IF(Asta!B28="",1,0)+IF(Asta!B29="",1,0)+IF(Asta!B30="",1,0)+IF(Asta!B31="",1,0)+IF(Asta!B32="",1,0)+IF(Asta!B33="",1,0)+IF(Asta!B38="",1,0)+IF(Asta!B39="",1,0)+IF(Asta!B40="",1,0)+IF(Asta!B41="",1,0)+IF(Asta!B42="",1,0)+IF(Asta!B43="",1,0)+IF(Asta!B44="",1,0)</x:f>
        <x:v>29</x:v>
      </x:c>
    </x:row>
    <x:row r="5">
      <x:c r="A5" t="inlineStr">
        <x:is>
          <x:t xml:space="preserve">Giacomo</x:t>
        </x:is>
      </x:c>
      <x:c r="B5" t="n">
        <x:f>Asta!D8</x:f>
        <x:v>0</x:v>
      </x:c>
      <x:c r="C5" t="n">
        <x:f>Asta!D21</x:f>
        <x:v>0</x:v>
      </x:c>
      <x:c r="D5" t="n">
        <x:f>Asta!D34</x:f>
        <x:v>0</x:v>
      </x:c>
      <x:c r="E5" t="n">
        <x:f>Asta!D45</x:f>
        <x:v>0</x:v>
      </x:c>
      <x:c r="F5" t="n">
        <x:f>SUM(B5:E5)</x:f>
        <x:v>0</x:v>
      </x:c>
      <x:c r="G5" t="n">
        <x:f>504-F5</x:f>
        <x:v>504</x:v>
      </x:c>
      <x:c r="H5" t="n">
        <x:f>IF(Asta!D4="",1,0)+IF(Asta!D5="",1,0)+IF(Asta!D6="",1,0)+IF(Asta!D7="",1,0)+IF(Asta!D12="",1,0)+IF(Asta!D13="",1,0)+IF(Asta!D14="",1,0)+IF(Asta!D15="",1,0)+IF(Asta!D16="",1,0)+IF(Asta!D17="",1,0)+IF(Asta!D18="",1,0)+IF(Asta!D19="",1,0)+IF(Asta!D20="",1,0)+IF(Asta!D25="",1,0)+IF(Asta!D26="",1,0)+IF(Asta!D27="",1,0)+IF(Asta!D28="",1,0)+IF(Asta!D29="",1,0)+IF(Asta!D30="",1,0)+IF(Asta!D31="",1,0)+IF(Asta!D32="",1,0)+IF(Asta!D33="",1,0)+IF(Asta!D38="",1,0)+IF(Asta!D39="",1,0)+IF(Asta!D40="",1,0)+IF(Asta!D41="",1,0)+IF(Asta!D42="",1,0)+IF(Asta!D43="",1,0)+IF(Asta!D44="",1,0)</x:f>
        <x:v>29</x:v>
      </x:c>
    </x:row>
    <x:row r="6">
      <x:c r="A6" t="inlineStr">
        <x:is>
          <x:t xml:space="preserve">Niko</x:t>
        </x:is>
      </x:c>
      <x:c r="B6" t="n">
        <x:f>Asta!F8</x:f>
        <x:v>0</x:v>
      </x:c>
      <x:c r="C6" t="n">
        <x:f>Asta!F21</x:f>
        <x:v>0</x:v>
      </x:c>
      <x:c r="D6" t="n">
        <x:f>Asta!F34</x:f>
        <x:v>0</x:v>
      </x:c>
      <x:c r="E6" t="n">
        <x:f>Asta!F45</x:f>
        <x:v>0</x:v>
      </x:c>
      <x:c r="F6" t="n">
        <x:f>SUM(B6:E6)</x:f>
        <x:v>0</x:v>
      </x:c>
      <x:c r="G6" t="n">
        <x:f>504-F6</x:f>
        <x:v>504</x:v>
      </x:c>
      <x:c r="H6" t="n">
        <x:f>IF(Asta!F4="",1,0)+IF(Asta!F5="",1,0)+IF(Asta!F6="",1,0)+IF(Asta!F7="",1,0)+IF(Asta!F12="",1,0)+IF(Asta!F13="",1,0)+IF(Asta!F14="",1,0)+IF(Asta!F15="",1,0)+IF(Asta!F16="",1,0)+IF(Asta!F17="",1,0)+IF(Asta!F18="",1,0)+IF(Asta!F19="",1,0)+IF(Asta!F20="",1,0)+IF(Asta!F25="",1,0)+IF(Asta!F26="",1,0)+IF(Asta!F27="",1,0)+IF(Asta!F28="",1,0)+IF(Asta!F29="",1,0)+IF(Asta!F30="",1,0)+IF(Asta!F31="",1,0)+IF(Asta!F32="",1,0)+IF(Asta!F33="",1,0)+IF(Asta!F38="",1,0)+IF(Asta!F39="",1,0)+IF(Asta!F40="",1,0)+IF(Asta!F41="",1,0)+IF(Asta!F42="",1,0)+IF(Asta!F43="",1,0)+IF(Asta!F44="",1,0)</x:f>
        <x:v>29</x:v>
      </x:c>
    </x:row>
    <x:row r="7">
      <x:c r="A7" t="inlineStr">
        <x:is>
          <x:t xml:space="preserve">Quici</x:t>
        </x:is>
      </x:c>
      <x:c r="B7" t="n">
        <x:f>Asta!H8</x:f>
        <x:v>0</x:v>
      </x:c>
      <x:c r="C7" t="n">
        <x:f>Asta!H21</x:f>
        <x:v>0</x:v>
      </x:c>
      <x:c r="D7" t="n">
        <x:f>Asta!H34</x:f>
        <x:v>0</x:v>
      </x:c>
      <x:c r="E7" t="n">
        <x:f>Asta!H45</x:f>
        <x:v>0</x:v>
      </x:c>
      <x:c r="F7" t="n">
        <x:f>SUM(B7:E7)</x:f>
        <x:v>0</x:v>
      </x:c>
      <x:c r="G7" t="n">
        <x:f>504-F7</x:f>
        <x:v>504</x:v>
      </x:c>
      <x:c r="H7" t="n">
        <x:f>IF(Asta!H4="",1,0)+IF(Asta!H5="",1,0)+IF(Asta!H6="",1,0)+IF(Asta!H7="",1,0)+IF(Asta!H12="",1,0)+IF(Asta!H13="",1,0)+IF(Asta!H14="",1,0)+IF(Asta!H15="",1,0)+IF(Asta!H16="",1,0)+IF(Asta!H17="",1,0)+IF(Asta!H18="",1,0)+IF(Asta!H19="",1,0)+IF(Asta!H20="",1,0)+IF(Asta!H25="",1,0)+IF(Asta!H26="",1,0)+IF(Asta!H27="",1,0)+IF(Asta!H28="",1,0)+IF(Asta!H29="",1,0)+IF(Asta!H30="",1,0)+IF(Asta!H31="",1,0)+IF(Asta!H32="",1,0)+IF(Asta!H33="",1,0)+IF(Asta!H38="",1,0)+IF(Asta!H39="",1,0)+IF(Asta!H40="",1,0)+IF(Asta!H41="",1,0)+IF(Asta!H42="",1,0)+IF(Asta!H43="",1,0)+IF(Asta!H44="",1,0)</x:f>
        <x:v>29</x:v>
      </x:c>
    </x:row>
    <x:row r="8">
      <x:c r="A8" t="inlineStr">
        <x:is>
          <x:t xml:space="preserve">Fratello Quici</x:t>
        </x:is>
      </x:c>
      <x:c r="B8" t="n">
        <x:f>Asta!J8</x:f>
        <x:v>0</x:v>
      </x:c>
      <x:c r="C8" t="n">
        <x:f>Asta!J21</x:f>
        <x:v>0</x:v>
      </x:c>
      <x:c r="D8" t="n">
        <x:f>Asta!J34</x:f>
        <x:v>0</x:v>
      </x:c>
      <x:c r="E8" t="n">
        <x:f>Asta!J45</x:f>
        <x:v>0</x:v>
      </x:c>
      <x:c r="F8" t="n">
        <x:f>SUM(B8:E8)</x:f>
        <x:v>0</x:v>
      </x:c>
      <x:c r="G8" t="n">
        <x:f>504-F8</x:f>
        <x:v>504</x:v>
      </x:c>
      <x:c r="H8" t="n">
        <x:f>IF(Asta!J4="",1,0)+IF(Asta!J5="",1,0)+IF(Asta!J6="",1,0)+IF(Asta!J7="",1,0)+IF(Asta!J12="",1,0)+IF(Asta!J13="",1,0)+IF(Asta!J14="",1,0)+IF(Asta!J15="",1,0)+IF(Asta!J16="",1,0)+IF(Asta!J17="",1,0)+IF(Asta!J18="",1,0)+IF(Asta!J19="",1,0)+IF(Asta!J20="",1,0)+IF(Asta!J25="",1,0)+IF(Asta!J26="",1,0)+IF(Asta!J27="",1,0)+IF(Asta!J28="",1,0)+IF(Asta!J29="",1,0)+IF(Asta!J30="",1,0)+IF(Asta!J31="",1,0)+IF(Asta!J32="",1,0)+IF(Asta!J33="",1,0)+IF(Asta!J38="",1,0)+IF(Asta!J39="",1,0)+IF(Asta!J40="",1,0)+IF(Asta!J41="",1,0)+IF(Asta!J42="",1,0)+IF(Asta!J43="",1,0)+IF(Asta!J44="",1,0)</x:f>
        <x:v>29</x:v>
      </x:c>
    </x:row>
    <x:row r="9">
      <x:c r="A9" t="inlineStr">
        <x:is>
          <x:t xml:space="preserve">Nicolò</x:t>
        </x:is>
      </x:c>
      <x:c r="B9" t="n">
        <x:f>Asta!L8</x:f>
        <x:v>0</x:v>
      </x:c>
      <x:c r="C9" t="n">
        <x:f>Asta!L21</x:f>
        <x:v>0</x:v>
      </x:c>
      <x:c r="D9" t="n">
        <x:f>Asta!L34</x:f>
        <x:v>0</x:v>
      </x:c>
      <x:c r="E9" t="n">
        <x:f>Asta!L45</x:f>
        <x:v>0</x:v>
      </x:c>
      <x:c r="F9" t="n">
        <x:f>SUM(B9:E9)</x:f>
        <x:v>0</x:v>
      </x:c>
      <x:c r="G9" t="n">
        <x:f>504-F9</x:f>
        <x:v>504</x:v>
      </x:c>
      <x:c r="H9" t="n">
        <x:f>IF(Asta!L4="",1,0)+IF(Asta!L5="",1,0)+IF(Asta!L6="",1,0)+IF(Asta!L7="",1,0)+IF(Asta!L12="",1,0)+IF(Asta!L13="",1,0)+IF(Asta!L14="",1,0)+IF(Asta!L15="",1,0)+IF(Asta!L16="",1,0)+IF(Asta!L17="",1,0)+IF(Asta!L18="",1,0)+IF(Asta!L19="",1,0)+IF(Asta!L20="",1,0)+IF(Asta!L25="",1,0)+IF(Asta!L26="",1,0)+IF(Asta!L27="",1,0)+IF(Asta!L28="",1,0)+IF(Asta!L29="",1,0)+IF(Asta!L30="",1,0)+IF(Asta!L31="",1,0)+IF(Asta!L32="",1,0)+IF(Asta!L33="",1,0)+IF(Asta!L38="",1,0)+IF(Asta!L39="",1,0)+IF(Asta!L40="",1,0)+IF(Asta!L41="",1,0)+IF(Asta!L42="",1,0)+IF(Asta!L43="",1,0)+IF(Asta!L44="",1,0)</x:f>
        <x:v>29</x:v>
      </x:c>
    </x:row>
    <x:row r="10">
      <x:c r="A10" t="inlineStr">
        <x:is>
          <x:t xml:space="preserve">Vi</x:t>
        </x:is>
      </x:c>
      <x:c r="B10" t="n">
        <x:f>Asta!N8</x:f>
        <x:v>0</x:v>
      </x:c>
      <x:c r="C10" t="n">
        <x:f>Asta!N21</x:f>
        <x:v>0</x:v>
      </x:c>
      <x:c r="D10" t="n">
        <x:f>Asta!N34</x:f>
        <x:v>0</x:v>
      </x:c>
      <x:c r="E10" t="n">
        <x:f>Asta!N45</x:f>
        <x:v>0</x:v>
      </x:c>
      <x:c r="F10" t="n">
        <x:f>SUM(B10:E10)</x:f>
        <x:v>0</x:v>
      </x:c>
      <x:c r="G10" t="n">
        <x:f>504-F10</x:f>
        <x:v>504</x:v>
      </x:c>
      <x:c r="H10" t="n">
        <x:f>IF(Asta!N4="",1,0)+IF(Asta!N5="",1,0)+IF(Asta!N6="",1,0)+IF(Asta!N7="",1,0)+IF(Asta!N12="",1,0)+IF(Asta!N13="",1,0)+IF(Asta!N14="",1,0)+IF(Asta!N15="",1,0)+IF(Asta!N16="",1,0)+IF(Asta!N17="",1,0)+IF(Asta!N18="",1,0)+IF(Asta!N19="",1,0)+IF(Asta!N20="",1,0)+IF(Asta!N25="",1,0)+IF(Asta!N26="",1,0)+IF(Asta!N27="",1,0)+IF(Asta!N28="",1,0)+IF(Asta!N29="",1,0)+IF(Asta!N30="",1,0)+IF(Asta!N31="",1,0)+IF(Asta!N32="",1,0)+IF(Asta!N33="",1,0)+IF(Asta!N38="",1,0)+IF(Asta!N39="",1,0)+IF(Asta!N40="",1,0)+IF(Asta!N41="",1,0)+IF(Asta!N42="",1,0)+IF(Asta!N43="",1,0)+IF(Asta!N44="",1,0)</x:f>
        <x:v>29</x:v>
      </x:c>
    </x:row>
    <x:row r="11">
      <x:c r="A11" t="inlineStr">
        <x:is>
          <x:t xml:space="preserve">Lore</x:t>
        </x:is>
      </x:c>
      <x:c r="B11" t="n">
        <x:f>Asta!P8</x:f>
        <x:v>0</x:v>
      </x:c>
      <x:c r="C11" t="n">
        <x:f>Asta!P21</x:f>
        <x:v>0</x:v>
      </x:c>
      <x:c r="D11" t="n">
        <x:f>Asta!P34</x:f>
        <x:v>0</x:v>
      </x:c>
      <x:c r="E11" t="n">
        <x:f>Asta!P45</x:f>
        <x:v>0</x:v>
      </x:c>
      <x:c r="F11" t="n">
        <x:f>SUM(B11:E11)</x:f>
        <x:v>0</x:v>
      </x:c>
      <x:c r="G11" t="n">
        <x:f>504-F11</x:f>
        <x:v>504</x:v>
      </x:c>
      <x:c r="H11" t="n">
        <x:f>IF(Asta!P4="",1,0)+IF(Asta!P5="",1,0)+IF(Asta!P6="",1,0)+IF(Asta!P7="",1,0)+IF(Asta!P12="",1,0)+IF(Asta!P13="",1,0)+IF(Asta!P14="",1,0)+IF(Asta!P15="",1,0)+IF(Asta!P16="",1,0)+IF(Asta!P17="",1,0)+IF(Asta!P18="",1,0)+IF(Asta!P19="",1,0)+IF(Asta!P20="",1,0)+IF(Asta!P25="",1,0)+IF(Asta!P26="",1,0)+IF(Asta!P27="",1,0)+IF(Asta!P28="",1,0)+IF(Asta!P29="",1,0)+IF(Asta!P30="",1,0)+IF(Asta!P31="",1,0)+IF(Asta!P32="",1,0)+IF(Asta!P33="",1,0)+IF(Asta!P38="",1,0)+IF(Asta!P39="",1,0)+IF(Asta!P40="",1,0)+IF(Asta!P41="",1,0)+IF(Asta!P42="",1,0)+IF(Asta!P43="",1,0)+IF(Asta!P44="",1,0)</x:f>
        <x:v>29</x:v>
      </x:c>
    </x:row>
    <x:row r="12">
      <x:c r="A12" t="inlineStr">
        <x:is>
          <x:t xml:space="preserve">Robbo</x:t>
        </x:is>
      </x:c>
      <x:c r="B12" t="n">
        <x:f>Asta!R8</x:f>
        <x:v>0</x:v>
      </x:c>
      <x:c r="C12" t="n">
        <x:f>Asta!R21</x:f>
        <x:v>0</x:v>
      </x:c>
      <x:c r="D12" t="n">
        <x:f>Asta!R34</x:f>
        <x:v>0</x:v>
      </x:c>
      <x:c r="E12" t="n">
        <x:f>Asta!R45</x:f>
        <x:v>0</x:v>
      </x:c>
      <x:c r="F12" t="n">
        <x:f>SUM(B12:E12)</x:f>
        <x:v>0</x:v>
      </x:c>
      <x:c r="G12" t="n">
        <x:f>504-F12</x:f>
        <x:v>504</x:v>
      </x:c>
      <x:c r="H12" t="n">
        <x:f>IF(Asta!R4="",1,0)+IF(Asta!R5="",1,0)+IF(Asta!R6="",1,0)+IF(Asta!R7="",1,0)+IF(Asta!R12="",1,0)+IF(Asta!R13="",1,0)+IF(Asta!R14="",1,0)+IF(Asta!R15="",1,0)+IF(Asta!R16="",1,0)+IF(Asta!R17="",1,0)+IF(Asta!R18="",1,0)+IF(Asta!R19="",1,0)+IF(Asta!R20="",1,0)+IF(Asta!R25="",1,0)+IF(Asta!R26="",1,0)+IF(Asta!R27="",1,0)+IF(Asta!R28="",1,0)+IF(Asta!R29="",1,0)+IF(Asta!R30="",1,0)+IF(Asta!R31="",1,0)+IF(Asta!R32="",1,0)+IF(Asta!R33="",1,0)+IF(Asta!R38="",1,0)+IF(Asta!R39="",1,0)+IF(Asta!R40="",1,0)+IF(Asta!R41="",1,0)+IF(Asta!R42="",1,0)+IF(Asta!R43="",1,0)+IF(Asta!R44="",1,0)</x:f>
        <x:v>29</x:v>
      </x:c>
    </x:row>
    <x:row r="13">
      <x:c r="A13" t="inlineStr">
        <x:is>
          <x:t xml:space="preserve">Ale</x:t>
        </x:is>
      </x:c>
      <x:c r="B13" t="n">
        <x:f>Asta!T8</x:f>
        <x:v>0</x:v>
      </x:c>
      <x:c r="C13" t="n">
        <x:f>Asta!T21</x:f>
        <x:v>0</x:v>
      </x:c>
      <x:c r="D13" t="n">
        <x:f>Asta!T34</x:f>
        <x:v>0</x:v>
      </x:c>
      <x:c r="E13" t="n">
        <x:f>Asta!T45</x:f>
        <x:v>0</x:v>
      </x:c>
      <x:c r="F13" t="n">
        <x:f>SUM(B13:E13)</x:f>
        <x:v>0</x:v>
      </x:c>
      <x:c r="G13" t="n">
        <x:f>504-F13</x:f>
        <x:v>504</x:v>
      </x:c>
      <x:c r="H13" t="n">
        <x:f>IF(Asta!T4="",1,0)+IF(Asta!T5="",1,0)+IF(Asta!T6="",1,0)+IF(Asta!T7="",1,0)+IF(Asta!T12="",1,0)+IF(Asta!T13="",1,0)+IF(Asta!T14="",1,0)+IF(Asta!T15="",1,0)+IF(Asta!T16="",1,0)+IF(Asta!T17="",1,0)+IF(Asta!T18="",1,0)+IF(Asta!T19="",1,0)+IF(Asta!T20="",1,0)+IF(Asta!T25="",1,0)+IF(Asta!T26="",1,0)+IF(Asta!T27="",1,0)+IF(Asta!T28="",1,0)+IF(Asta!T29="",1,0)+IF(Asta!T30="",1,0)+IF(Asta!T31="",1,0)+IF(Asta!T32="",1,0)+IF(Asta!T33="",1,0)+IF(Asta!T38="",1,0)+IF(Asta!T39="",1,0)+IF(Asta!T40="",1,0)+IF(Asta!T41="",1,0)+IF(Asta!T42="",1,0)+IF(Asta!T43="",1,0)+IF(Asta!T44="",1,0)</x:f>
        <x:v>29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1" hidden="0" customWidth="1"/>
    <x:col min="3" max="3" width="18" hidden="0" customWidth="1"/>
    <x:col min="4" max="4" width="23" hidden="0" customWidth="1"/>
    <x:col min="5" max="5" width="11" hidden="0" customWidth="1"/>
    <x:col min="6" max="6" width="12" hidden="0" customWidth="1"/>
    <x:col min="7" max="7" width="24" hidden="0" customWidth="1"/>
    <x:col min="8" max="8" width="20" hidden="0" customWidth="1"/>
    <x:col min="9" max="9" width="48" hidden="0" customWidth="1"/>
  </x:cols>
  <x:sheetData>
    <x:row r="1" ht="30" customHeight="1">
      <x:c r="A1" s="642" t="str">
        <x:v>ATALANTA — GUIDA ASTA 2026/27</x:v>
      </x:c>
      <x:c r="B1" s="643"/>
      <x:c r="C1" s="643"/>
      <x:c r="D1" s="643"/>
      <x:c r="E1" s="643"/>
      <x:c r="F1" s="643"/>
      <x:c r="G1" s="643"/>
      <x:c r="H1" s="643"/>
      <x:c r="I1" s="644"/>
    </x:row>
    <x:row r="3">
      <x:c r="A3" s="663" t="str">
        <x:v>Allenatore</x:v>
      </x:c>
      <x:c r="B3" s="681" t="str">
        <x:v>Maurizio Sarri</x:v>
      </x:c>
      <x:c r="C3" s="673" t="str">
        <x:v>Modulo</x:v>
      </x:c>
      <x:c r="D3" s="681" t="str">
        <x:v>4-3-3</x:v>
      </x:c>
      <x:c r="E3" s="681"/>
      <x:c r="F3" s="681"/>
      <x:c r="G3" s="681"/>
      <x:c r="H3" s="681"/>
      <x:c r="I3" s="682"/>
    </x:row>
    <x:row r="4" ht="38" customHeight="1">
      <x:c r="A4" s="664" t="str">
        <x:v>Formazione titolare</x:v>
      </x:c>
      <x:c r="B4" s="683" t="str">
        <x:v>Carnesecchi; Bellanova, Kristensen, Scalvini, Bernasconi; Samardzic, Gaetano, Ederson; De Ketelaere, Scamacca, Rowe</x:v>
      </x:c>
      <x:c r="C4" s="676" t="str"/>
      <x:c r="D4" s="683" t="str"/>
      <x:c r="E4" s="683"/>
      <x:c r="F4" s="683"/>
      <x:c r="G4" s="683"/>
      <x:c r="H4" s="683"/>
      <x:c r="I4" s="684"/>
    </x:row>
    <x:row r="5" ht="38" customHeight="1">
      <x:c r="A5" s="664" t="str">
        <x:v>Ballottaggi</x:v>
      </x:c>
      <x:c r="B5" s="683" t="str">
        <x:v>Kristensen/Hien; Samardzic/Pasalic; Gaetano/Kessie; Scamacca/Krstovic; Rowe/Raspadori</x:v>
      </x:c>
      <x:c r="C5" s="676" t="str"/>
      <x:c r="D5" s="683" t="str"/>
      <x:c r="E5" s="683"/>
      <x:c r="F5" s="683"/>
      <x:c r="G5" s="683"/>
      <x:c r="H5" s="683"/>
      <x:c r="I5" s="684"/>
    </x:row>
    <x:row r="6">
      <x:c r="A6" s="665" t="str">
        <x:v>Rigoristi</x:v>
      </x:c>
      <x:c r="B6" s="685" t="str">
        <x:v>Scamacca, Krstovic, Samardzic</x:v>
      </x:c>
      <x:c r="C6" s="679" t="str">
        <x:v>Calci piazzati</x:v>
      </x:c>
      <x:c r="D6" s="685" t="str">
        <x:v>De Ketelaere, Samardzic, Gaetano</x:v>
      </x:c>
      <x:c r="E6" s="685"/>
      <x:c r="F6" s="685"/>
      <x:c r="G6" s="685"/>
      <x:c r="H6" s="685"/>
      <x:c r="I6" s="686"/>
    </x:row>
    <x:row r="8" ht="30" customHeight="1">
      <x:c r="A8" s="698" t="str">
        <x:v>Ruolo</x:v>
      </x:c>
      <x:c r="B8" s="699" t="str">
        <x:v>Calciatore</x:v>
      </x:c>
      <x:c r="C8" s="699" t="str">
        <x:v>Posizione</x:v>
      </x:c>
      <x:c r="D8" s="699" t="str">
        <x:v>Status</x:v>
      </x:c>
      <x:c r="E8" s="699" t="str">
        <x:v>Quotazione</x:v>
      </x:c>
      <x:c r="F8" s="699" t="str">
        <x:v>FVM su 504</x:v>
      </x:c>
      <x:c r="G8" s="699" t="str">
        <x:v>Fascia asta</x:v>
      </x:c>
      <x:c r="H8" s="699" t="str">
        <x:v>Specialità</x:v>
      </x:c>
      <x:c r="I8" s="700" t="str">
        <x:v>Consiglio Fantacalcio</x:v>
      </x:c>
    </x:row>
    <x:row r="9">
      <x:c r="A9" s="707" t="str">
        <x:v>Portiere</x:v>
      </x:c>
      <x:c r="B9" s="708" t="str">
        <x:f>IF((COUNTIF(Asta!$B$4:$B$47,"Carnesecchi")+COUNTIF(Asta!$D$4:$D$47,"Carnesecchi")+COUNTIF(Asta!$F$4:$F$47,"Carnesecchi")+COUNTIF(Asta!$H$4:$H$47,"Carnesecchi")+COUNTIF(Asta!$J$4:$J$47,"Carnesecchi")+COUNTIF(Asta!$L$4:$L$47,"Carnesecchi")+COUNTIF(Asta!$N$4:$N$47,"Carnesecchi")+COUNTIF(Asta!$P$4:$P$47,"Carnesecchi")+COUNTIF(Asta!$R$4:$R$47,"Carnesecchi")+COUNTIF(Asta!$T$4:$T$47,"Carnesecchi"))&gt;0,REGEXREPLACE("Carnesecchi","(.)","$1"&amp;UNICHAR(822)),"Carnesecchi")</x:f>
        <x:v>Carnesecchi</x:v>
      </x:c>
      <x:c r="C9" s="708" t="str">
        <x:v>Por</x:v>
      </x:c>
      <x:c r="D9" s="708" t="str">
        <x:v>Titolare</x:v>
      </x:c>
      <x:c r="E9" s="708" t="n">
        <x:v>16</x:v>
      </x:c>
      <x:c r="F9" s="708" t="n">
        <x:v>26</x:v>
      </x:c>
      <x:c r="G9" s="708" t="str">
        <x:v>Buon titolare</x:v>
      </x:c>
      <x:c r="H9" s="708" t="str"/>
      <x:c r="I9" s="709" t="str">
        <x:v>Portiere da prendere come titolare di reparto; profilo affidabile per continuità.</x:v>
      </x:c>
    </x:row>
    <x:row r="10">
      <x:c r="A10" s="710" t="str">
        <x:v>Portiere</x:v>
      </x:c>
      <x:c r="B10" s="711" t="str">
        <x:f>IF((COUNTIF(Asta!$B$4:$B$47,"Rossi F.")+COUNTIF(Asta!$D$4:$D$47,"Rossi F.")+COUNTIF(Asta!$F$4:$F$47,"Rossi F.")+COUNTIF(Asta!$H$4:$H$47,"Rossi F.")+COUNTIF(Asta!$J$4:$J$47,"Rossi F.")+COUNTIF(Asta!$L$4:$L$47,"Rossi F.")+COUNTIF(Asta!$N$4:$N$47,"Rossi F.")+COUNTIF(Asta!$P$4:$P$47,"Rossi F.")+COUNTIF(Asta!$R$4:$R$47,"Rossi F.")+COUNTIF(Asta!$T$4:$T$47,"Rossi F."))&gt;0,REGEXREPLACE("Rossi F.","(.)","$1"&amp;UNICHAR(822)),"Rossi F.")</x:f>
        <x:v>Rossi F.</x:v>
      </x:c>
      <x:c r="C10" s="711" t="str">
        <x:v>Por</x:v>
      </x:c>
      <x:c r="D10" s="711" t="str">
        <x:v>Riserva / rotazione</x:v>
      </x:c>
      <x:c r="E10" s="711" t="n">
        <x:v>1</x:v>
      </x:c>
      <x:c r="F10" s="711" t="n">
        <x:v>1</x:v>
      </x:c>
      <x:c r="G10" s="711" t="str">
        <x:v>Copertura</x:v>
      </x:c>
      <x:c r="H10" s="711" t="str"/>
      <x:c r="I10" s="712" t="str">
        <x:v>Solo come secondo/terzo portiere o copertura del titolare.</x:v>
      </x:c>
    </x:row>
    <x:row r="11">
      <x:c r="A11" s="710" t="str">
        <x:v>Portiere</x:v>
      </x:c>
      <x:c r="B11" s="711" t="str">
        <x:f>IF((COUNTIF(Asta!$B$4:$B$47,"Sportiello")+COUNTIF(Asta!$D$4:$D$47,"Sportiello")+COUNTIF(Asta!$F$4:$F$47,"Sportiello")+COUNTIF(Asta!$H$4:$H$47,"Sportiello")+COUNTIF(Asta!$J$4:$J$47,"Sportiello")+COUNTIF(Asta!$L$4:$L$47,"Sportiello")+COUNTIF(Asta!$N$4:$N$47,"Sportiello")+COUNTIF(Asta!$P$4:$P$47,"Sportiello")+COUNTIF(Asta!$R$4:$R$47,"Sportiello")+COUNTIF(Asta!$T$4:$T$47,"Sportiello"))&gt;0,REGEXREPLACE("Sportiello","(.)","$1"&amp;UNICHAR(822)),"Sportiello")</x:f>
        <x:v>Sportiello</x:v>
      </x:c>
      <x:c r="C11" s="711" t="str">
        <x:v>Por</x:v>
      </x:c>
      <x:c r="D11" s="711" t="str">
        <x:v>Riserva / rotazione</x:v>
      </x:c>
      <x:c r="E11" s="711" t="n">
        <x:v>1</x:v>
      </x:c>
      <x:c r="F11" s="711" t="n">
        <x:v>1</x:v>
      </x:c>
      <x:c r="G11" s="711" t="str">
        <x:v>Copertura</x:v>
      </x:c>
      <x:c r="H11" s="711" t="str"/>
      <x:c r="I11" s="712" t="str">
        <x:v>Solo come secondo/terzo portiere o copertura del titolare.</x:v>
      </x:c>
    </x:row>
    <x:row r="12">
      <x:c r="A12" s="713" t="str">
        <x:v>Difensore</x:v>
      </x:c>
      <x:c r="B12" s="714" t="str">
        <x:f>IF((COUNTIF(Asta!$B$4:$B$47,"Scalvini")+COUNTIF(Asta!$D$4:$D$47,"Scalvini")+COUNTIF(Asta!$F$4:$F$47,"Scalvini")+COUNTIF(Asta!$H$4:$H$47,"Scalvini")+COUNTIF(Asta!$J$4:$J$47,"Scalvini")+COUNTIF(Asta!$L$4:$L$47,"Scalvini")+COUNTIF(Asta!$N$4:$N$47,"Scalvini")+COUNTIF(Asta!$P$4:$P$47,"Scalvini")+COUNTIF(Asta!$R$4:$R$47,"Scalvini")+COUNTIF(Asta!$T$4:$T$47,"Scalvini"))&gt;0,REGEXREPLACE("Scalvini","(.)","$1"&amp;UNICHAR(822)),"Scalvini")</x:f>
        <x:v>Scalvini</x:v>
      </x:c>
      <x:c r="C12" s="714" t="str">
        <x:v>Dc</x:v>
      </x:c>
      <x:c r="D12" s="714" t="str">
        <x:v>Titolare</x:v>
      </x:c>
      <x:c r="E12" s="714" t="n">
        <x:v>10</x:v>
      </x:c>
      <x:c r="F12" s="714" t="n">
        <x:v>14</x:v>
      </x:c>
      <x:c r="G12" s="714" t="str">
        <x:v>Utile</x:v>
      </x:c>
      <x:c r="H12" s="714" t="str"/>
      <x:c r="I12" s="715" t="str">
        <x:v>Profilo utile per minutaggio e rotazioni; buon rapporto costo/titolarità.</x:v>
      </x:c>
    </x:row>
    <x:row r="13">
      <x:c r="A13" s="713" t="str">
        <x:v>Difensore</x:v>
      </x:c>
      <x:c r="B13" s="714" t="str">
        <x:f>IF((COUNTIF(Asta!$B$4:$B$47,"Zappacosta")+COUNTIF(Asta!$D$4:$D$47,"Zappacosta")+COUNTIF(Asta!$F$4:$F$47,"Zappacosta")+COUNTIF(Asta!$H$4:$H$47,"Zappacosta")+COUNTIF(Asta!$J$4:$J$47,"Zappacosta")+COUNTIF(Asta!$L$4:$L$47,"Zappacosta")+COUNTIF(Asta!$N$4:$N$47,"Zappacosta")+COUNTIF(Asta!$P$4:$P$47,"Zappacosta")+COUNTIF(Asta!$R$4:$R$47,"Zappacosta")+COUNTIF(Asta!$T$4:$T$47,"Zappacosta"))&gt;0,REGEXREPLACE("Zappacosta","(.)","$1"&amp;UNICHAR(822)),"Zappacosta")</x:f>
        <x:v>Zappacosta</x:v>
      </x:c>
      <x:c r="C13" s="714" t="str">
        <x:v>Dd;E</x:v>
      </x:c>
      <x:c r="D13" s="714" t="str">
        <x:v>Riserva / rotazione</x:v>
      </x:c>
      <x:c r="E13" s="714" t="n">
        <x:v>8</x:v>
      </x:c>
      <x:c r="F13" s="714" t="n">
        <x:v>12</x:v>
      </x:c>
      <x:c r="G13" s="714" t="str">
        <x:v>Utile</x:v>
      </x:c>
      <x:c r="H13" s="714" t="str"/>
      <x:c r="I13" s="715" t="str">
        <x:v>Scommessa da ultimi slot, senza sovrapprezzo.</x:v>
      </x:c>
    </x:row>
    <x:row r="14">
      <x:c r="A14" s="713" t="str">
        <x:v>Difensore</x:v>
      </x:c>
      <x:c r="B14" s="714" t="str">
        <x:f>IF((COUNTIF(Asta!$B$4:$B$47,"Bernasconi")+COUNTIF(Asta!$D$4:$D$47,"Bernasconi")+COUNTIF(Asta!$F$4:$F$47,"Bernasconi")+COUNTIF(Asta!$H$4:$H$47,"Bernasconi")+COUNTIF(Asta!$J$4:$J$47,"Bernasconi")+COUNTIF(Asta!$L$4:$L$47,"Bernasconi")+COUNTIF(Asta!$N$4:$N$47,"Bernasconi")+COUNTIF(Asta!$P$4:$P$47,"Bernasconi")+COUNTIF(Asta!$R$4:$R$47,"Bernasconi")+COUNTIF(Asta!$T$4:$T$47,"Bernasconi"))&gt;0,REGEXREPLACE("Bernasconi","(.)","$1"&amp;UNICHAR(822)),"Bernasconi")</x:f>
        <x:v>Bernasconi</x:v>
      </x:c>
      <x:c r="C14" s="714" t="str">
        <x:v>Ds;E</x:v>
      </x:c>
      <x:c r="D14" s="714" t="str">
        <x:v>Titolare</x:v>
      </x:c>
      <x:c r="E14" s="714" t="n">
        <x:v>6</x:v>
      </x:c>
      <x:c r="F14" s="714" t="n">
        <x:v>9</x:v>
      </x:c>
      <x:c r="G14" s="714" t="str">
        <x:v>Scommessa</x:v>
      </x:c>
      <x:c r="H14" s="714" t="str"/>
      <x:c r="I14" s="715" t="str">
        <x:v>Titolare low cost: utile per completare il reparto.</x:v>
      </x:c>
    </x:row>
    <x:row r="15">
      <x:c r="A15" s="713" t="str">
        <x:v>Difensore</x:v>
      </x:c>
      <x:c r="B15" s="714" t="str">
        <x:f>IF((COUNTIF(Asta!$B$4:$B$47,"Ahanor")+COUNTIF(Asta!$D$4:$D$47,"Ahanor")+COUNTIF(Asta!$F$4:$F$47,"Ahanor")+COUNTIF(Asta!$H$4:$H$47,"Ahanor")+COUNTIF(Asta!$J$4:$J$47,"Ahanor")+COUNTIF(Asta!$L$4:$L$47,"Ahanor")+COUNTIF(Asta!$N$4:$N$47,"Ahanor")+COUNTIF(Asta!$P$4:$P$47,"Ahanor")+COUNTIF(Asta!$R$4:$R$47,"Ahanor")+COUNTIF(Asta!$T$4:$T$47,"Ahanor"))&gt;0,REGEXREPLACE("Ahanor","(.)","$1"&amp;UNICHAR(822)),"Ahanor")</x:f>
        <x:v>Ahanor</x:v>
      </x:c>
      <x:c r="C15" s="714" t="str">
        <x:v>B;Ds;E</x:v>
      </x:c>
      <x:c r="D15" s="714" t="str">
        <x:v>Riserva / rotazione</x:v>
      </x:c>
      <x:c r="E15" s="714" t="n">
        <x:v>6</x:v>
      </x:c>
      <x:c r="F15" s="714" t="n">
        <x:v>8</x:v>
      </x:c>
      <x:c r="G15" s="714" t="str">
        <x:v>Scommessa</x:v>
      </x:c>
      <x:c r="H15" s="714" t="str"/>
      <x:c r="I15" s="715" t="str">
        <x:v>Scommessa da ultimi slot, senza sovrapprezzo.</x:v>
      </x:c>
    </x:row>
    <x:row r="16">
      <x:c r="A16" s="713" t="str">
        <x:v>Difensore</x:v>
      </x:c>
      <x:c r="B16" s="714" t="str">
        <x:f>IF((COUNTIF(Asta!$B$4:$B$47,"Djimsiti")+COUNTIF(Asta!$D$4:$D$47,"Djimsiti")+COUNTIF(Asta!$F$4:$F$47,"Djimsiti")+COUNTIF(Asta!$H$4:$H$47,"Djimsiti")+COUNTIF(Asta!$J$4:$J$47,"Djimsiti")+COUNTIF(Asta!$L$4:$L$47,"Djimsiti")+COUNTIF(Asta!$N$4:$N$47,"Djimsiti")+COUNTIF(Asta!$P$4:$P$47,"Djimsiti")+COUNTIF(Asta!$R$4:$R$47,"Djimsiti")+COUNTIF(Asta!$T$4:$T$47,"Djimsiti"))&gt;0,REGEXREPLACE("Djimsiti","(.)","$1"&amp;UNICHAR(822)),"Djimsiti")</x:f>
        <x:v>Djimsiti</x:v>
      </x:c>
      <x:c r="C16" s="714" t="str">
        <x:v>Dc</x:v>
      </x:c>
      <x:c r="D16" s="714" t="str">
        <x:v>Riserva / rotazione</x:v>
      </x:c>
      <x:c r="E16" s="714" t="n">
        <x:v>7</x:v>
      </x:c>
      <x:c r="F16" s="714" t="n">
        <x:v>8</x:v>
      </x:c>
      <x:c r="G16" s="714" t="str">
        <x:v>Scommessa</x:v>
      </x:c>
      <x:c r="H16" s="714" t="str"/>
      <x:c r="I16" s="715" t="str">
        <x:v>Scommessa da ultimi slot, senza sovrapprezzo.</x:v>
      </x:c>
    </x:row>
    <x:row r="17">
      <x:c r="A17" s="713" t="str">
        <x:v>Difensore</x:v>
      </x:c>
      <x:c r="B17" s="714" t="str">
        <x:f>IF((COUNTIF(Asta!$B$4:$B$47,"Hien")+COUNTIF(Asta!$D$4:$D$47,"Hien")+COUNTIF(Asta!$F$4:$F$47,"Hien")+COUNTIF(Asta!$H$4:$H$47,"Hien")+COUNTIF(Asta!$J$4:$J$47,"Hien")+COUNTIF(Asta!$L$4:$L$47,"Hien")+COUNTIF(Asta!$N$4:$N$47,"Hien")+COUNTIF(Asta!$P$4:$P$47,"Hien")+COUNTIF(Asta!$R$4:$R$47,"Hien")+COUNTIF(Asta!$T$4:$T$47,"Hien"))&gt;0,REGEXREPLACE("Hien","(.)","$1"&amp;UNICHAR(822)),"Hien")</x:f>
        <x:v>Hien</x:v>
      </x:c>
      <x:c r="C17" s="714" t="str">
        <x:v>Dc</x:v>
      </x:c>
      <x:c r="D17" s="714" t="str">
        <x:v>Ballottaggio</x:v>
      </x:c>
      <x:c r="E17" s="714" t="n">
        <x:v>8</x:v>
      </x:c>
      <x:c r="F17" s="714" t="n">
        <x:v>8</x:v>
      </x:c>
      <x:c r="G17" s="714" t="str">
        <x:v>Scommessa</x:v>
      </x:c>
      <x:c r="H17" s="714" t="str"/>
      <x:c r="I17" s="715" t="str">
        <x:v>Solo a pochi crediti: minutaggio non garantito.</x:v>
      </x:c>
    </x:row>
    <x:row r="18">
      <x:c r="A18" s="713" t="str">
        <x:v>Difensore</x:v>
      </x:c>
      <x:c r="B18" s="714" t="str">
        <x:f>IF((COUNTIF(Asta!$B$4:$B$47,"Bellanova")+COUNTIF(Asta!$D$4:$D$47,"Bellanova")+COUNTIF(Asta!$F$4:$F$47,"Bellanova")+COUNTIF(Asta!$H$4:$H$47,"Bellanova")+COUNTIF(Asta!$J$4:$J$47,"Bellanova")+COUNTIF(Asta!$L$4:$L$47,"Bellanova")+COUNTIF(Asta!$N$4:$N$47,"Bellanova")+COUNTIF(Asta!$P$4:$P$47,"Bellanova")+COUNTIF(Asta!$R$4:$R$47,"Bellanova")+COUNTIF(Asta!$T$4:$T$47,"Bellanova"))&gt;0,REGEXREPLACE("Bellanova","(.)","$1"&amp;UNICHAR(822)),"Bellanova")</x:f>
        <x:v>Bellanova</x:v>
      </x:c>
      <x:c r="C18" s="714" t="str">
        <x:v>Dd;E</x:v>
      </x:c>
      <x:c r="D18" s="714" t="str">
        <x:v>Titolare</x:v>
      </x:c>
      <x:c r="E18" s="714" t="n">
        <x:v>6</x:v>
      </x:c>
      <x:c r="F18" s="714" t="n">
        <x:v>8</x:v>
      </x:c>
      <x:c r="G18" s="714" t="str">
        <x:v>Scommessa</x:v>
      </x:c>
      <x:c r="H18" s="714" t="str"/>
      <x:c r="I18" s="715" t="str">
        <x:v>Titolare low cost: utile per completare il reparto.</x:v>
      </x:c>
    </x:row>
    <x:row r="19">
      <x:c r="A19" s="713" t="str">
        <x:v>Difensore</x:v>
      </x:c>
      <x:c r="B19" s="714" t="str">
        <x:f>IF((COUNTIF(Asta!$B$4:$B$47,"Kolasinac")+COUNTIF(Asta!$D$4:$D$47,"Kolasinac")+COUNTIF(Asta!$F$4:$F$47,"Kolasinac")+COUNTIF(Asta!$H$4:$H$47,"Kolasinac")+COUNTIF(Asta!$J$4:$J$47,"Kolasinac")+COUNTIF(Asta!$L$4:$L$47,"Kolasinac")+COUNTIF(Asta!$N$4:$N$47,"Kolasinac")+COUNTIF(Asta!$P$4:$P$47,"Kolasinac")+COUNTIF(Asta!$R$4:$R$47,"Kolasinac")+COUNTIF(Asta!$T$4:$T$47,"Kolasinac"))&gt;0,REGEXREPLACE("Kolasinac","(.)","$1"&amp;UNICHAR(822)),"Kolasinac")</x:f>
        <x:v>Kolasinac</x:v>
      </x:c>
      <x:c r="C19" s="714" t="str">
        <x:v>Ds;Dc</x:v>
      </x:c>
      <x:c r="D19" s="714" t="str">
        <x:v>Riserva / rotazione</x:v>
      </x:c>
      <x:c r="E19" s="714" t="n">
        <x:v>5</x:v>
      </x:c>
      <x:c r="F19" s="714" t="n">
        <x:v>6</x:v>
      </x:c>
      <x:c r="G19" s="714" t="str">
        <x:v>Scommessa</x:v>
      </x:c>
      <x:c r="H19" s="714" t="str"/>
      <x:c r="I19" s="715" t="str">
        <x:v>Copertura/ultimo slot: da prendere a 1-2 crediti.</x:v>
      </x:c>
    </x:row>
    <x:row r="20">
      <x:c r="A20" s="713" t="str">
        <x:v>Difensore</x:v>
      </x:c>
      <x:c r="B20" s="714" t="str">
        <x:f>IF((COUNTIF(Asta!$B$4:$B$47,"Kossounou")+COUNTIF(Asta!$D$4:$D$47,"Kossounou")+COUNTIF(Asta!$F$4:$F$47,"Kossounou")+COUNTIF(Asta!$H$4:$H$47,"Kossounou")+COUNTIF(Asta!$J$4:$J$47,"Kossounou")+COUNTIF(Asta!$L$4:$L$47,"Kossounou")+COUNTIF(Asta!$N$4:$N$47,"Kossounou")+COUNTIF(Asta!$P$4:$P$47,"Kossounou")+COUNTIF(Asta!$R$4:$R$47,"Kossounou")+COUNTIF(Asta!$T$4:$T$47,"Kossounou"))&gt;0,REGEXREPLACE("Kossounou","(.)","$1"&amp;UNICHAR(822)),"Kossounou")</x:f>
        <x:v>Kossounou</x:v>
      </x:c>
      <x:c r="C20" s="714" t="str">
        <x:v>Dd;Dc</x:v>
      </x:c>
      <x:c r="D20" s="714" t="str">
        <x:v>Riserva / rotazione</x:v>
      </x:c>
      <x:c r="E20" s="714" t="n">
        <x:v>3</x:v>
      </x:c>
      <x:c r="F20" s="714" t="n">
        <x:v>4</x:v>
      </x:c>
      <x:c r="G20" s="714" t="str">
        <x:v>Copertura</x:v>
      </x:c>
      <x:c r="H20" s="714" t="str"/>
      <x:c r="I20" s="715" t="str">
        <x:v>Copertura/ultimo slot: da prendere a 1-2 crediti.</x:v>
      </x:c>
    </x:row>
    <x:row r="21">
      <x:c r="A21" s="716" t="str">
        <x:v>Centrocampista</x:v>
      </x:c>
      <x:c r="B21" s="717" t="str">
        <x:f>IF((COUNTIF(Asta!$B$4:$B$47,"Ederson D.S.")+COUNTIF(Asta!$D$4:$D$47,"Ederson D.S.")+COUNTIF(Asta!$F$4:$F$47,"Ederson D.S.")+COUNTIF(Asta!$H$4:$H$47,"Ederson D.S.")+COUNTIF(Asta!$J$4:$J$47,"Ederson D.S.")+COUNTIF(Asta!$L$4:$L$47,"Ederson D.S.")+COUNTIF(Asta!$N$4:$N$47,"Ederson D.S.")+COUNTIF(Asta!$P$4:$P$47,"Ederson D.S.")+COUNTIF(Asta!$R$4:$R$47,"Ederson D.S.")+COUNTIF(Asta!$T$4:$T$47,"Ederson D.S."))&gt;0,REGEXREPLACE("Ederson D.S.","(.)","$1"&amp;UNICHAR(822)),"Ederson D.S.")</x:f>
        <x:v>Ederson D.S.</x:v>
      </x:c>
      <x:c r="C21" s="717" t="str">
        <x:v>M;C</x:v>
      </x:c>
      <x:c r="D21" s="717" t="str">
        <x:v>Titolare</x:v>
      </x:c>
      <x:c r="E21" s="717" t="n">
        <x:v>12</x:v>
      </x:c>
      <x:c r="F21" s="717" t="n">
        <x:v>23</x:v>
      </x:c>
      <x:c r="G21" s="717" t="str">
        <x:v>Buon titolare</x:v>
      </x:c>
      <x:c r="H21" s="717" t="str"/>
      <x:c r="I21" s="718" t="str">
        <x:v>Buon titolare di rosa, da prendere senza inseguire troppo il prezzo.</x:v>
      </x:c>
    </x:row>
    <x:row r="22">
      <x:c r="A22" s="716" t="str">
        <x:v>Centrocampista</x:v>
      </x:c>
      <x:c r="B22" s="717" t="str">
        <x:f>IF((COUNTIF(Asta!$B$4:$B$47,"Samardzic")+COUNTIF(Asta!$D$4:$D$47,"Samardzic")+COUNTIF(Asta!$F$4:$F$47,"Samardzic")+COUNTIF(Asta!$H$4:$H$47,"Samardzic")+COUNTIF(Asta!$J$4:$J$47,"Samardzic")+COUNTIF(Asta!$L$4:$L$47,"Samardzic")+COUNTIF(Asta!$N$4:$N$47,"Samardzic")+COUNTIF(Asta!$P$4:$P$47,"Samardzic")+COUNTIF(Asta!$R$4:$R$47,"Samardzic")+COUNTIF(Asta!$T$4:$T$47,"Samardzic"))&gt;0,REGEXREPLACE("Samardzic","(.)","$1"&amp;UNICHAR(822)),"Samardzic")</x:f>
        <x:v>Samardzic</x:v>
      </x:c>
      <x:c r="C22" s="717" t="str">
        <x:v>C;T</x:v>
      </x:c>
      <x:c r="D22" s="717" t="str">
        <x:v>Titolare / ballottaggio</x:v>
      </x:c>
      <x:c r="E22" s="717" t="n">
        <x:v>12</x:v>
      </x:c>
      <x:c r="F22" s="717" t="n">
        <x:v>21</x:v>
      </x:c>
      <x:c r="G22" s="717" t="str">
        <x:v>Utile</x:v>
      </x:c>
      <x:c r="H22" s="717" t="str">
        <x:v>Rigorista · Piazzati</x:v>
      </x:c>
      <x:c r="I22" s="718" t="str">
        <x:v>Scommessa con upside: prendilo a prezzo controllato. Plus importante: è indicato tra i rigoristi.</x:v>
      </x:c>
    </x:row>
    <x:row r="23">
      <x:c r="A23" s="716" t="str">
        <x:v>Centrocampista</x:v>
      </x:c>
      <x:c r="B23" s="717" t="str">
        <x:f>IF((COUNTIF(Asta!$B$4:$B$47,"Pasalic")+COUNTIF(Asta!$D$4:$D$47,"Pasalic")+COUNTIF(Asta!$F$4:$F$47,"Pasalic")+COUNTIF(Asta!$H$4:$H$47,"Pasalic")+COUNTIF(Asta!$J$4:$J$47,"Pasalic")+COUNTIF(Asta!$L$4:$L$47,"Pasalic")+COUNTIF(Asta!$N$4:$N$47,"Pasalic")+COUNTIF(Asta!$P$4:$P$47,"Pasalic")+COUNTIF(Asta!$R$4:$R$47,"Pasalic")+COUNTIF(Asta!$T$4:$T$47,"Pasalic"))&gt;0,REGEXREPLACE("Pasalic","(.)","$1"&amp;UNICHAR(822)),"Pasalic")</x:f>
        <x:v>Pasalic</x:v>
      </x:c>
      <x:c r="C23" s="717" t="str">
        <x:v>C;T</x:v>
      </x:c>
      <x:c r="D23" s="717" t="str">
        <x:v>Ballottaggio</x:v>
      </x:c>
      <x:c r="E23" s="717" t="n">
        <x:v>9</x:v>
      </x:c>
      <x:c r="F23" s="717" t="n">
        <x:v>16</x:v>
      </x:c>
      <x:c r="G23" s="717" t="str">
        <x:v>Utile</x:v>
      </x:c>
      <x:c r="H23" s="717" t="str"/>
      <x:c r="I23" s="718" t="str">
        <x:v>Scommessa con upside: prendilo a prezzo controllato.</x:v>
      </x:c>
    </x:row>
    <x:row r="24">
      <x:c r="A24" s="716" t="str">
        <x:v>Centrocampista</x:v>
      </x:c>
      <x:c r="B24" s="717" t="str">
        <x:f>IF((COUNTIF(Asta!$B$4:$B$47,"Gaetano")+COUNTIF(Asta!$D$4:$D$47,"Gaetano")+COUNTIF(Asta!$F$4:$F$47,"Gaetano")+COUNTIF(Asta!$H$4:$H$47,"Gaetano")+COUNTIF(Asta!$J$4:$J$47,"Gaetano")+COUNTIF(Asta!$L$4:$L$47,"Gaetano")+COUNTIF(Asta!$N$4:$N$47,"Gaetano")+COUNTIF(Asta!$P$4:$P$47,"Gaetano")+COUNTIF(Asta!$R$4:$R$47,"Gaetano")+COUNTIF(Asta!$T$4:$T$47,"Gaetano"))&gt;0,REGEXREPLACE("Gaetano","(.)","$1"&amp;UNICHAR(822)),"Gaetano")</x:f>
        <x:v>Gaetano</x:v>
      </x:c>
      <x:c r="C24" s="717" t="str">
        <x:v>M;C</x:v>
      </x:c>
      <x:c r="D24" s="717" t="str">
        <x:v>Titolare / ballottaggio</x:v>
      </x:c>
      <x:c r="E24" s="717" t="n">
        <x:v>7</x:v>
      </x:c>
      <x:c r="F24" s="717" t="n">
        <x:v>12</x:v>
      </x:c>
      <x:c r="G24" s="717" t="str">
        <x:v>Utile</x:v>
      </x:c>
      <x:c r="H24" s="717" t="str">
        <x:v>Piazzati</x:v>
      </x:c>
      <x:c r="I24" s="718" t="str">
        <x:v>Scommessa con upside: prendilo a prezzo controllato. Buon plus: può battere calci piazzati.</x:v>
      </x:c>
    </x:row>
    <x:row r="25">
      <x:c r="A25" s="716" t="str">
        <x:v>Centrocampista</x:v>
      </x:c>
      <x:c r="B25" s="717" t="str">
        <x:f>IF((COUNTIF(Asta!$B$4:$B$47,"Zalewski")+COUNTIF(Asta!$D$4:$D$47,"Zalewski")+COUNTIF(Asta!$F$4:$F$47,"Zalewski")+COUNTIF(Asta!$H$4:$H$47,"Zalewski")+COUNTIF(Asta!$J$4:$J$47,"Zalewski")+COUNTIF(Asta!$L$4:$L$47,"Zalewski")+COUNTIF(Asta!$N$4:$N$47,"Zalewski")+COUNTIF(Asta!$P$4:$P$47,"Zalewski")+COUNTIF(Asta!$R$4:$R$47,"Zalewski")+COUNTIF(Asta!$T$4:$T$47,"Zalewski"))&gt;0,REGEXREPLACE("Zalewski","(.)","$1"&amp;UNICHAR(822)),"Zalewski")</x:f>
        <x:v>Zalewski</x:v>
      </x:c>
      <x:c r="C25" s="717" t="str">
        <x:v>W</x:v>
      </x:c>
      <x:c r="D25" s="717" t="str">
        <x:v>Riserva / rotazione</x:v>
      </x:c>
      <x:c r="E25" s="717" t="n">
        <x:v>6</x:v>
      </x:c>
      <x:c r="F25" s="717" t="n">
        <x:v>11</x:v>
      </x:c>
      <x:c r="G25" s="717" t="str">
        <x:v>Utile</x:v>
      </x:c>
      <x:c r="H25" s="717" t="str"/>
      <x:c r="I25" s="718" t="str">
        <x:v>Scommessa da ultimi slot, senza sovrapprezzo.</x:v>
      </x:c>
    </x:row>
    <x:row r="26">
      <x:c r="A26" s="716" t="str">
        <x:v>Centrocampista</x:v>
      </x:c>
      <x:c r="B26" s="717" t="str">
        <x:f>IF((COUNTIF(Asta!$B$4:$B$47,"De Roon")+COUNTIF(Asta!$D$4:$D$47,"De Roon")+COUNTIF(Asta!$F$4:$F$47,"De Roon")+COUNTIF(Asta!$H$4:$H$47,"De Roon")+COUNTIF(Asta!$J$4:$J$47,"De Roon")+COUNTIF(Asta!$L$4:$L$47,"De Roon")+COUNTIF(Asta!$N$4:$N$47,"De Roon")+COUNTIF(Asta!$P$4:$P$47,"De Roon")+COUNTIF(Asta!$R$4:$R$47,"De Roon")+COUNTIF(Asta!$T$4:$T$47,"De Roon"))&gt;0,REGEXREPLACE("De Roon","(.)","$1"&amp;UNICHAR(822)),"De Roon")</x:f>
        <x:v>De Roon</x:v>
      </x:c>
      <x:c r="C26" s="717" t="str">
        <x:v>M;C</x:v>
      </x:c>
      <x:c r="D26" s="717" t="str">
        <x:v>Riserva / rotazione</x:v>
      </x:c>
      <x:c r="E26" s="717" t="n">
        <x:v>4</x:v>
      </x:c>
      <x:c r="F26" s="717" t="n">
        <x:v>6</x:v>
      </x:c>
      <x:c r="G26" s="717" t="str">
        <x:v>Scommessa</x:v>
      </x:c>
      <x:c r="H26" s="717" t="str"/>
      <x:c r="I26" s="718" t="str">
        <x:v>Copertura/ultimo slot: da prendere a 1-2 crediti.</x:v>
      </x:c>
    </x:row>
    <x:row r="27">
      <x:c r="A27" s="716" t="str">
        <x:v>Centrocampista</x:v>
      </x:c>
      <x:c r="B27" s="717" t="str">
        <x:f>IF((COUNTIF(Asta!$B$4:$B$47,"Sulemana I.")+COUNTIF(Asta!$D$4:$D$47,"Sulemana I.")+COUNTIF(Asta!$F$4:$F$47,"Sulemana I.")+COUNTIF(Asta!$H$4:$H$47,"Sulemana I.")+COUNTIF(Asta!$J$4:$J$47,"Sulemana I.")+COUNTIF(Asta!$L$4:$L$47,"Sulemana I.")+COUNTIF(Asta!$N$4:$N$47,"Sulemana I.")+COUNTIF(Asta!$P$4:$P$47,"Sulemana I.")+COUNTIF(Asta!$R$4:$R$47,"Sulemana I.")+COUNTIF(Asta!$T$4:$T$47,"Sulemana I."))&gt;0,REGEXREPLACE("Sulemana I.","(.)","$1"&amp;UNICHAR(822)),"Sulemana I.")</x:f>
        <x:v>Sulemana I.</x:v>
      </x:c>
      <x:c r="C27" s="717" t="str">
        <x:v>M;C</x:v>
      </x:c>
      <x:c r="D27" s="717" t="str">
        <x:v>Riserva / rotazione</x:v>
      </x:c>
      <x:c r="E27" s="717" t="n">
        <x:v>3</x:v>
      </x:c>
      <x:c r="F27" s="717" t="n">
        <x:v>4</x:v>
      </x:c>
      <x:c r="G27" s="717" t="str">
        <x:v>Copertura</x:v>
      </x:c>
      <x:c r="H27" s="717" t="str"/>
      <x:c r="I27" s="718" t="str">
        <x:v>Copertura/ultimo slot: da prendere a 1-2 crediti.</x:v>
      </x:c>
    </x:row>
    <x:row r="28">
      <x:c r="A28" s="719" t="str">
        <x:v>Attaccante</x:v>
      </x:c>
      <x:c r="B28" s="720" t="str">
        <x:f>IF((COUNTIF(Asta!$B$4:$B$47,"Scamacca")+COUNTIF(Asta!$D$4:$D$47,"Scamacca")+COUNTIF(Asta!$F$4:$F$47,"Scamacca")+COUNTIF(Asta!$H$4:$H$47,"Scamacca")+COUNTIF(Asta!$J$4:$J$47,"Scamacca")+COUNTIF(Asta!$L$4:$L$47,"Scamacca")+COUNTIF(Asta!$N$4:$N$47,"Scamacca")+COUNTIF(Asta!$P$4:$P$47,"Scamacca")+COUNTIF(Asta!$R$4:$R$47,"Scamacca")+COUNTIF(Asta!$T$4:$T$47,"Scamacca"))&gt;0,REGEXREPLACE("Scamacca","(.)","$1"&amp;UNICHAR(822)),"Scamacca")</x:f>
        <x:v>Scamacca</x:v>
      </x:c>
      <x:c r="C28" s="720" t="str">
        <x:v>Pc</x:v>
      </x:c>
      <x:c r="D28" s="720" t="str">
        <x:v>Titolare / ballottaggio</x:v>
      </x:c>
      <x:c r="E28" s="720" t="n">
        <x:v>19</x:v>
      </x:c>
      <x:c r="F28" s="720" t="n">
        <x:v>65</x:v>
      </x:c>
      <x:c r="G28" s="720" t="str">
        <x:v>Premium</x:v>
      </x:c>
      <x:c r="H28" s="720" t="str">
        <x:v>Rigorista</x:v>
      </x:c>
      <x:c r="I28" s="721" t="str">
        <x:v>Interessante per bonus, ma non pagarlo come titolare fisso. Plus importante: è indicato tra i rigoristi.</x:v>
      </x:c>
    </x:row>
    <x:row r="29">
      <x:c r="A29" s="719" t="str">
        <x:v>Attaccante</x:v>
      </x:c>
      <x:c r="B29" s="720" t="str">
        <x:f>IF((COUNTIF(Asta!$B$4:$B$47,"De Ketelaere")+COUNTIF(Asta!$D$4:$D$47,"De Ketelaere")+COUNTIF(Asta!$F$4:$F$47,"De Ketelaere")+COUNTIF(Asta!$H$4:$H$47,"De Ketelaere")+COUNTIF(Asta!$J$4:$J$47,"De Ketelaere")+COUNTIF(Asta!$L$4:$L$47,"De Ketelaere")+COUNTIF(Asta!$N$4:$N$47,"De Ketelaere")+COUNTIF(Asta!$P$4:$P$47,"De Ketelaere")+COUNTIF(Asta!$R$4:$R$47,"De Ketelaere")+COUNTIF(Asta!$T$4:$T$47,"De Ketelaere"))&gt;0,REGEXREPLACE("De Ketelaere","(.)","$1"&amp;UNICHAR(822)),"De Ketelaere")</x:f>
        <x:v>De Ketelaere</x:v>
      </x:c>
      <x:c r="C29" s="720" t="str">
        <x:v>A</x:v>
      </x:c>
      <x:c r="D29" s="720" t="str">
        <x:v>Titolare</x:v>
      </x:c>
      <x:c r="E29" s="720" t="n">
        <x:v>17</x:v>
      </x:c>
      <x:c r="F29" s="720" t="n">
        <x:v>53</x:v>
      </x:c>
      <x:c r="G29" s="720" t="str">
        <x:v>Premium</x:v>
      </x:c>
      <x:c r="H29" s="720" t="str">
        <x:v>Piazzati</x:v>
      </x:c>
      <x:c r="I29" s="721" t="str">
        <x:v>Da puntare: titolarità e alto potenziale fantacalcistico. Buon plus: può battere calci piazzati.</x:v>
      </x:c>
    </x:row>
    <x:row r="30">
      <x:c r="A30" s="719" t="str">
        <x:v>Attaccante</x:v>
      </x:c>
      <x:c r="B30" s="720" t="str">
        <x:f>IF((COUNTIF(Asta!$B$4:$B$47,"Krstovic")+COUNTIF(Asta!$D$4:$D$47,"Krstovic")+COUNTIF(Asta!$F$4:$F$47,"Krstovic")+COUNTIF(Asta!$H$4:$H$47,"Krstovic")+COUNTIF(Asta!$J$4:$J$47,"Krstovic")+COUNTIF(Asta!$L$4:$L$47,"Krstovic")+COUNTIF(Asta!$N$4:$N$47,"Krstovic")+COUNTIF(Asta!$P$4:$P$47,"Krstovic")+COUNTIF(Asta!$R$4:$R$47,"Krstovic")+COUNTIF(Asta!$T$4:$T$47,"Krstovic"))&gt;0,REGEXREPLACE("Krstovic","(.)","$1"&amp;UNICHAR(822)),"Krstovic")</x:f>
        <x:v>Krstovic</x:v>
      </x:c>
      <x:c r="C30" s="720" t="str">
        <x:v>Pc</x:v>
      </x:c>
      <x:c r="D30" s="720" t="str">
        <x:v>Ballottaggio</x:v>
      </x:c>
      <x:c r="E30" s="720" t="n">
        <x:v>18</x:v>
      </x:c>
      <x:c r="F30" s="720" t="n">
        <x:v>50</x:v>
      </x:c>
      <x:c r="G30" s="720" t="str">
        <x:v>Premium</x:v>
      </x:c>
      <x:c r="H30" s="720" t="str">
        <x:v>Rigorista</x:v>
      </x:c>
      <x:c r="I30" s="721" t="str">
        <x:v>Interessante per bonus, ma non pagarlo come titolare fisso. Plus importante: è indicato tra i rigoristi.</x:v>
      </x:c>
    </x:row>
    <x:row r="31">
      <x:c r="A31" s="719" t="str">
        <x:v>Attaccante</x:v>
      </x:c>
      <x:c r="B31" s="720" t="str">
        <x:f>IF((COUNTIF(Asta!$B$4:$B$47,"Raspadori")+COUNTIF(Asta!$D$4:$D$47,"Raspadori")+COUNTIF(Asta!$F$4:$F$47,"Raspadori")+COUNTIF(Asta!$H$4:$H$47,"Raspadori")+COUNTIF(Asta!$J$4:$J$47,"Raspadori")+COUNTIF(Asta!$L$4:$L$47,"Raspadori")+COUNTIF(Asta!$N$4:$N$47,"Raspadori")+COUNTIF(Asta!$P$4:$P$47,"Raspadori")+COUNTIF(Asta!$R$4:$R$47,"Raspadori")+COUNTIF(Asta!$T$4:$T$47,"Raspadori"))&gt;0,REGEXREPLACE("Raspadori","(.)","$1"&amp;UNICHAR(822)),"Raspadori")</x:f>
        <x:v>Raspadori</x:v>
      </x:c>
      <x:c r="C31" s="720" t="str">
        <x:v>A</x:v>
      </x:c>
      <x:c r="D31" s="720" t="str">
        <x:v>Ballottaggio</x:v>
      </x:c>
      <x:c r="E31" s="720" t="n">
        <x:v>13</x:v>
      </x:c>
      <x:c r="F31" s="720" t="n">
        <x:v>31</x:v>
      </x:c>
      <x:c r="G31" s="720" t="str">
        <x:v>Buon titolare</x:v>
      </x:c>
      <x:c r="H31" s="720" t="str"/>
      <x:c r="I31" s="721" t="str">
        <x:v>Interessante per bonus, ma non pagarlo come titolare fisso.</x:v>
      </x:c>
    </x:row>
    <x:row r="32">
      <x:c r="A32" s="719" t="str">
        <x:v>Attaccante</x:v>
      </x:c>
      <x:c r="B32" s="720" t="str">
        <x:f>IF((COUNTIF(Asta!$B$4:$B$47,"Sulemana K.")+COUNTIF(Asta!$D$4:$D$47,"Sulemana K.")+COUNTIF(Asta!$F$4:$F$47,"Sulemana K.")+COUNTIF(Asta!$H$4:$H$47,"Sulemana K.")+COUNTIF(Asta!$J$4:$J$47,"Sulemana K.")+COUNTIF(Asta!$L$4:$L$47,"Sulemana K.")+COUNTIF(Asta!$N$4:$N$47,"Sulemana K.")+COUNTIF(Asta!$P$4:$P$47,"Sulemana K.")+COUNTIF(Asta!$R$4:$R$47,"Sulemana K.")+COUNTIF(Asta!$T$4:$T$47,"Sulemana K."))&gt;0,REGEXREPLACE("Sulemana K.","(.)","$1"&amp;UNICHAR(822)),"Sulemana K.")</x:f>
        <x:v>Sulemana K.</x:v>
      </x:c>
      <x:c r="C32" s="720" t="str">
        <x:v>A</x:v>
      </x:c>
      <x:c r="D32" s="720" t="str">
        <x:v>Riserva / rotazione</x:v>
      </x:c>
      <x:c r="E32" s="720" t="n">
        <x:v>6</x:v>
      </x:c>
      <x:c r="F32" s="720" t="n">
        <x:v>8</x:v>
      </x:c>
      <x:c r="G32" s="720" t="str">
        <x:v>Scommessa</x:v>
      </x:c>
      <x:c r="H32" s="720" t="str"/>
      <x:c r="I32" s="721" t="str">
        <x:v>Scommessa da ultimi slot, senza sovrapprezzo.</x:v>
      </x:c>
    </x:row>
    <x:row r="33">
      <x:c r="A33" s="722" t="str">
        <x:v>Attaccante</x:v>
      </x:c>
      <x:c r="B33" s="723" t="str">
        <x:f>IF((COUNTIF(Asta!$B$4:$B$47,"Maldini")+COUNTIF(Asta!$D$4:$D$47,"Maldini")+COUNTIF(Asta!$F$4:$F$47,"Maldini")+COUNTIF(Asta!$H$4:$H$47,"Maldini")+COUNTIF(Asta!$J$4:$J$47,"Maldini")+COUNTIF(Asta!$L$4:$L$47,"Maldini")+COUNTIF(Asta!$N$4:$N$47,"Maldini")+COUNTIF(Asta!$P$4:$P$47,"Maldini")+COUNTIF(Asta!$R$4:$R$47,"Maldini")+COUNTIF(Asta!$T$4:$T$47,"Maldini"))&gt;0,REGEXREPLACE("Maldini","(.)","$1"&amp;UNICHAR(822)),"Maldini")</x:f>
        <x:v>Maldini</x:v>
      </x:c>
      <x:c r="C33" s="723" t="str">
        <x:v>T;A</x:v>
      </x:c>
      <x:c r="D33" s="723" t="str">
        <x:v>Riserva / rotazione</x:v>
      </x:c>
      <x:c r="E33" s="723" t="n">
        <x:v>5</x:v>
      </x:c>
      <x:c r="F33" s="723" t="n">
        <x:v>7</x:v>
      </x:c>
      <x:c r="G33" s="723" t="str">
        <x:v>Scommessa</x:v>
      </x:c>
      <x:c r="H33" s="723" t="str"/>
      <x:c r="I33" s="724" t="str">
        <x:v>Copertura/ultimo slot: da prendere a 1-2 crediti.</x:v>
      </x:c>
    </x:row>
    <x:row r="35">
      <x:c r="A35" s="630" t="str">
        <x:v>Fonte formazione/ballottaggi/rigoristi: Fantacalcio.it, aggiornamento 09/09/2026 — https://www.fantacalcio.it/news/calcio-italia/06_08_2026/asta-fantacalcio-le-probabili-formazioni-della-serie-a-enilive-2026-27-495558</x:v>
      </x:c>
      <x:c r="B35" s="630"/>
      <x:c r="C35" s="630"/>
      <x:c r="D35" s="630"/>
      <x:c r="E35" s="630"/>
      <x:c r="F35" s="630"/>
      <x:c r="G35" s="630"/>
      <x:c r="H35" s="630"/>
      <x:c r="I35" s="630"/>
    </x:row>
  </x:sheetData>
  <x:mergeCells>
    <x:mergeCell ref="A1:I1"/>
    <x:mergeCell ref="B4:I4"/>
    <x:mergeCell ref="B5:I5"/>
    <x:mergeCell ref="D3:I3"/>
    <x:mergeCell ref="D6:I6"/>
    <x:mergeCell ref="A35:I35"/>
  </x:mergeCells>
  <x:conditionalFormatting sqref="D9:D33">
    <x:cfRule type="expression" dxfId="4" priority="1">
      <x:formula>D9="Titolare"</x:formula>
    </x:cfRule>
    <x:cfRule type="expression" dxfId="5" priority="2">
      <x:formula>ISNUMBER(SEARCH("Ballottaggio",D9))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1" hidden="0" customWidth="1"/>
    <x:col min="3" max="3" width="18" hidden="0" customWidth="1"/>
    <x:col min="4" max="4" width="23" hidden="0" customWidth="1"/>
    <x:col min="5" max="5" width="11" hidden="0" customWidth="1"/>
    <x:col min="6" max="6" width="12" hidden="0" customWidth="1"/>
    <x:col min="7" max="7" width="24" hidden="0" customWidth="1"/>
    <x:col min="8" max="8" width="20" hidden="0" customWidth="1"/>
    <x:col min="9" max="9" width="48" hidden="0" customWidth="1"/>
  </x:cols>
  <x:sheetData>
    <x:row r="1" ht="30" customHeight="1">
      <x:c r="A1" s="642" t="str">
        <x:v>BOLOGNA — GUIDA ASTA 2026/27</x:v>
      </x:c>
      <x:c r="B1" s="643"/>
      <x:c r="C1" s="643"/>
      <x:c r="D1" s="643"/>
      <x:c r="E1" s="643"/>
      <x:c r="F1" s="643"/>
      <x:c r="G1" s="643"/>
      <x:c r="H1" s="643"/>
      <x:c r="I1" s="644"/>
    </x:row>
    <x:row r="3">
      <x:c r="A3" s="663" t="str">
        <x:v>Allenatore</x:v>
      </x:c>
      <x:c r="B3" s="681" t="str">
        <x:v>Domenico Tedesco</x:v>
      </x:c>
      <x:c r="C3" s="673" t="str">
        <x:v>Modulo</x:v>
      </x:c>
      <x:c r="D3" s="681" t="str">
        <x:v>4-3-3</x:v>
      </x:c>
      <x:c r="E3" s="681"/>
      <x:c r="F3" s="681"/>
      <x:c r="G3" s="681"/>
      <x:c r="H3" s="681"/>
      <x:c r="I3" s="682"/>
    </x:row>
    <x:row r="4" ht="38" customHeight="1">
      <x:c r="A4" s="664" t="str">
        <x:v>Formazione titolare</x:v>
      </x:c>
      <x:c r="B4" s="683" t="str">
        <x:v>Skorupski; Zortea, Heggem, Theate, Miranda; Odgaard, Ferguson, Pobega; Orsolini, Dovbyk, Cambiaghi</x:v>
      </x:c>
      <x:c r="C4" s="676" t="str"/>
      <x:c r="D4" s="683" t="str"/>
      <x:c r="E4" s="683"/>
      <x:c r="F4" s="683"/>
      <x:c r="G4" s="683"/>
      <x:c r="H4" s="683"/>
      <x:c r="I4" s="684"/>
    </x:row>
    <x:row r="5" ht="38" customHeight="1">
      <x:c r="A5" s="664" t="str">
        <x:v>Ballottaggi</x:v>
      </x:c>
      <x:c r="B5" s="683" t="str">
        <x:v>Zortea/Holm; Pobega/Moro; Orsolini/Bernardeschi; Piccoli/Dovbyk; Cambiaghi/Mbangula</x:v>
      </x:c>
      <x:c r="C5" s="676" t="str"/>
      <x:c r="D5" s="683" t="str"/>
      <x:c r="E5" s="683"/>
      <x:c r="F5" s="683"/>
      <x:c r="G5" s="683"/>
      <x:c r="H5" s="683"/>
      <x:c r="I5" s="684"/>
    </x:row>
    <x:row r="6">
      <x:c r="A6" s="665" t="str">
        <x:v>Rigoristi</x:v>
      </x:c>
      <x:c r="B6" s="685" t="str">
        <x:v>Orsolini, Bernardeschi, Dovbyk</x:v>
      </x:c>
      <x:c r="C6" s="679" t="str">
        <x:v>Calci piazzati</x:v>
      </x:c>
      <x:c r="D6" s="685" t="str">
        <x:v>Orsolini, Bernardeschi, Miranda</x:v>
      </x:c>
      <x:c r="E6" s="685"/>
      <x:c r="F6" s="685"/>
      <x:c r="G6" s="685"/>
      <x:c r="H6" s="685"/>
      <x:c r="I6" s="686"/>
    </x:row>
    <x:row r="8" ht="30" customHeight="1">
      <x:c r="A8" s="698" t="str">
        <x:v>Ruolo</x:v>
      </x:c>
      <x:c r="B8" s="699" t="str">
        <x:v>Calciatore</x:v>
      </x:c>
      <x:c r="C8" s="699" t="str">
        <x:v>Posizione</x:v>
      </x:c>
      <x:c r="D8" s="699" t="str">
        <x:v>Status</x:v>
      </x:c>
      <x:c r="E8" s="699" t="str">
        <x:v>Quotazione</x:v>
      </x:c>
      <x:c r="F8" s="699" t="str">
        <x:v>FVM su 504</x:v>
      </x:c>
      <x:c r="G8" s="699" t="str">
        <x:v>Fascia asta</x:v>
      </x:c>
      <x:c r="H8" s="699" t="str">
        <x:v>Specialità</x:v>
      </x:c>
      <x:c r="I8" s="700" t="str">
        <x:v>Consiglio Fantacalcio</x:v>
      </x:c>
    </x:row>
    <x:row r="9">
      <x:c r="A9" s="707" t="str">
        <x:v>Portiere</x:v>
      </x:c>
      <x:c r="B9" s="708" t="str">
        <x:f>IF((COUNTIF(Asta!$B$4:$B$47,"Skorupski")+COUNTIF(Asta!$D$4:$D$47,"Skorupski")+COUNTIF(Asta!$F$4:$F$47,"Skorupski")+COUNTIF(Asta!$H$4:$H$47,"Skorupski")+COUNTIF(Asta!$J$4:$J$47,"Skorupski")+COUNTIF(Asta!$L$4:$L$47,"Skorupski")+COUNTIF(Asta!$N$4:$N$47,"Skorupski")+COUNTIF(Asta!$P$4:$P$47,"Skorupski")+COUNTIF(Asta!$R$4:$R$47,"Skorupski")+COUNTIF(Asta!$T$4:$T$47,"Skorupski"))&gt;0,REGEXREPLACE("Skorupski","(.)","$1"&amp;UNICHAR(822)),"Skorupski")</x:f>
        <x:v>Skorupski</x:v>
      </x:c>
      <x:c r="C9" s="708" t="str">
        <x:v>Por</x:v>
      </x:c>
      <x:c r="D9" s="708" t="str">
        <x:v>Titolare</x:v>
      </x:c>
      <x:c r="E9" s="708" t="n">
        <x:v>10</x:v>
      </x:c>
      <x:c r="F9" s="708" t="n">
        <x:v>19</x:v>
      </x:c>
      <x:c r="G9" s="708" t="str">
        <x:v>Utile</x:v>
      </x:c>
      <x:c r="H9" s="708" t="str"/>
      <x:c r="I9" s="709" t="str">
        <x:v>Portiere da prendere come titolare di reparto; profilo affidabile per continuità.</x:v>
      </x:c>
    </x:row>
    <x:row r="10">
      <x:c r="A10" s="710" t="str">
        <x:v>Portiere</x:v>
      </x:c>
      <x:c r="B10" s="711" t="str">
        <x:f>IF((COUNTIF(Asta!$B$4:$B$47,"Happonen")+COUNTIF(Asta!$D$4:$D$47,"Happonen")+COUNTIF(Asta!$F$4:$F$47,"Happonen")+COUNTIF(Asta!$H$4:$H$47,"Happonen")+COUNTIF(Asta!$J$4:$J$47,"Happonen")+COUNTIF(Asta!$L$4:$L$47,"Happonen")+COUNTIF(Asta!$N$4:$N$47,"Happonen")+COUNTIF(Asta!$P$4:$P$47,"Happonen")+COUNTIF(Asta!$R$4:$R$47,"Happonen")+COUNTIF(Asta!$T$4:$T$47,"Happonen"))&gt;0,REGEXREPLACE("Happonen","(.)","$1"&amp;UNICHAR(822)),"Happonen")</x:f>
        <x:v>Happonen</x:v>
      </x:c>
      <x:c r="C10" s="711" t="str">
        <x:v>Por</x:v>
      </x:c>
      <x:c r="D10" s="711" t="str">
        <x:v>Riserva / rotazione</x:v>
      </x:c>
      <x:c r="E10" s="711" t="n">
        <x:v>1</x:v>
      </x:c>
      <x:c r="F10" s="711" t="n">
        <x:v>1</x:v>
      </x:c>
      <x:c r="G10" s="711" t="str">
        <x:v>Copertura</x:v>
      </x:c>
      <x:c r="H10" s="711" t="str"/>
      <x:c r="I10" s="712" t="str">
        <x:v>Solo come secondo/terzo portiere o copertura del titolare.</x:v>
      </x:c>
    </x:row>
    <x:row r="11">
      <x:c r="A11" s="710" t="str">
        <x:v>Portiere</x:v>
      </x:c>
      <x:c r="B11" s="711" t="str">
        <x:f>IF((COUNTIF(Asta!$B$4:$B$47,"Pessina Mas.")+COUNTIF(Asta!$D$4:$D$47,"Pessina Mas.")+COUNTIF(Asta!$F$4:$F$47,"Pessina Mas.")+COUNTIF(Asta!$H$4:$H$47,"Pessina Mas.")+COUNTIF(Asta!$J$4:$J$47,"Pessina Mas.")+COUNTIF(Asta!$L$4:$L$47,"Pessina Mas.")+COUNTIF(Asta!$N$4:$N$47,"Pessina Mas.")+COUNTIF(Asta!$P$4:$P$47,"Pessina Mas.")+COUNTIF(Asta!$R$4:$R$47,"Pessina Mas.")+COUNTIF(Asta!$T$4:$T$47,"Pessina Mas."))&gt;0,REGEXREPLACE("Pessina Mas.","(.)","$1"&amp;UNICHAR(822)),"Pessina Mas.")</x:f>
        <x:v>Pessina Mas.</x:v>
      </x:c>
      <x:c r="C11" s="711" t="str">
        <x:v>Por</x:v>
      </x:c>
      <x:c r="D11" s="711" t="str">
        <x:v>Riserva / rotazione</x:v>
      </x:c>
      <x:c r="E11" s="711" t="n">
        <x:v>1</x:v>
      </x:c>
      <x:c r="F11" s="711" t="n">
        <x:v>1</x:v>
      </x:c>
      <x:c r="G11" s="711" t="str">
        <x:v>Copertura</x:v>
      </x:c>
      <x:c r="H11" s="711" t="str"/>
      <x:c r="I11" s="712" t="str">
        <x:v>Solo come secondo/terzo portiere o copertura del titolare.</x:v>
      </x:c>
    </x:row>
    <x:row r="12">
      <x:c r="A12" s="713" t="str">
        <x:v>Difensore</x:v>
      </x:c>
      <x:c r="B12" s="714" t="str">
        <x:f>IF((COUNTIF(Asta!$B$4:$B$47,"Miranda J.")+COUNTIF(Asta!$D$4:$D$47,"Miranda J.")+COUNTIF(Asta!$F$4:$F$47,"Miranda J.")+COUNTIF(Asta!$H$4:$H$47,"Miranda J.")+COUNTIF(Asta!$J$4:$J$47,"Miranda J.")+COUNTIF(Asta!$L$4:$L$47,"Miranda J.")+COUNTIF(Asta!$N$4:$N$47,"Miranda J.")+COUNTIF(Asta!$P$4:$P$47,"Miranda J.")+COUNTIF(Asta!$R$4:$R$47,"Miranda J.")+COUNTIF(Asta!$T$4:$T$47,"Miranda J."))&gt;0,REGEXREPLACE("Miranda J.","(.)","$1"&amp;UNICHAR(822)),"Miranda J.")</x:f>
        <x:v>Miranda J.</x:v>
      </x:c>
      <x:c r="C12" s="714" t="str">
        <x:v>Ds;E</x:v>
      </x:c>
      <x:c r="D12" s="714" t="str">
        <x:v>Titolare</x:v>
      </x:c>
      <x:c r="E12" s="714" t="n">
        <x:v>8</x:v>
      </x:c>
      <x:c r="F12" s="714" t="n">
        <x:v>12</x:v>
      </x:c>
      <x:c r="G12" s="714" t="str">
        <x:v>Utile</x:v>
      </x:c>
      <x:c r="H12" s="714" t="str">
        <x:v>Piazzati</x:v>
      </x:c>
      <x:c r="I12" s="715" t="str">
        <x:v>Profilo utile per minutaggio e rotazioni; buon rapporto costo/titolarità. Buon plus: può battere calci piazzati.</x:v>
      </x:c>
    </x:row>
    <x:row r="13">
      <x:c r="A13" s="713" t="str">
        <x:v>Difensore</x:v>
      </x:c>
      <x:c r="B13" s="714" t="str">
        <x:f>IF((COUNTIF(Asta!$B$4:$B$47,"Zortea")+COUNTIF(Asta!$D$4:$D$47,"Zortea")+COUNTIF(Asta!$F$4:$F$47,"Zortea")+COUNTIF(Asta!$H$4:$H$47,"Zortea")+COUNTIF(Asta!$J$4:$J$47,"Zortea")+COUNTIF(Asta!$L$4:$L$47,"Zortea")+COUNTIF(Asta!$N$4:$N$47,"Zortea")+COUNTIF(Asta!$P$4:$P$47,"Zortea")+COUNTIF(Asta!$R$4:$R$47,"Zortea")+COUNTIF(Asta!$T$4:$T$47,"Zortea"))&gt;0,REGEXREPLACE("Zortea","(.)","$1"&amp;UNICHAR(822)),"Zortea")</x:f>
        <x:v>Zortea</x:v>
      </x:c>
      <x:c r="C13" s="714" t="str">
        <x:v>Dd;E</x:v>
      </x:c>
      <x:c r="D13" s="714" t="str">
        <x:v>Titolare / ballottaggio</x:v>
      </x:c>
      <x:c r="E13" s="714" t="n">
        <x:v>6</x:v>
      </x:c>
      <x:c r="F13" s="714" t="n">
        <x:v>10</x:v>
      </x:c>
      <x:c r="G13" s="714" t="str">
        <x:v>Scommessa</x:v>
      </x:c>
      <x:c r="H13" s="714" t="str"/>
      <x:c r="I13" s="715" t="str">
        <x:v>Solo a pochi crediti: minutaggio non garantito.</x:v>
      </x:c>
    </x:row>
    <x:row r="14">
      <x:c r="A14" s="713" t="str">
        <x:v>Difensore</x:v>
      </x:c>
      <x:c r="B14" s="714" t="str">
        <x:f>IF((COUNTIF(Asta!$B$4:$B$47,"Lucumì")+COUNTIF(Asta!$D$4:$D$47,"Lucumì")+COUNTIF(Asta!$F$4:$F$47,"Lucumì")+COUNTIF(Asta!$H$4:$H$47,"Lucumì")+COUNTIF(Asta!$J$4:$J$47,"Lucumì")+COUNTIF(Asta!$L$4:$L$47,"Lucumì")+COUNTIF(Asta!$N$4:$N$47,"Lucumì")+COUNTIF(Asta!$P$4:$P$47,"Lucumì")+COUNTIF(Asta!$R$4:$R$47,"Lucumì")+COUNTIF(Asta!$T$4:$T$47,"Lucumì"))&gt;0,REGEXREPLACE("Lucumì","(.)","$1"&amp;UNICHAR(822)),"Lucumì")</x:f>
        <x:v>Lucumì</x:v>
      </x:c>
      <x:c r="C14" s="714" t="str">
        <x:v>Dc</x:v>
      </x:c>
      <x:c r="D14" s="714" t="str">
        <x:v>Riserva / rotazione</x:v>
      </x:c>
      <x:c r="E14" s="714" t="n">
        <x:v>8</x:v>
      </x:c>
      <x:c r="F14" s="714" t="n">
        <x:v>9</x:v>
      </x:c>
      <x:c r="G14" s="714" t="str">
        <x:v>Scommessa</x:v>
      </x:c>
      <x:c r="H14" s="714" t="str"/>
      <x:c r="I14" s="715" t="str">
        <x:v>Scommessa da ultimi slot, senza sovrapprezzo.</x:v>
      </x:c>
    </x:row>
    <x:row r="15">
      <x:c r="A15" s="713" t="str">
        <x:v>Difensore</x:v>
      </x:c>
      <x:c r="B15" s="714" t="str">
        <x:f>IF((COUNTIF(Asta!$B$4:$B$47,"Heggem")+COUNTIF(Asta!$D$4:$D$47,"Heggem")+COUNTIF(Asta!$F$4:$F$47,"Heggem")+COUNTIF(Asta!$H$4:$H$47,"Heggem")+COUNTIF(Asta!$J$4:$J$47,"Heggem")+COUNTIF(Asta!$L$4:$L$47,"Heggem")+COUNTIF(Asta!$N$4:$N$47,"Heggem")+COUNTIF(Asta!$P$4:$P$47,"Heggem")+COUNTIF(Asta!$R$4:$R$47,"Heggem")+COUNTIF(Asta!$T$4:$T$47,"Heggem"))&gt;0,REGEXREPLACE("Heggem","(.)","$1"&amp;UNICHAR(822)),"Heggem")</x:f>
        <x:v>Heggem</x:v>
      </x:c>
      <x:c r="C15" s="714" t="str">
        <x:v>Ds;Dc</x:v>
      </x:c>
      <x:c r="D15" s="714" t="str">
        <x:v>Titolare</x:v>
      </x:c>
      <x:c r="E15" s="714" t="n">
        <x:v>6</x:v>
      </x:c>
      <x:c r="F15" s="714" t="n">
        <x:v>8</x:v>
      </x:c>
      <x:c r="G15" s="714" t="str">
        <x:v>Scommessa</x:v>
      </x:c>
      <x:c r="H15" s="714" t="str"/>
      <x:c r="I15" s="715" t="str">
        <x:v>Titolare low cost: utile per completare il reparto.</x:v>
      </x:c>
    </x:row>
    <x:row r="16">
      <x:c r="A16" s="713" t="str">
        <x:v>Difensore</x:v>
      </x:c>
      <x:c r="B16" s="714" t="str">
        <x:f>IF((COUNTIF(Asta!$B$4:$B$47,"Holm")+COUNTIF(Asta!$D$4:$D$47,"Holm")+COUNTIF(Asta!$F$4:$F$47,"Holm")+COUNTIF(Asta!$H$4:$H$47,"Holm")+COUNTIF(Asta!$J$4:$J$47,"Holm")+COUNTIF(Asta!$L$4:$L$47,"Holm")+COUNTIF(Asta!$N$4:$N$47,"Holm")+COUNTIF(Asta!$P$4:$P$47,"Holm")+COUNTIF(Asta!$R$4:$R$47,"Holm")+COUNTIF(Asta!$T$4:$T$47,"Holm"))&gt;0,REGEXREPLACE("Holm","(.)","$1"&amp;UNICHAR(822)),"Holm")</x:f>
        <x:v>Holm</x:v>
      </x:c>
      <x:c r="C16" s="714" t="str">
        <x:v>Dd;E</x:v>
      </x:c>
      <x:c r="D16" s="714" t="str">
        <x:v>Ballottaggio</x:v>
      </x:c>
      <x:c r="E16" s="714" t="n">
        <x:v>5</x:v>
      </x:c>
      <x:c r="F16" s="714" t="n">
        <x:v>7</x:v>
      </x:c>
      <x:c r="G16" s="714" t="str">
        <x:v>Scommessa</x:v>
      </x:c>
      <x:c r="H16" s="714" t="str"/>
      <x:c r="I16" s="715" t="str">
        <x:v>Solo a pochi crediti: minutaggio non garantito.</x:v>
      </x:c>
    </x:row>
    <x:row r="17">
      <x:c r="A17" s="713" t="str">
        <x:v>Difensore</x:v>
      </x:c>
      <x:c r="B17" s="714" t="str">
        <x:f>IF((COUNTIF(Asta!$B$4:$B$47,"Vitik")+COUNTIF(Asta!$D$4:$D$47,"Vitik")+COUNTIF(Asta!$F$4:$F$47,"Vitik")+COUNTIF(Asta!$H$4:$H$47,"Vitik")+COUNTIF(Asta!$J$4:$J$47,"Vitik")+COUNTIF(Asta!$L$4:$L$47,"Vitik")+COUNTIF(Asta!$N$4:$N$47,"Vitik")+COUNTIF(Asta!$P$4:$P$47,"Vitik")+COUNTIF(Asta!$R$4:$R$47,"Vitik")+COUNTIF(Asta!$T$4:$T$47,"Vitik"))&gt;0,REGEXREPLACE("Vitik","(.)","$1"&amp;UNICHAR(822)),"Vitik")</x:f>
        <x:v>Vitik</x:v>
      </x:c>
      <x:c r="C17" s="714" t="str">
        <x:v>Dc</x:v>
      </x:c>
      <x:c r="D17" s="714" t="str">
        <x:v>Riserva / rotazione</x:v>
      </x:c>
      <x:c r="E17" s="714" t="n">
        <x:v>5</x:v>
      </x:c>
      <x:c r="F17" s="714" t="n">
        <x:v>6</x:v>
      </x:c>
      <x:c r="G17" s="714" t="str">
        <x:v>Scommessa</x:v>
      </x:c>
      <x:c r="H17" s="714" t="str"/>
      <x:c r="I17" s="715" t="str">
        <x:v>Copertura/ultimo slot: da prendere a 1-2 crediti.</x:v>
      </x:c>
    </x:row>
    <x:row r="18">
      <x:c r="A18" s="713" t="str">
        <x:v>Difensore</x:v>
      </x:c>
      <x:c r="B18" s="714" t="str">
        <x:f>IF((COUNTIF(Asta!$B$4:$B$47,"Alhassane")+COUNTIF(Asta!$D$4:$D$47,"Alhassane")+COUNTIF(Asta!$F$4:$F$47,"Alhassane")+COUNTIF(Asta!$H$4:$H$47,"Alhassane")+COUNTIF(Asta!$J$4:$J$47,"Alhassane")+COUNTIF(Asta!$L$4:$L$47,"Alhassane")+COUNTIF(Asta!$N$4:$N$47,"Alhassane")+COUNTIF(Asta!$P$4:$P$47,"Alhassane")+COUNTIF(Asta!$R$4:$R$47,"Alhassane")+COUNTIF(Asta!$T$4:$T$47,"Alhassane"))&gt;0,REGEXREPLACE("Alhassane","(.)","$1"&amp;UNICHAR(822)),"Alhassane")</x:f>
        <x:v>Alhassane</x:v>
      </x:c>
      <x:c r="C18" s="714" t="str">
        <x:v>Ds;E</x:v>
      </x:c>
      <x:c r="D18" s="714" t="str">
        <x:v>Riserva / rotazione</x:v>
      </x:c>
      <x:c r="E18" s="714" t="n">
        <x:v>2</x:v>
      </x:c>
      <x:c r="F18" s="714" t="n">
        <x:v>3</x:v>
      </x:c>
      <x:c r="G18" s="714" t="str">
        <x:v>Copertura</x:v>
      </x:c>
      <x:c r="H18" s="714" t="str"/>
      <x:c r="I18" s="715" t="str">
        <x:v>Copertura/ultimo slot: da prendere a 1-2 crediti.</x:v>
      </x:c>
    </x:row>
    <x:row r="19">
      <x:c r="A19" s="713" t="str">
        <x:v>Difensore</x:v>
      </x:c>
      <x:c r="B19" s="714" t="str">
        <x:f>IF((COUNTIF(Asta!$B$4:$B$47,"Casale")+COUNTIF(Asta!$D$4:$D$47,"Casale")+COUNTIF(Asta!$F$4:$F$47,"Casale")+COUNTIF(Asta!$H$4:$H$47,"Casale")+COUNTIF(Asta!$J$4:$J$47,"Casale")+COUNTIF(Asta!$L$4:$L$47,"Casale")+COUNTIF(Asta!$N$4:$N$47,"Casale")+COUNTIF(Asta!$P$4:$P$47,"Casale")+COUNTIF(Asta!$R$4:$R$47,"Casale")+COUNTIF(Asta!$T$4:$T$47,"Casale"))&gt;0,REGEXREPLACE("Casale","(.)","$1"&amp;UNICHAR(822)),"Casale")</x:f>
        <x:v>Casale</x:v>
      </x:c>
      <x:c r="C19" s="714" t="str">
        <x:v>Dc</x:v>
      </x:c>
      <x:c r="D19" s="714" t="str">
        <x:v>Riserva / rotazione</x:v>
      </x:c>
      <x:c r="E19" s="714" t="n">
        <x:v>3</x:v>
      </x:c>
      <x:c r="F19" s="714" t="n">
        <x:v>3</x:v>
      </x:c>
      <x:c r="G19" s="714" t="str">
        <x:v>Copertura</x:v>
      </x:c>
      <x:c r="H19" s="714" t="str"/>
      <x:c r="I19" s="715" t="str">
        <x:v>Copertura/ultimo slot: da prendere a 1-2 crediti.</x:v>
      </x:c>
    </x:row>
    <x:row r="20">
      <x:c r="A20" s="713" t="str">
        <x:v>Difensore</x:v>
      </x:c>
      <x:c r="B20" s="714" t="str">
        <x:f>IF((COUNTIF(Asta!$B$4:$B$47,"Helland")+COUNTIF(Asta!$D$4:$D$47,"Helland")+COUNTIF(Asta!$F$4:$F$47,"Helland")+COUNTIF(Asta!$H$4:$H$47,"Helland")+COUNTIF(Asta!$J$4:$J$47,"Helland")+COUNTIF(Asta!$L$4:$L$47,"Helland")+COUNTIF(Asta!$N$4:$N$47,"Helland")+COUNTIF(Asta!$P$4:$P$47,"Helland")+COUNTIF(Asta!$R$4:$R$47,"Helland")+COUNTIF(Asta!$T$4:$T$47,"Helland"))&gt;0,REGEXREPLACE("Helland","(.)","$1"&amp;UNICHAR(822)),"Helland")</x:f>
        <x:v>Helland</x:v>
      </x:c>
      <x:c r="C20" s="714" t="str">
        <x:v>Dd;Dc</x:v>
      </x:c>
      <x:c r="D20" s="714" t="str">
        <x:v>Riserva / rotazione</x:v>
      </x:c>
      <x:c r="E20" s="714" t="n">
        <x:v>2</x:v>
      </x:c>
      <x:c r="F20" s="714" t="n">
        <x:v>3</x:v>
      </x:c>
      <x:c r="G20" s="714" t="str">
        <x:v>Copertura</x:v>
      </x:c>
      <x:c r="H20" s="714" t="str"/>
      <x:c r="I20" s="715" t="str">
        <x:v>Copertura/ultimo slot: da prendere a 1-2 crediti.</x:v>
      </x:c>
    </x:row>
    <x:row r="21">
      <x:c r="A21" s="713" t="str">
        <x:v>Difensore</x:v>
      </x:c>
      <x:c r="B21" s="714" t="str">
        <x:f>IF((COUNTIF(Asta!$B$4:$B$47,"De Silvestri")+COUNTIF(Asta!$D$4:$D$47,"De Silvestri")+COUNTIF(Asta!$F$4:$F$47,"De Silvestri")+COUNTIF(Asta!$H$4:$H$47,"De Silvestri")+COUNTIF(Asta!$J$4:$J$47,"De Silvestri")+COUNTIF(Asta!$L$4:$L$47,"De Silvestri")+COUNTIF(Asta!$N$4:$N$47,"De Silvestri")+COUNTIF(Asta!$P$4:$P$47,"De Silvestri")+COUNTIF(Asta!$R$4:$R$47,"De Silvestri")+COUNTIF(Asta!$T$4:$T$47,"De Silvestri"))&gt;0,REGEXREPLACE("De Silvestri","(.)","$1"&amp;UNICHAR(822)),"De Silvestri")</x:f>
        <x:v>De Silvestri</x:v>
      </x:c>
      <x:c r="C21" s="714" t="str">
        <x:v>Dd;E</x:v>
      </x:c>
      <x:c r="D21" s="714" t="str">
        <x:v>Riserva / rotazione</x:v>
      </x:c>
      <x:c r="E21" s="714" t="n">
        <x:v>1</x:v>
      </x:c>
      <x:c r="F21" s="714" t="n">
        <x:v>2</x:v>
      </x:c>
      <x:c r="G21" s="714" t="str">
        <x:v>Copertura</x:v>
      </x:c>
      <x:c r="H21" s="714" t="str"/>
      <x:c r="I21" s="715" t="str">
        <x:v>Copertura/ultimo slot: da prendere a 1-2 crediti.</x:v>
      </x:c>
    </x:row>
    <x:row r="22">
      <x:c r="A22" s="716" t="str">
        <x:v>Centrocampista</x:v>
      </x:c>
      <x:c r="B22" s="717" t="str">
        <x:f>IF((COUNTIF(Asta!$B$4:$B$47,"Orsolini")+COUNTIF(Asta!$D$4:$D$47,"Orsolini")+COUNTIF(Asta!$F$4:$F$47,"Orsolini")+COUNTIF(Asta!$H$4:$H$47,"Orsolini")+COUNTIF(Asta!$J$4:$J$47,"Orsolini")+COUNTIF(Asta!$L$4:$L$47,"Orsolini")+COUNTIF(Asta!$N$4:$N$47,"Orsolini")+COUNTIF(Asta!$P$4:$P$47,"Orsolini")+COUNTIF(Asta!$R$4:$R$47,"Orsolini")+COUNTIF(Asta!$T$4:$T$47,"Orsolini"))&gt;0,REGEXREPLACE("Orsolini","(.)","$1"&amp;UNICHAR(822)),"Orsolini")</x:f>
        <x:v>Orsolini</x:v>
      </x:c>
      <x:c r="C22" s="717" t="str">
        <x:v>W;A</x:v>
      </x:c>
      <x:c r="D22" s="717" t="str">
        <x:v>Titolare / ballottaggio</x:v>
      </x:c>
      <x:c r="E22" s="717" t="n">
        <x:v>26</x:v>
      </x:c>
      <x:c r="F22" s="717" t="n">
        <x:v>101</x:v>
      </x:c>
      <x:c r="G22" s="717" t="str">
        <x:v>Top</x:v>
      </x:c>
      <x:c r="H22" s="717" t="str">
        <x:v>Rigorista · Piazzati</x:v>
      </x:c>
      <x:c r="I22" s="718" t="str">
        <x:v>Interessante per bonus, ma non pagarlo come titolare fisso. Plus importante: è indicato tra i rigoristi.</x:v>
      </x:c>
    </x:row>
    <x:row r="23">
      <x:c r="A23" s="716" t="str">
        <x:v>Centrocampista</x:v>
      </x:c>
      <x:c r="B23" s="717" t="str">
        <x:f>IF((COUNTIF(Asta!$B$4:$B$47,"Rowe")+COUNTIF(Asta!$D$4:$D$47,"Rowe")+COUNTIF(Asta!$F$4:$F$47,"Rowe")+COUNTIF(Asta!$H$4:$H$47,"Rowe")+COUNTIF(Asta!$J$4:$J$47,"Rowe")+COUNTIF(Asta!$L$4:$L$47,"Rowe")+COUNTIF(Asta!$N$4:$N$47,"Rowe")+COUNTIF(Asta!$P$4:$P$47,"Rowe")+COUNTIF(Asta!$R$4:$R$47,"Rowe")+COUNTIF(Asta!$T$4:$T$47,"Rowe"))&gt;0,REGEXREPLACE("Rowe","(.)","$1"&amp;UNICHAR(822)),"Rowe")</x:f>
        <x:v>Rowe</x:v>
      </x:c>
      <x:c r="C23" s="717" t="str">
        <x:v>W;T</x:v>
      </x:c>
      <x:c r="D23" s="717" t="str">
        <x:v>Riserva / rotazione</x:v>
      </x:c>
      <x:c r="E23" s="717" t="n">
        <x:v>11</x:v>
      </x:c>
      <x:c r="F23" s="717" t="n">
        <x:v>19</x:v>
      </x:c>
      <x:c r="G23" s="717" t="str">
        <x:v>Utile</x:v>
      </x:c>
      <x:c r="H23" s="717" t="str"/>
      <x:c r="I23" s="718" t="str">
        <x:v>Scommessa da ultimi slot, senza sovrapprezzo.</x:v>
      </x:c>
    </x:row>
    <x:row r="24">
      <x:c r="A24" s="716" t="str">
        <x:v>Centrocampista</x:v>
      </x:c>
      <x:c r="B24" s="717" t="str">
        <x:f>IF((COUNTIF(Asta!$B$4:$B$47,"Cambiaghi")+COUNTIF(Asta!$D$4:$D$47,"Cambiaghi")+COUNTIF(Asta!$F$4:$F$47,"Cambiaghi")+COUNTIF(Asta!$H$4:$H$47,"Cambiaghi")+COUNTIF(Asta!$J$4:$J$47,"Cambiaghi")+COUNTIF(Asta!$L$4:$L$47,"Cambiaghi")+COUNTIF(Asta!$N$4:$N$47,"Cambiaghi")+COUNTIF(Asta!$P$4:$P$47,"Cambiaghi")+COUNTIF(Asta!$R$4:$R$47,"Cambiaghi")+COUNTIF(Asta!$T$4:$T$47,"Cambiaghi"))&gt;0,REGEXREPLACE("Cambiaghi","(.)","$1"&amp;UNICHAR(822)),"Cambiaghi")</x:f>
        <x:v>Cambiaghi</x:v>
      </x:c>
      <x:c r="C24" s="717" t="str">
        <x:v>W;A</x:v>
      </x:c>
      <x:c r="D24" s="717" t="str">
        <x:v>Titolare / ballottaggio</x:v>
      </x:c>
      <x:c r="E24" s="717" t="n">
        <x:v>8</x:v>
      </x:c>
      <x:c r="F24" s="717" t="n">
        <x:v>13</x:v>
      </x:c>
      <x:c r="G24" s="717" t="str">
        <x:v>Utile</x:v>
      </x:c>
      <x:c r="H24" s="717" t="str"/>
      <x:c r="I24" s="718" t="str">
        <x:v>Scommessa con upside: prendilo a prezzo controllato.</x:v>
      </x:c>
    </x:row>
    <x:row r="25">
      <x:c r="A25" s="716" t="str">
        <x:v>Centrocampista</x:v>
      </x:c>
      <x:c r="B25" s="717" t="str">
        <x:f>IF((COUNTIF(Asta!$B$4:$B$47,"Odgaard")+COUNTIF(Asta!$D$4:$D$47,"Odgaard")+COUNTIF(Asta!$F$4:$F$47,"Odgaard")+COUNTIF(Asta!$H$4:$H$47,"Odgaard")+COUNTIF(Asta!$J$4:$J$47,"Odgaard")+COUNTIF(Asta!$L$4:$L$47,"Odgaard")+COUNTIF(Asta!$N$4:$N$47,"Odgaard")+COUNTIF(Asta!$P$4:$P$47,"Odgaard")+COUNTIF(Asta!$R$4:$R$47,"Odgaard")+COUNTIF(Asta!$T$4:$T$47,"Odgaard"))&gt;0,REGEXREPLACE("Odgaard","(.)","$1"&amp;UNICHAR(822)),"Odgaard")</x:f>
        <x:v>Odgaard</x:v>
      </x:c>
      <x:c r="C25" s="717" t="str">
        <x:v>T</x:v>
      </x:c>
      <x:c r="D25" s="717" t="str">
        <x:v>Titolare</x:v>
      </x:c>
      <x:c r="E25" s="717" t="n">
        <x:v>8</x:v>
      </x:c>
      <x:c r="F25" s="717" t="n">
        <x:v>11</x:v>
      </x:c>
      <x:c r="G25" s="717" t="str">
        <x:v>Utile</x:v>
      </x:c>
      <x:c r="H25" s="717" t="str"/>
      <x:c r="I25" s="718" t="str">
        <x:v>Profilo utile per minutaggio e rotazioni; buon rapporto costo/titolarità.</x:v>
      </x:c>
    </x:row>
    <x:row r="26">
      <x:c r="A26" s="716" t="str">
        <x:v>Centrocampista</x:v>
      </x:c>
      <x:c r="B26" s="717" t="str">
        <x:f>IF((COUNTIF(Asta!$B$4:$B$47,"Bernardeschi")+COUNTIF(Asta!$D$4:$D$47,"Bernardeschi")+COUNTIF(Asta!$F$4:$F$47,"Bernardeschi")+COUNTIF(Asta!$H$4:$H$47,"Bernardeschi")+COUNTIF(Asta!$J$4:$J$47,"Bernardeschi")+COUNTIF(Asta!$L$4:$L$47,"Bernardeschi")+COUNTIF(Asta!$N$4:$N$47,"Bernardeschi")+COUNTIF(Asta!$P$4:$P$47,"Bernardeschi")+COUNTIF(Asta!$R$4:$R$47,"Bernardeschi")+COUNTIF(Asta!$T$4:$T$47,"Bernardeschi"))&gt;0,REGEXREPLACE("Bernardeschi","(.)","$1"&amp;UNICHAR(822)),"Bernardeschi")</x:f>
        <x:v>Bernardeschi</x:v>
      </x:c>
      <x:c r="C26" s="717" t="str">
        <x:v>W;T</x:v>
      </x:c>
      <x:c r="D26" s="717" t="str">
        <x:v>Ballottaggio</x:v>
      </x:c>
      <x:c r="E26" s="717" t="n">
        <x:v>9</x:v>
      </x:c>
      <x:c r="F26" s="717" t="n">
        <x:v>11</x:v>
      </x:c>
      <x:c r="G26" s="717" t="str">
        <x:v>Utile</x:v>
      </x:c>
      <x:c r="H26" s="717" t="str">
        <x:v>Rigorista · Piazzati</x:v>
      </x:c>
      <x:c r="I26" s="718" t="str">
        <x:v>Scommessa con upside: prendilo a prezzo controllato. Plus importante: è indicato tra i rigoristi.</x:v>
      </x:c>
    </x:row>
    <x:row r="27">
      <x:c r="A27" s="716" t="str">
        <x:v>Centrocampista</x:v>
      </x:c>
      <x:c r="B27" s="717" t="str">
        <x:f>IF((COUNTIF(Asta!$B$4:$B$47,"Ferguson")+COUNTIF(Asta!$D$4:$D$47,"Ferguson")+COUNTIF(Asta!$F$4:$F$47,"Ferguson")+COUNTIF(Asta!$H$4:$H$47,"Ferguson")+COUNTIF(Asta!$J$4:$J$47,"Ferguson")+COUNTIF(Asta!$L$4:$L$47,"Ferguson")+COUNTIF(Asta!$N$4:$N$47,"Ferguson")+COUNTIF(Asta!$P$4:$P$47,"Ferguson")+COUNTIF(Asta!$R$4:$R$47,"Ferguson")+COUNTIF(Asta!$T$4:$T$47,"Ferguson"))&gt;0,REGEXREPLACE("Ferguson","(.)","$1"&amp;UNICHAR(822)),"Ferguson")</x:f>
        <x:v>Ferguson</x:v>
      </x:c>
      <x:c r="C27" s="717" t="str">
        <x:v>M;C</x:v>
      </x:c>
      <x:c r="D27" s="717" t="str">
        <x:v>Titolare</x:v>
      </x:c>
      <x:c r="E27" s="717" t="n">
        <x:v>7</x:v>
      </x:c>
      <x:c r="F27" s="717" t="n">
        <x:v>9</x:v>
      </x:c>
      <x:c r="G27" s="717" t="str">
        <x:v>Scommessa</x:v>
      </x:c>
      <x:c r="H27" s="717" t="str"/>
      <x:c r="I27" s="718" t="str">
        <x:v>Titolare low cost: utile per completare il reparto.</x:v>
      </x:c>
    </x:row>
    <x:row r="28">
      <x:c r="A28" s="716" t="str">
        <x:v>Centrocampista</x:v>
      </x:c>
      <x:c r="B28" s="717" t="str">
        <x:f>IF((COUNTIF(Asta!$B$4:$B$47,"Pobega")+COUNTIF(Asta!$D$4:$D$47,"Pobega")+COUNTIF(Asta!$F$4:$F$47,"Pobega")+COUNTIF(Asta!$H$4:$H$47,"Pobega")+COUNTIF(Asta!$J$4:$J$47,"Pobega")+COUNTIF(Asta!$L$4:$L$47,"Pobega")+COUNTIF(Asta!$N$4:$N$47,"Pobega")+COUNTIF(Asta!$P$4:$P$47,"Pobega")+COUNTIF(Asta!$R$4:$R$47,"Pobega")+COUNTIF(Asta!$T$4:$T$47,"Pobega"))&gt;0,REGEXREPLACE("Pobega","(.)","$1"&amp;UNICHAR(822)),"Pobega")</x:f>
        <x:v>Pobega</x:v>
      </x:c>
      <x:c r="C28" s="717" t="str">
        <x:v>M;C</x:v>
      </x:c>
      <x:c r="D28" s="717" t="str">
        <x:v>Titolare / ballottaggio</x:v>
      </x:c>
      <x:c r="E28" s="717" t="n">
        <x:v>6</x:v>
      </x:c>
      <x:c r="F28" s="717" t="n">
        <x:v>7</x:v>
      </x:c>
      <x:c r="G28" s="717" t="str">
        <x:v>Scommessa</x:v>
      </x:c>
      <x:c r="H28" s="717" t="str"/>
      <x:c r="I28" s="718" t="str">
        <x:v>Solo a pochi crediti: minutaggio non garantito.</x:v>
      </x:c>
    </x:row>
    <x:row r="29">
      <x:c r="A29" s="716" t="str">
        <x:v>Centrocampista</x:v>
      </x:c>
      <x:c r="B29" s="717" t="str">
        <x:f>IF((COUNTIF(Asta!$B$4:$B$47,"Amondarain")+COUNTIF(Asta!$D$4:$D$47,"Amondarain")+COUNTIF(Asta!$F$4:$F$47,"Amondarain")+COUNTIF(Asta!$H$4:$H$47,"Amondarain")+COUNTIF(Asta!$J$4:$J$47,"Amondarain")+COUNTIF(Asta!$L$4:$L$47,"Amondarain")+COUNTIF(Asta!$N$4:$N$47,"Amondarain")+COUNTIF(Asta!$P$4:$P$47,"Amondarain")+COUNTIF(Asta!$R$4:$R$47,"Amondarain")+COUNTIF(Asta!$T$4:$T$47,"Amondarain"))&gt;0,REGEXREPLACE("Amondarain","(.)","$1"&amp;UNICHAR(822)),"Amondarain")</x:f>
        <x:v>Amondarain</x:v>
      </x:c>
      <x:c r="C29" s="717" t="str">
        <x:v>M;C</x:v>
      </x:c>
      <x:c r="D29" s="717" t="str">
        <x:v>Riserva / rotazione</x:v>
      </x:c>
      <x:c r="E29" s="717" t="n">
        <x:v>5</x:v>
      </x:c>
      <x:c r="F29" s="717" t="n">
        <x:v>6</x:v>
      </x:c>
      <x:c r="G29" s="717" t="str">
        <x:v>Scommessa</x:v>
      </x:c>
      <x:c r="H29" s="717" t="str"/>
      <x:c r="I29" s="718" t="str">
        <x:v>Copertura/ultimo slot: da prendere a 1-2 crediti.</x:v>
      </x:c>
    </x:row>
    <x:row r="30">
      <x:c r="A30" s="716" t="str">
        <x:v>Centrocampista</x:v>
      </x:c>
      <x:c r="B30" s="717" t="str">
        <x:f>IF((COUNTIF(Asta!$B$4:$B$47,"Moro N.")+COUNTIF(Asta!$D$4:$D$47,"Moro N.")+COUNTIF(Asta!$F$4:$F$47,"Moro N.")+COUNTIF(Asta!$H$4:$H$47,"Moro N.")+COUNTIF(Asta!$J$4:$J$47,"Moro N.")+COUNTIF(Asta!$L$4:$L$47,"Moro N.")+COUNTIF(Asta!$N$4:$N$47,"Moro N.")+COUNTIF(Asta!$P$4:$P$47,"Moro N.")+COUNTIF(Asta!$R$4:$R$47,"Moro N.")+COUNTIF(Asta!$T$4:$T$47,"Moro N."))&gt;0,REGEXREPLACE("Moro N.","(.)","$1"&amp;UNICHAR(822)),"Moro N.")</x:f>
        <x:v>Moro N.</x:v>
      </x:c>
      <x:c r="C30" s="717" t="str">
        <x:v>M;C</x:v>
      </x:c>
      <x:c r="D30" s="717" t="str">
        <x:v>Riserva / rotazione</x:v>
      </x:c>
      <x:c r="E30" s="717" t="n">
        <x:v>4</x:v>
      </x:c>
      <x:c r="F30" s="717" t="n">
        <x:v>5</x:v>
      </x:c>
      <x:c r="G30" s="717" t="str">
        <x:v>Scommessa</x:v>
      </x:c>
      <x:c r="H30" s="717" t="str"/>
      <x:c r="I30" s="718" t="str">
        <x:v>Copertura/ultimo slot: da prendere a 1-2 crediti.</x:v>
      </x:c>
    </x:row>
    <x:row r="31">
      <x:c r="A31" s="716" t="str">
        <x:v>Centrocampista</x:v>
      </x:c>
      <x:c r="B31" s="717" t="str">
        <x:f>IF((COUNTIF(Asta!$B$4:$B$47,"Dominguez B.")+COUNTIF(Asta!$D$4:$D$47,"Dominguez B.")+COUNTIF(Asta!$F$4:$F$47,"Dominguez B.")+COUNTIF(Asta!$H$4:$H$47,"Dominguez B.")+COUNTIF(Asta!$J$4:$J$47,"Dominguez B.")+COUNTIF(Asta!$L$4:$L$47,"Dominguez B.")+COUNTIF(Asta!$N$4:$N$47,"Dominguez B.")+COUNTIF(Asta!$P$4:$P$47,"Dominguez B.")+COUNTIF(Asta!$R$4:$R$47,"Dominguez B.")+COUNTIF(Asta!$T$4:$T$47,"Dominguez B."))&gt;0,REGEXREPLACE("Dominguez B.","(.)","$1"&amp;UNICHAR(822)),"Dominguez B.")</x:f>
        <x:v>Dominguez B.</x:v>
      </x:c>
      <x:c r="C31" s="717" t="str">
        <x:v>W;A</x:v>
      </x:c>
      <x:c r="D31" s="717" t="str">
        <x:v>Riserva / rotazione</x:v>
      </x:c>
      <x:c r="E31" s="717" t="n">
        <x:v>3</x:v>
      </x:c>
      <x:c r="F31" s="717" t="n">
        <x:v>4</x:v>
      </x:c>
      <x:c r="G31" s="717" t="str">
        <x:v>Scommessa</x:v>
      </x:c>
      <x:c r="H31" s="717" t="str"/>
      <x:c r="I31" s="718" t="str">
        <x:v>Copertura/ultimo slot: da prendere a 1-2 crediti.</x:v>
      </x:c>
    </x:row>
    <x:row r="32">
      <x:c r="A32" s="716" t="str">
        <x:v>Centrocampista</x:v>
      </x:c>
      <x:c r="B32" s="717" t="str">
        <x:f>IF((COUNTIF(Asta!$B$4:$B$47,"El Azzouzi O.")+COUNTIF(Asta!$D$4:$D$47,"El Azzouzi O.")+COUNTIF(Asta!$F$4:$F$47,"El Azzouzi O.")+COUNTIF(Asta!$H$4:$H$47,"El Azzouzi O.")+COUNTIF(Asta!$J$4:$J$47,"El Azzouzi O.")+COUNTIF(Asta!$L$4:$L$47,"El Azzouzi O.")+COUNTIF(Asta!$N$4:$N$47,"El Azzouzi O.")+COUNTIF(Asta!$P$4:$P$47,"El Azzouzi O.")+COUNTIF(Asta!$R$4:$R$47,"El Azzouzi O.")+COUNTIF(Asta!$T$4:$T$47,"El Azzouzi O."))&gt;0,REGEXREPLACE("El Azzouzi O.","(.)","$1"&amp;UNICHAR(822)),"El Azzouzi O.")</x:f>
        <x:v>El Azzouzi O.</x:v>
      </x:c>
      <x:c r="C32" s="717" t="str">
        <x:v>M;C</x:v>
      </x:c>
      <x:c r="D32" s="717" t="str">
        <x:v>Riserva / rotazione</x:v>
      </x:c>
      <x:c r="E32" s="717" t="n">
        <x:v>2</x:v>
      </x:c>
      <x:c r="F32" s="717" t="n">
        <x:v>2</x:v>
      </x:c>
      <x:c r="G32" s="717" t="str">
        <x:v>Copertura</x:v>
      </x:c>
      <x:c r="H32" s="717" t="str"/>
      <x:c r="I32" s="718" t="str">
        <x:v>Copertura/ultimo slot: da prendere a 1-2 crediti.</x:v>
      </x:c>
    </x:row>
    <x:row r="33">
      <x:c r="A33" s="719" t="str">
        <x:v>Attaccante</x:v>
      </x:c>
      <x:c r="B33" s="720" t="str">
        <x:f>IF((COUNTIF(Asta!$B$4:$B$47,"Dovbyk")+COUNTIF(Asta!$D$4:$D$47,"Dovbyk")+COUNTIF(Asta!$F$4:$F$47,"Dovbyk")+COUNTIF(Asta!$H$4:$H$47,"Dovbyk")+COUNTIF(Asta!$J$4:$J$47,"Dovbyk")+COUNTIF(Asta!$L$4:$L$47,"Dovbyk")+COUNTIF(Asta!$N$4:$N$47,"Dovbyk")+COUNTIF(Asta!$P$4:$P$47,"Dovbyk")+COUNTIF(Asta!$R$4:$R$47,"Dovbyk")+COUNTIF(Asta!$T$4:$T$47,"Dovbyk"))&gt;0,REGEXREPLACE("Dovbyk","(.)","$1"&amp;UNICHAR(822)),"Dovbyk")</x:f>
        <x:v>Dovbyk</x:v>
      </x:c>
      <x:c r="C33" s="720" t="str">
        <x:v>Pc</x:v>
      </x:c>
      <x:c r="D33" s="720" t="str">
        <x:v>Titolare / ballottaggio</x:v>
      </x:c>
      <x:c r="E33" s="720" t="n">
        <x:v>16</x:v>
      </x:c>
      <x:c r="F33" s="720" t="n">
        <x:v>42</x:v>
      </x:c>
      <x:c r="G33" s="720" t="str">
        <x:v>Buon titolare</x:v>
      </x:c>
      <x:c r="H33" s="720" t="str">
        <x:v>Rigorista</x:v>
      </x:c>
      <x:c r="I33" s="721" t="str">
        <x:v>Interessante per bonus, ma non pagarlo come titolare fisso. Plus importante: è indicato tra i rigoristi.</x:v>
      </x:c>
    </x:row>
    <x:row r="34">
      <x:c r="A34" s="722" t="str">
        <x:v>Attaccante</x:v>
      </x:c>
      <x:c r="B34" s="723" t="str">
        <x:f>IF((COUNTIF(Asta!$B$4:$B$47,"Dallinga")+COUNTIF(Asta!$D$4:$D$47,"Dallinga")+COUNTIF(Asta!$F$4:$F$47,"Dallinga")+COUNTIF(Asta!$H$4:$H$47,"Dallinga")+COUNTIF(Asta!$J$4:$J$47,"Dallinga")+COUNTIF(Asta!$L$4:$L$47,"Dallinga")+COUNTIF(Asta!$N$4:$N$47,"Dallinga")+COUNTIF(Asta!$P$4:$P$47,"Dallinga")+COUNTIF(Asta!$R$4:$R$47,"Dallinga")+COUNTIF(Asta!$T$4:$T$47,"Dallinga"))&gt;0,REGEXREPLACE("Dallinga","(.)","$1"&amp;UNICHAR(822)),"Dallinga")</x:f>
        <x:v>Dallinga</x:v>
      </x:c>
      <x:c r="C34" s="723" t="str">
        <x:v>Pc</x:v>
      </x:c>
      <x:c r="D34" s="723" t="str">
        <x:v>Riserva / rotazione</x:v>
      </x:c>
      <x:c r="E34" s="723" t="n">
        <x:v>8</x:v>
      </x:c>
      <x:c r="F34" s="723" t="n">
        <x:v>12</x:v>
      </x:c>
      <x:c r="G34" s="723" t="str">
        <x:v>Utile</x:v>
      </x:c>
      <x:c r="H34" s="723" t="str"/>
      <x:c r="I34" s="724" t="str">
        <x:v>Scommessa da ultimi slot, senza sovrapprezzo.</x:v>
      </x:c>
    </x:row>
    <x:row r="36">
      <x:c r="A36" s="630" t="str">
        <x:v>Fonte formazione/ballottaggi/rigoristi: Fantacalcio.it, aggiornamento 09/09/2026 — https://www.fantacalcio.it/news/calcio-italia/06_08_2026/asta-fantacalcio-le-probabili-formazioni-della-serie-a-enilive-2026-27-495558</x:v>
      </x:c>
      <x:c r="B36" s="630"/>
      <x:c r="C36" s="630"/>
      <x:c r="D36" s="630"/>
      <x:c r="E36" s="630"/>
      <x:c r="F36" s="630"/>
      <x:c r="G36" s="630"/>
      <x:c r="H36" s="630"/>
      <x:c r="I36" s="630"/>
    </x:row>
  </x:sheetData>
  <x:mergeCells>
    <x:mergeCell ref="A1:I1"/>
    <x:mergeCell ref="B4:I4"/>
    <x:mergeCell ref="B5:I5"/>
    <x:mergeCell ref="D3:I3"/>
    <x:mergeCell ref="D6:I6"/>
    <x:mergeCell ref="A36:I36"/>
  </x:mergeCells>
  <x:conditionalFormatting sqref="D9:D34">
    <x:cfRule type="expression" dxfId="6" priority="1">
      <x:formula>D9="Titolare"</x:formula>
    </x:cfRule>
    <x:cfRule type="expression" dxfId="7" priority="2">
      <x:formula>ISNUMBER(SEARCH("Ballottaggio",D9))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1" hidden="0" customWidth="1"/>
    <x:col min="3" max="3" width="18" hidden="0" customWidth="1"/>
    <x:col min="4" max="4" width="23" hidden="0" customWidth="1"/>
    <x:col min="5" max="5" width="11" hidden="0" customWidth="1"/>
    <x:col min="6" max="6" width="12" hidden="0" customWidth="1"/>
    <x:col min="7" max="7" width="24" hidden="0" customWidth="1"/>
    <x:col min="8" max="8" width="20" hidden="0" customWidth="1"/>
    <x:col min="9" max="9" width="48" hidden="0" customWidth="1"/>
  </x:cols>
  <x:sheetData>
    <x:row r="1" ht="30" customHeight="1">
      <x:c r="A1" s="642" t="str">
        <x:v>CAGLIARI — GUIDA ASTA 2026/27</x:v>
      </x:c>
      <x:c r="B1" s="643"/>
      <x:c r="C1" s="643"/>
      <x:c r="D1" s="643"/>
      <x:c r="E1" s="643"/>
      <x:c r="F1" s="643"/>
      <x:c r="G1" s="643"/>
      <x:c r="H1" s="643"/>
      <x:c r="I1" s="644"/>
    </x:row>
    <x:row r="3">
      <x:c r="A3" s="663" t="str">
        <x:v>Allenatore</x:v>
      </x:c>
      <x:c r="B3" s="681" t="str">
        <x:v>Fabio Pisacane</x:v>
      </x:c>
      <x:c r="C3" s="673" t="str">
        <x:v>Modulo</x:v>
      </x:c>
      <x:c r="D3" s="681" t="str">
        <x:v>4-4-2</x:v>
      </x:c>
      <x:c r="E3" s="681"/>
      <x:c r="F3" s="681"/>
      <x:c r="G3" s="681"/>
      <x:c r="H3" s="681"/>
      <x:c r="I3" s="682"/>
    </x:row>
    <x:row r="4" ht="38" customHeight="1">
      <x:c r="A4" s="664" t="str">
        <x:v>Formazione titolare</x:v>
      </x:c>
      <x:c r="B4" s="683" t="str">
        <x:v>Caprile; Zè Pedro, Mina, Rodriguez, Obert; Adopo, Winks, Romano, Fazzini; Maldini, Kevin Carlos</x:v>
      </x:c>
      <x:c r="C4" s="676" t="str"/>
      <x:c r="D4" s="683" t="str"/>
      <x:c r="E4" s="683"/>
      <x:c r="F4" s="683"/>
      <x:c r="G4" s="683"/>
      <x:c r="H4" s="683"/>
      <x:c r="I4" s="684"/>
    </x:row>
    <x:row r="5" ht="38" customHeight="1">
      <x:c r="A5" s="664" t="str">
        <x:v>Ballottaggi</x:v>
      </x:c>
      <x:c r="B5" s="683" t="str">
        <x:v>Zè Pedro/Sugawara; Adopo/Fadera; Kevin Carlos/Nzola</x:v>
      </x:c>
      <x:c r="C5" s="676" t="str"/>
      <x:c r="D5" s="683" t="str"/>
      <x:c r="E5" s="683"/>
      <x:c r="F5" s="683"/>
      <x:c r="G5" s="683"/>
      <x:c r="H5" s="683"/>
      <x:c r="I5" s="684"/>
    </x:row>
    <x:row r="6">
      <x:c r="A6" s="665" t="str">
        <x:v>Rigoristi</x:v>
      </x:c>
      <x:c r="B6" s="685" t="str">
        <x:v>Nzola, Kevin Carlos, Mina</x:v>
      </x:c>
      <x:c r="C6" s="679" t="str">
        <x:v>Calci piazzati</x:v>
      </x:c>
      <x:c r="D6" s="685" t="str">
        <x:v>Fazzini, Maldini, Romano</x:v>
      </x:c>
      <x:c r="E6" s="685"/>
      <x:c r="F6" s="685"/>
      <x:c r="G6" s="685"/>
      <x:c r="H6" s="685"/>
      <x:c r="I6" s="686"/>
    </x:row>
    <x:row r="8" ht="30" customHeight="1">
      <x:c r="A8" s="698" t="str">
        <x:v>Ruolo</x:v>
      </x:c>
      <x:c r="B8" s="699" t="str">
        <x:v>Calciatore</x:v>
      </x:c>
      <x:c r="C8" s="699" t="str">
        <x:v>Posizione</x:v>
      </x:c>
      <x:c r="D8" s="699" t="str">
        <x:v>Status</x:v>
      </x:c>
      <x:c r="E8" s="699" t="str">
        <x:v>Quotazione</x:v>
      </x:c>
      <x:c r="F8" s="699" t="str">
        <x:v>FVM su 504</x:v>
      </x:c>
      <x:c r="G8" s="699" t="str">
        <x:v>Fascia asta</x:v>
      </x:c>
      <x:c r="H8" s="699" t="str">
        <x:v>Specialità</x:v>
      </x:c>
      <x:c r="I8" s="700" t="str">
        <x:v>Consiglio Fantacalcio</x:v>
      </x:c>
    </x:row>
    <x:row r="9">
      <x:c r="A9" s="707" t="str">
        <x:v>Portiere</x:v>
      </x:c>
      <x:c r="B9" s="708" t="str">
        <x:f>IF((COUNTIF(Asta!$B$4:$B$47,"Caprile")+COUNTIF(Asta!$D$4:$D$47,"Caprile")+COUNTIF(Asta!$F$4:$F$47,"Caprile")+COUNTIF(Asta!$H$4:$H$47,"Caprile")+COUNTIF(Asta!$J$4:$J$47,"Caprile")+COUNTIF(Asta!$L$4:$L$47,"Caprile")+COUNTIF(Asta!$N$4:$N$47,"Caprile")+COUNTIF(Asta!$P$4:$P$47,"Caprile")+COUNTIF(Asta!$R$4:$R$47,"Caprile")+COUNTIF(Asta!$T$4:$T$47,"Caprile"))&gt;0,REGEXREPLACE("Caprile","(.)","$1"&amp;UNICHAR(822)),"Caprile")</x:f>
        <x:v>Caprile</x:v>
      </x:c>
      <x:c r="C9" s="708" t="str">
        <x:v>Por</x:v>
      </x:c>
      <x:c r="D9" s="708" t="str">
        <x:v>Titolare</x:v>
      </x:c>
      <x:c r="E9" s="708" t="n">
        <x:v>9</x:v>
      </x:c>
      <x:c r="F9" s="708" t="n">
        <x:v>14</x:v>
      </x:c>
      <x:c r="G9" s="708" t="str">
        <x:v>Utile</x:v>
      </x:c>
      <x:c r="H9" s="708" t="str"/>
      <x:c r="I9" s="709" t="str">
        <x:v>Portiere da prendere come titolare di reparto; profilo affidabile per continuità.</x:v>
      </x:c>
    </x:row>
    <x:row r="10">
      <x:c r="A10" s="710" t="str">
        <x:v>Portiere</x:v>
      </x:c>
      <x:c r="B10" s="711" t="str">
        <x:f>IF((COUNTIF(Asta!$B$4:$B$47,"Ciocci")+COUNTIF(Asta!$D$4:$D$47,"Ciocci")+COUNTIF(Asta!$F$4:$F$47,"Ciocci")+COUNTIF(Asta!$H$4:$H$47,"Ciocci")+COUNTIF(Asta!$J$4:$J$47,"Ciocci")+COUNTIF(Asta!$L$4:$L$47,"Ciocci")+COUNTIF(Asta!$N$4:$N$47,"Ciocci")+COUNTIF(Asta!$P$4:$P$47,"Ciocci")+COUNTIF(Asta!$R$4:$R$47,"Ciocci")+COUNTIF(Asta!$T$4:$T$47,"Ciocci"))&gt;0,REGEXREPLACE("Ciocci","(.)","$1"&amp;UNICHAR(822)),"Ciocci")</x:f>
        <x:v>Ciocci</x:v>
      </x:c>
      <x:c r="C10" s="711" t="str">
        <x:v>Por</x:v>
      </x:c>
      <x:c r="D10" s="711" t="str">
        <x:v>Riserva / rotazione</x:v>
      </x:c>
      <x:c r="E10" s="711" t="n">
        <x:v>1</x:v>
      </x:c>
      <x:c r="F10" s="711" t="n">
        <x:v>1</x:v>
      </x:c>
      <x:c r="G10" s="711" t="str">
        <x:v>Copertura</x:v>
      </x:c>
      <x:c r="H10" s="711" t="str"/>
      <x:c r="I10" s="712" t="str">
        <x:v>Solo come secondo/terzo portiere o copertura del titolare.</x:v>
      </x:c>
    </x:row>
    <x:row r="11">
      <x:c r="A11" s="710" t="str">
        <x:v>Portiere</x:v>
      </x:c>
      <x:c r="B11" s="711" t="str">
        <x:f>IF((COUNTIF(Asta!$B$4:$B$47,"Sherri")+COUNTIF(Asta!$D$4:$D$47,"Sherri")+COUNTIF(Asta!$F$4:$F$47,"Sherri")+COUNTIF(Asta!$H$4:$H$47,"Sherri")+COUNTIF(Asta!$J$4:$J$47,"Sherri")+COUNTIF(Asta!$L$4:$L$47,"Sherri")+COUNTIF(Asta!$N$4:$N$47,"Sherri")+COUNTIF(Asta!$P$4:$P$47,"Sherri")+COUNTIF(Asta!$R$4:$R$47,"Sherri")+COUNTIF(Asta!$T$4:$T$47,"Sherri"))&gt;0,REGEXREPLACE("Sherri","(.)","$1"&amp;UNICHAR(822)),"Sherri")</x:f>
        <x:v>Sherri</x:v>
      </x:c>
      <x:c r="C11" s="711" t="str">
        <x:v>Por</x:v>
      </x:c>
      <x:c r="D11" s="711" t="str">
        <x:v>Riserva / rotazione</x:v>
      </x:c>
      <x:c r="E11" s="711" t="n">
        <x:v>1</x:v>
      </x:c>
      <x:c r="F11" s="711" t="n">
        <x:v>1</x:v>
      </x:c>
      <x:c r="G11" s="711" t="str">
        <x:v>Copertura</x:v>
      </x:c>
      <x:c r="H11" s="711" t="str"/>
      <x:c r="I11" s="712" t="str">
        <x:v>Solo come secondo/terzo portiere o copertura del titolare.</x:v>
      </x:c>
    </x:row>
    <x:row r="12">
      <x:c r="A12" s="713" t="str">
        <x:v>Difensore</x:v>
      </x:c>
      <x:c r="B12" s="714" t="str">
        <x:f>IF((COUNTIF(Asta!$B$4:$B$47,"Mina")+COUNTIF(Asta!$D$4:$D$47,"Mina")+COUNTIF(Asta!$F$4:$F$47,"Mina")+COUNTIF(Asta!$H$4:$H$47,"Mina")+COUNTIF(Asta!$J$4:$J$47,"Mina")+COUNTIF(Asta!$L$4:$L$47,"Mina")+COUNTIF(Asta!$N$4:$N$47,"Mina")+COUNTIF(Asta!$P$4:$P$47,"Mina")+COUNTIF(Asta!$R$4:$R$47,"Mina")+COUNTIF(Asta!$T$4:$T$47,"Mina"))&gt;0,REGEXREPLACE("Mina","(.)","$1"&amp;UNICHAR(822)),"Mina")</x:f>
        <x:v>Mina</x:v>
      </x:c>
      <x:c r="C12" s="714" t="str">
        <x:v>Dc</x:v>
      </x:c>
      <x:c r="D12" s="714" t="str">
        <x:v>Titolare</x:v>
      </x:c>
      <x:c r="E12" s="714" t="n">
        <x:v>8</x:v>
      </x:c>
      <x:c r="F12" s="714" t="n">
        <x:v>10</x:v>
      </x:c>
      <x:c r="G12" s="714" t="str">
        <x:v>Utile</x:v>
      </x:c>
      <x:c r="H12" s="714" t="str">
        <x:v>Rigorista</x:v>
      </x:c>
      <x:c r="I12" s="715" t="str">
        <x:v>Profilo utile per minutaggio e rotazioni; buon rapporto costo/titolarità. Plus importante: è indicato tra i rigoristi.</x:v>
      </x:c>
    </x:row>
    <x:row r="13">
      <x:c r="A13" s="713" t="str">
        <x:v>Difensore</x:v>
      </x:c>
      <x:c r="B13" s="714" t="str">
        <x:f>IF((COUNTIF(Asta!$B$4:$B$47,"Obert")+COUNTIF(Asta!$D$4:$D$47,"Obert")+COUNTIF(Asta!$F$4:$F$47,"Obert")+COUNTIF(Asta!$H$4:$H$47,"Obert")+COUNTIF(Asta!$J$4:$J$47,"Obert")+COUNTIF(Asta!$L$4:$L$47,"Obert")+COUNTIF(Asta!$N$4:$N$47,"Obert")+COUNTIF(Asta!$P$4:$P$47,"Obert")+COUNTIF(Asta!$R$4:$R$47,"Obert")+COUNTIF(Asta!$T$4:$T$47,"Obert"))&gt;0,REGEXREPLACE("Obert","(.)","$1"&amp;UNICHAR(822)),"Obert")</x:f>
        <x:v>Obert</x:v>
      </x:c>
      <x:c r="C13" s="714" t="str">
        <x:v>B;Ds;E</x:v>
      </x:c>
      <x:c r="D13" s="714" t="str">
        <x:v>Titolare</x:v>
      </x:c>
      <x:c r="E13" s="714" t="n">
        <x:v>7</x:v>
      </x:c>
      <x:c r="F13" s="714" t="n">
        <x:v>7</x:v>
      </x:c>
      <x:c r="G13" s="714" t="str">
        <x:v>Scommessa</x:v>
      </x:c>
      <x:c r="H13" s="714" t="str"/>
      <x:c r="I13" s="715" t="str">
        <x:v>Titolare low cost: utile per completare il reparto.</x:v>
      </x:c>
    </x:row>
    <x:row r="14">
      <x:c r="A14" s="713" t="str">
        <x:v>Difensore</x:v>
      </x:c>
      <x:c r="B14" s="714" t="str">
        <x:f>IF((COUNTIF(Asta!$B$4:$B$47,"Kofler")+COUNTIF(Asta!$D$4:$D$47,"Kofler")+COUNTIF(Asta!$F$4:$F$47,"Kofler")+COUNTIF(Asta!$H$4:$H$47,"Kofler")+COUNTIF(Asta!$J$4:$J$47,"Kofler")+COUNTIF(Asta!$L$4:$L$47,"Kofler")+COUNTIF(Asta!$N$4:$N$47,"Kofler")+COUNTIF(Asta!$P$4:$P$47,"Kofler")+COUNTIF(Asta!$R$4:$R$47,"Kofler")+COUNTIF(Asta!$T$4:$T$47,"Kofler"))&gt;0,REGEXREPLACE("Kofler","(.)","$1"&amp;UNICHAR(822)),"Kofler")</x:f>
        <x:v>Kofler</x:v>
      </x:c>
      <x:c r="C14" s="714" t="str">
        <x:v>Dc</x:v>
      </x:c>
      <x:c r="D14" s="714" t="str">
        <x:v>Riserva / rotazione</x:v>
      </x:c>
      <x:c r="E14" s="714" t="n">
        <x:v>5</x:v>
      </x:c>
      <x:c r="F14" s="714" t="n">
        <x:v>6</x:v>
      </x:c>
      <x:c r="G14" s="714" t="str">
        <x:v>Scommessa</x:v>
      </x:c>
      <x:c r="H14" s="714" t="str"/>
      <x:c r="I14" s="715" t="str">
        <x:v>Copertura/ultimo slot: da prendere a 1-2 crediti.</x:v>
      </x:c>
    </x:row>
    <x:row r="15">
      <x:c r="A15" s="713" t="str">
        <x:v>Difensore</x:v>
      </x:c>
      <x:c r="B15" s="714" t="str">
        <x:f>IF((COUNTIF(Asta!$B$4:$B$47,"Zè Pedro")+COUNTIF(Asta!$D$4:$D$47,"Zè Pedro")+COUNTIF(Asta!$F$4:$F$47,"Zè Pedro")+COUNTIF(Asta!$H$4:$H$47,"Zè Pedro")+COUNTIF(Asta!$J$4:$J$47,"Zè Pedro")+COUNTIF(Asta!$L$4:$L$47,"Zè Pedro")+COUNTIF(Asta!$N$4:$N$47,"Zè Pedro")+COUNTIF(Asta!$P$4:$P$47,"Zè Pedro")+COUNTIF(Asta!$R$4:$R$47,"Zè Pedro")+COUNTIF(Asta!$T$4:$T$47,"Zè Pedro"))&gt;0,REGEXREPLACE("Zè Pedro","(.)","$1"&amp;UNICHAR(822)),"Zè Pedro")</x:f>
        <x:v>Zè Pedro</x:v>
      </x:c>
      <x:c r="C15" s="714" t="str">
        <x:v>Dd;Dc</x:v>
      </x:c>
      <x:c r="D15" s="714" t="str">
        <x:v>Titolare / ballottaggio</x:v>
      </x:c>
      <x:c r="E15" s="714" t="n">
        <x:v>5</x:v>
      </x:c>
      <x:c r="F15" s="714" t="n">
        <x:v>6</x:v>
      </x:c>
      <x:c r="G15" s="714" t="str">
        <x:v>Scommessa</x:v>
      </x:c>
      <x:c r="H15" s="714" t="str"/>
      <x:c r="I15" s="715" t="str">
        <x:v>Solo a pochi crediti: minutaggio non garantito.</x:v>
      </x:c>
    </x:row>
    <x:row r="16">
      <x:c r="A16" s="713" t="str">
        <x:v>Difensore</x:v>
      </x:c>
      <x:c r="B16" s="714" t="str">
        <x:f>IF((COUNTIF(Asta!$B$4:$B$47,"Rodriguez Ju.")+COUNTIF(Asta!$D$4:$D$47,"Rodriguez Ju.")+COUNTIF(Asta!$F$4:$F$47,"Rodriguez Ju.")+COUNTIF(Asta!$H$4:$H$47,"Rodriguez Ju.")+COUNTIF(Asta!$J$4:$J$47,"Rodriguez Ju.")+COUNTIF(Asta!$L$4:$L$47,"Rodriguez Ju.")+COUNTIF(Asta!$N$4:$N$47,"Rodriguez Ju.")+COUNTIF(Asta!$P$4:$P$47,"Rodriguez Ju.")+COUNTIF(Asta!$R$4:$R$47,"Rodriguez Ju.")+COUNTIF(Asta!$T$4:$T$47,"Rodriguez Ju."))&gt;0,REGEXREPLACE("Rodriguez Ju.","(.)","$1"&amp;UNICHAR(822)),"Rodriguez Ju.")</x:f>
        <x:v>Rodriguez Ju.</x:v>
      </x:c>
      <x:c r="C16" s="714" t="str">
        <x:v>Ds;Dc</x:v>
      </x:c>
      <x:c r="D16" s="714" t="str">
        <x:v>Titolare</x:v>
      </x:c>
      <x:c r="E16" s="714" t="n">
        <x:v>3</x:v>
      </x:c>
      <x:c r="F16" s="714" t="n">
        <x:v>5</x:v>
      </x:c>
      <x:c r="G16" s="714" t="str">
        <x:v>Scommessa</x:v>
      </x:c>
      <x:c r="H16" s="714" t="str"/>
      <x:c r="I16" s="715" t="str">
        <x:v>Titolare low cost: utile per completare il reparto.</x:v>
      </x:c>
    </x:row>
    <x:row r="17">
      <x:c r="A17" s="713" t="str">
        <x:v>Difensore</x:v>
      </x:c>
      <x:c r="B17" s="714" t="str">
        <x:f>IF((COUNTIF(Asta!$B$4:$B$47,"Zappa")+COUNTIF(Asta!$D$4:$D$47,"Zappa")+COUNTIF(Asta!$F$4:$F$47,"Zappa")+COUNTIF(Asta!$H$4:$H$47,"Zappa")+COUNTIF(Asta!$J$4:$J$47,"Zappa")+COUNTIF(Asta!$L$4:$L$47,"Zappa")+COUNTIF(Asta!$N$4:$N$47,"Zappa")+COUNTIF(Asta!$P$4:$P$47,"Zappa")+COUNTIF(Asta!$R$4:$R$47,"Zappa")+COUNTIF(Asta!$T$4:$T$47,"Zappa"))&gt;0,REGEXREPLACE("Zappa","(.)","$1"&amp;UNICHAR(822)),"Zappa")</x:f>
        <x:v>Zappa</x:v>
      </x:c>
      <x:c r="C17" s="714" t="str">
        <x:v>B;Dd;E</x:v>
      </x:c>
      <x:c r="D17" s="714" t="str">
        <x:v>Riserva / rotazione</x:v>
      </x:c>
      <x:c r="E17" s="714" t="n">
        <x:v>4</x:v>
      </x:c>
      <x:c r="F17" s="714" t="n">
        <x:v>5</x:v>
      </x:c>
      <x:c r="G17" s="714" t="str">
        <x:v>Scommessa</x:v>
      </x:c>
      <x:c r="H17" s="714" t="str"/>
      <x:c r="I17" s="715" t="str">
        <x:v>Copertura/ultimo slot: da prendere a 1-2 crediti.</x:v>
      </x:c>
    </x:row>
    <x:row r="18">
      <x:c r="A18" s="713" t="str">
        <x:v>Difensore</x:v>
      </x:c>
      <x:c r="B18" s="714" t="str">
        <x:f>IF((COUNTIF(Asta!$B$4:$B$47,"Idrissi R.")+COUNTIF(Asta!$D$4:$D$47,"Idrissi R.")+COUNTIF(Asta!$F$4:$F$47,"Idrissi R.")+COUNTIF(Asta!$H$4:$H$47,"Idrissi R.")+COUNTIF(Asta!$J$4:$J$47,"Idrissi R.")+COUNTIF(Asta!$L$4:$L$47,"Idrissi R.")+COUNTIF(Asta!$N$4:$N$47,"Idrissi R.")+COUNTIF(Asta!$P$4:$P$47,"Idrissi R.")+COUNTIF(Asta!$R$4:$R$47,"Idrissi R.")+COUNTIF(Asta!$T$4:$T$47,"Idrissi R."))&gt;0,REGEXREPLACE("Idrissi R.","(.)","$1"&amp;UNICHAR(822)),"Idrissi R.")</x:f>
        <x:v>Idrissi R.</x:v>
      </x:c>
      <x:c r="C18" s="714" t="str">
        <x:v>Ds;E</x:v>
      </x:c>
      <x:c r="D18" s="714" t="str">
        <x:v>Riserva / rotazione</x:v>
      </x:c>
      <x:c r="E18" s="714" t="n">
        <x:v>3</x:v>
      </x:c>
      <x:c r="F18" s="714" t="n">
        <x:v>4</x:v>
      </x:c>
      <x:c r="G18" s="714" t="str">
        <x:v>Copertura</x:v>
      </x:c>
      <x:c r="H18" s="714" t="str"/>
      <x:c r="I18" s="715" t="str">
        <x:v>Copertura/ultimo slot: da prendere a 1-2 crediti.</x:v>
      </x:c>
    </x:row>
    <x:row r="19">
      <x:c r="A19" s="713" t="str">
        <x:v>Difensore</x:v>
      </x:c>
      <x:c r="B19" s="714" t="str">
        <x:f>IF((COUNTIF(Asta!$B$4:$B$47,"Raterink")+COUNTIF(Asta!$D$4:$D$47,"Raterink")+COUNTIF(Asta!$F$4:$F$47,"Raterink")+COUNTIF(Asta!$H$4:$H$47,"Raterink")+COUNTIF(Asta!$J$4:$J$47,"Raterink")+COUNTIF(Asta!$L$4:$L$47,"Raterink")+COUNTIF(Asta!$N$4:$N$47,"Raterink")+COUNTIF(Asta!$P$4:$P$47,"Raterink")+COUNTIF(Asta!$R$4:$R$47,"Raterink")+COUNTIF(Asta!$T$4:$T$47,"Raterink"))&gt;0,REGEXREPLACE("Raterink","(.)","$1"&amp;UNICHAR(822)),"Raterink")</x:f>
        <x:v>Raterink</x:v>
      </x:c>
      <x:c r="C19" s="714" t="str">
        <x:v>Dd;E</x:v>
      </x:c>
      <x:c r="D19" s="714" t="str">
        <x:v>Riserva / rotazione</x:v>
      </x:c>
      <x:c r="E19" s="714" t="n">
        <x:v>1</x:v>
      </x:c>
      <x:c r="F19" s="714" t="n">
        <x:v>1</x:v>
      </x:c>
      <x:c r="G19" s="714" t="str">
        <x:v>Copertura</x:v>
      </x:c>
      <x:c r="H19" s="714" t="str"/>
      <x:c r="I19" s="715" t="str">
        <x:v>Copertura/ultimo slot: da prendere a 1-2 crediti.</x:v>
      </x:c>
    </x:row>
    <x:row r="20">
      <x:c r="A20" s="716" t="str">
        <x:v>Centrocampista</x:v>
      </x:c>
      <x:c r="B20" s="717" t="str">
        <x:f>IF((COUNTIF(Asta!$B$4:$B$47,"Fazzini")+COUNTIF(Asta!$D$4:$D$47,"Fazzini")+COUNTIF(Asta!$F$4:$F$47,"Fazzini")+COUNTIF(Asta!$H$4:$H$47,"Fazzini")+COUNTIF(Asta!$J$4:$J$47,"Fazzini")+COUNTIF(Asta!$L$4:$L$47,"Fazzini")+COUNTIF(Asta!$N$4:$N$47,"Fazzini")+COUNTIF(Asta!$P$4:$P$47,"Fazzini")+COUNTIF(Asta!$R$4:$R$47,"Fazzini")+COUNTIF(Asta!$T$4:$T$47,"Fazzini"))&gt;0,REGEXREPLACE("Fazzini","(.)","$1"&amp;UNICHAR(822)),"Fazzini")</x:f>
        <x:v>Fazzini</x:v>
      </x:c>
      <x:c r="C20" s="717" t="str">
        <x:v>C;T</x:v>
      </x:c>
      <x:c r="D20" s="717" t="str">
        <x:v>Titolare</x:v>
      </x:c>
      <x:c r="E20" s="717" t="n">
        <x:v>7</x:v>
      </x:c>
      <x:c r="F20" s="717" t="n">
        <x:v>10</x:v>
      </x:c>
      <x:c r="G20" s="717" t="str">
        <x:v>Scommessa</x:v>
      </x:c>
      <x:c r="H20" s="717" t="str">
        <x:v>Piazzati</x:v>
      </x:c>
      <x:c r="I20" s="718" t="str">
        <x:v>Titolare low cost: utile per completare il reparto. Buon plus: può battere calci piazzati.</x:v>
      </x:c>
    </x:row>
    <x:row r="21">
      <x:c r="A21" s="716" t="str">
        <x:v>Centrocampista</x:v>
      </x:c>
      <x:c r="B21" s="717" t="str">
        <x:f>IF((COUNTIF(Asta!$B$4:$B$47,"Winks")+COUNTIF(Asta!$D$4:$D$47,"Winks")+COUNTIF(Asta!$F$4:$F$47,"Winks")+COUNTIF(Asta!$H$4:$H$47,"Winks")+COUNTIF(Asta!$J$4:$J$47,"Winks")+COUNTIF(Asta!$L$4:$L$47,"Winks")+COUNTIF(Asta!$N$4:$N$47,"Winks")+COUNTIF(Asta!$P$4:$P$47,"Winks")+COUNTIF(Asta!$R$4:$R$47,"Winks")+COUNTIF(Asta!$T$4:$T$47,"Winks"))&gt;0,REGEXREPLACE("Winks","(.)","$1"&amp;UNICHAR(822)),"Winks")</x:f>
        <x:v>Winks</x:v>
      </x:c>
      <x:c r="C21" s="717" t="str">
        <x:v>M;C</x:v>
      </x:c>
      <x:c r="D21" s="717" t="str">
        <x:v>Titolare</x:v>
      </x:c>
      <x:c r="E21" s="717" t="n">
        <x:v>6</x:v>
      </x:c>
      <x:c r="F21" s="717" t="n">
        <x:v>7</x:v>
      </x:c>
      <x:c r="G21" s="717" t="str">
        <x:v>Scommessa</x:v>
      </x:c>
      <x:c r="H21" s="717" t="str"/>
      <x:c r="I21" s="718" t="str">
        <x:v>Titolare low cost: utile per completare il reparto.</x:v>
      </x:c>
    </x:row>
    <x:row r="22">
      <x:c r="A22" s="716" t="str">
        <x:v>Centrocampista</x:v>
      </x:c>
      <x:c r="B22" s="717" t="str">
        <x:f>IF((COUNTIF(Asta!$B$4:$B$47,"Adopo")+COUNTIF(Asta!$D$4:$D$47,"Adopo")+COUNTIF(Asta!$F$4:$F$47,"Adopo")+COUNTIF(Asta!$H$4:$H$47,"Adopo")+COUNTIF(Asta!$J$4:$J$47,"Adopo")+COUNTIF(Asta!$L$4:$L$47,"Adopo")+COUNTIF(Asta!$N$4:$N$47,"Adopo")+COUNTIF(Asta!$P$4:$P$47,"Adopo")+COUNTIF(Asta!$R$4:$R$47,"Adopo")+COUNTIF(Asta!$T$4:$T$47,"Adopo"))&gt;0,REGEXREPLACE("Adopo","(.)","$1"&amp;UNICHAR(822)),"Adopo")</x:f>
        <x:v>Adopo</x:v>
      </x:c>
      <x:c r="C22" s="717" t="str">
        <x:v>M;C</x:v>
      </x:c>
      <x:c r="D22" s="717" t="str">
        <x:v>Titolare / ballottaggio</x:v>
      </x:c>
      <x:c r="E22" s="717" t="n">
        <x:v>6</x:v>
      </x:c>
      <x:c r="F22" s="717" t="n">
        <x:v>7</x:v>
      </x:c>
      <x:c r="G22" s="717" t="str">
        <x:v>Scommessa</x:v>
      </x:c>
      <x:c r="H22" s="717" t="str"/>
      <x:c r="I22" s="718" t="str">
        <x:v>Solo a pochi crediti: minutaggio non garantito.</x:v>
      </x:c>
    </x:row>
    <x:row r="23">
      <x:c r="A23" s="716" t="str">
        <x:v>Centrocampista</x:v>
      </x:c>
      <x:c r="B23" s="717" t="str">
        <x:f>IF((COUNTIF(Asta!$B$4:$B$47,"Romano")+COUNTIF(Asta!$D$4:$D$47,"Romano")+COUNTIF(Asta!$F$4:$F$47,"Romano")+COUNTIF(Asta!$H$4:$H$47,"Romano")+COUNTIF(Asta!$J$4:$J$47,"Romano")+COUNTIF(Asta!$L$4:$L$47,"Romano")+COUNTIF(Asta!$N$4:$N$47,"Romano")+COUNTIF(Asta!$P$4:$P$47,"Romano")+COUNTIF(Asta!$R$4:$R$47,"Romano")+COUNTIF(Asta!$T$4:$T$47,"Romano"))&gt;0,REGEXREPLACE("Romano","(.)","$1"&amp;UNICHAR(822)),"Romano")</x:f>
        <x:v>Romano</x:v>
      </x:c>
      <x:c r="C23" s="717" t="str">
        <x:v>M;C</x:v>
      </x:c>
      <x:c r="D23" s="717" t="str">
        <x:v>Titolare</x:v>
      </x:c>
      <x:c r="E23" s="717" t="n">
        <x:v>5</x:v>
      </x:c>
      <x:c r="F23" s="717" t="n">
        <x:v>6</x:v>
      </x:c>
      <x:c r="G23" s="717" t="str">
        <x:v>Scommessa</x:v>
      </x:c>
      <x:c r="H23" s="717" t="str">
        <x:v>Piazzati</x:v>
      </x:c>
      <x:c r="I23" s="718" t="str">
        <x:v>Titolare low cost: utile per completare il reparto. Buon plus: può battere calci piazzati.</x:v>
      </x:c>
    </x:row>
    <x:row r="24">
      <x:c r="A24" s="716" t="str">
        <x:v>Centrocampista</x:v>
      </x:c>
      <x:c r="B24" s="717" t="str">
        <x:f>IF((COUNTIF(Asta!$B$4:$B$47,"Felici")+COUNTIF(Asta!$D$4:$D$47,"Felici")+COUNTIF(Asta!$F$4:$F$47,"Felici")+COUNTIF(Asta!$H$4:$H$47,"Felici")+COUNTIF(Asta!$J$4:$J$47,"Felici")+COUNTIF(Asta!$L$4:$L$47,"Felici")+COUNTIF(Asta!$N$4:$N$47,"Felici")+COUNTIF(Asta!$P$4:$P$47,"Felici")+COUNTIF(Asta!$R$4:$R$47,"Felici")+COUNTIF(Asta!$T$4:$T$47,"Felici"))&gt;0,REGEXREPLACE("Felici","(.)","$1"&amp;UNICHAR(822)),"Felici")</x:f>
        <x:v>Felici</x:v>
      </x:c>
      <x:c r="C24" s="717" t="str">
        <x:v>W</x:v>
      </x:c>
      <x:c r="D24" s="717" t="str">
        <x:v>Riserva / rotazione</x:v>
      </x:c>
      <x:c r="E24" s="717" t="n">
        <x:v>5</x:v>
      </x:c>
      <x:c r="F24" s="717" t="n">
        <x:v>5</x:v>
      </x:c>
      <x:c r="G24" s="717" t="str">
        <x:v>Scommessa</x:v>
      </x:c>
      <x:c r="H24" s="717" t="str"/>
      <x:c r="I24" s="718" t="str">
        <x:v>Copertura/ultimo slot: da prendere a 1-2 crediti.</x:v>
      </x:c>
    </x:row>
    <x:row r="25">
      <x:c r="A25" s="716" t="str">
        <x:v>Centrocampista</x:v>
      </x:c>
      <x:c r="B25" s="717" t="str">
        <x:f>IF((COUNTIF(Asta!$B$4:$B$47,"Deiola")+COUNTIF(Asta!$D$4:$D$47,"Deiola")+COUNTIF(Asta!$F$4:$F$47,"Deiola")+COUNTIF(Asta!$H$4:$H$47,"Deiola")+COUNTIF(Asta!$J$4:$J$47,"Deiola")+COUNTIF(Asta!$L$4:$L$47,"Deiola")+COUNTIF(Asta!$N$4:$N$47,"Deiola")+COUNTIF(Asta!$P$4:$P$47,"Deiola")+COUNTIF(Asta!$R$4:$R$47,"Deiola")+COUNTIF(Asta!$T$4:$T$47,"Deiola"))&gt;0,REGEXREPLACE("Deiola","(.)","$1"&amp;UNICHAR(822)),"Deiola")</x:f>
        <x:v>Deiola</x:v>
      </x:c>
      <x:c r="C25" s="717" t="str">
        <x:v>M;C</x:v>
      </x:c>
      <x:c r="D25" s="717" t="str">
        <x:v>Riserva / rotazione</x:v>
      </x:c>
      <x:c r="E25" s="717" t="n">
        <x:v>3</x:v>
      </x:c>
      <x:c r="F25" s="717" t="n">
        <x:v>4</x:v>
      </x:c>
      <x:c r="G25" s="717" t="str">
        <x:v>Scommessa</x:v>
      </x:c>
      <x:c r="H25" s="717" t="str"/>
      <x:c r="I25" s="718" t="str">
        <x:v>Copertura/ultimo slot: da prendere a 1-2 crediti.</x:v>
      </x:c>
    </x:row>
    <x:row r="26">
      <x:c r="A26" s="716" t="str">
        <x:v>Centrocampista</x:v>
      </x:c>
      <x:c r="B26" s="717" t="str">
        <x:f>IF((COUNTIF(Asta!$B$4:$B$47,"Prati")+COUNTIF(Asta!$D$4:$D$47,"Prati")+COUNTIF(Asta!$F$4:$F$47,"Prati")+COUNTIF(Asta!$H$4:$H$47,"Prati")+COUNTIF(Asta!$J$4:$J$47,"Prati")+COUNTIF(Asta!$L$4:$L$47,"Prati")+COUNTIF(Asta!$N$4:$N$47,"Prati")+COUNTIF(Asta!$P$4:$P$47,"Prati")+COUNTIF(Asta!$R$4:$R$47,"Prati")+COUNTIF(Asta!$T$4:$T$47,"Prati"))&gt;0,REGEXREPLACE("Prati","(.)","$1"&amp;UNICHAR(822)),"Prati")</x:f>
        <x:v>Prati</x:v>
      </x:c>
      <x:c r="C26" s="717" t="str">
        <x:v>M;C</x:v>
      </x:c>
      <x:c r="D26" s="717" t="str">
        <x:v>Riserva / rotazione</x:v>
      </x:c>
      <x:c r="E26" s="717" t="n">
        <x:v>4</x:v>
      </x:c>
      <x:c r="F26" s="717" t="n">
        <x:v>4</x:v>
      </x:c>
      <x:c r="G26" s="717" t="str">
        <x:v>Copertura</x:v>
      </x:c>
      <x:c r="H26" s="717" t="str"/>
      <x:c r="I26" s="718" t="str">
        <x:v>Copertura/ultimo slot: da prendere a 1-2 crediti.</x:v>
      </x:c>
    </x:row>
    <x:row r="27">
      <x:c r="A27" s="716" t="str">
        <x:v>Centrocampista</x:v>
      </x:c>
      <x:c r="B27" s="717" t="str">
        <x:f>IF((COUNTIF(Asta!$B$4:$B$47,"Liteta")+COUNTIF(Asta!$D$4:$D$47,"Liteta")+COUNTIF(Asta!$F$4:$F$47,"Liteta")+COUNTIF(Asta!$H$4:$H$47,"Liteta")+COUNTIF(Asta!$J$4:$J$47,"Liteta")+COUNTIF(Asta!$L$4:$L$47,"Liteta")+COUNTIF(Asta!$N$4:$N$47,"Liteta")+COUNTIF(Asta!$P$4:$P$47,"Liteta")+COUNTIF(Asta!$R$4:$R$47,"Liteta")+COUNTIF(Asta!$T$4:$T$47,"Liteta"))&gt;0,REGEXREPLACE("Liteta","(.)","$1"&amp;UNICHAR(822)),"Liteta")</x:f>
        <x:v>Liteta</x:v>
      </x:c>
      <x:c r="C27" s="717" t="str">
        <x:v>M;C</x:v>
      </x:c>
      <x:c r="D27" s="717" t="str">
        <x:v>Riserva / rotazione</x:v>
      </x:c>
      <x:c r="E27" s="717" t="n">
        <x:v>1</x:v>
      </x:c>
      <x:c r="F27" s="717" t="n">
        <x:v>1</x:v>
      </x:c>
      <x:c r="G27" s="717" t="str">
        <x:v>Copertura</x:v>
      </x:c>
      <x:c r="H27" s="717" t="str"/>
      <x:c r="I27" s="718" t="str">
        <x:v>Copertura/ultimo slot: da prendere a 1-2 crediti.</x:v>
      </x:c>
    </x:row>
    <x:row r="28">
      <x:c r="A28" s="719" t="str">
        <x:v>Attaccante</x:v>
      </x:c>
      <x:c r="B28" s="720" t="str">
        <x:f>IF((COUNTIF(Asta!$B$4:$B$47,"Esposito Se.")+COUNTIF(Asta!$D$4:$D$47,"Esposito Se.")+COUNTIF(Asta!$F$4:$F$47,"Esposito Se.")+COUNTIF(Asta!$H$4:$H$47,"Esposito Se.")+COUNTIF(Asta!$J$4:$J$47,"Esposito Se.")+COUNTIF(Asta!$L$4:$L$47,"Esposito Se.")+COUNTIF(Asta!$N$4:$N$47,"Esposito Se.")+COUNTIF(Asta!$P$4:$P$47,"Esposito Se.")+COUNTIF(Asta!$R$4:$R$47,"Esposito Se.")+COUNTIF(Asta!$T$4:$T$47,"Esposito Se."))&gt;0,REGEXREPLACE("Esposito Se.","(.)","$1"&amp;UNICHAR(822)),"Esposito Se.")</x:f>
        <x:v>Esposito Se.</x:v>
      </x:c>
      <x:c r="C28" s="720" t="str">
        <x:v>A</x:v>
      </x:c>
      <x:c r="D28" s="720" t="str">
        <x:v>Riserva / rotazione</x:v>
      </x:c>
      <x:c r="E28" s="720" t="n">
        <x:v>13</x:v>
      </x:c>
      <x:c r="F28" s="720" t="n">
        <x:v>25</x:v>
      </x:c>
      <x:c r="G28" s="720" t="str">
        <x:v>Buon titolare con rischio minutaggio</x:v>
      </x:c>
      <x:c r="H28" s="720" t="str"/>
      <x:c r="I28" s="721" t="str">
        <x:v>Qualità interessante ma minutaggio incerto: occasione solo se il prezzo scende.</x:v>
      </x:c>
    </x:row>
    <x:row r="29">
      <x:c r="A29" s="719" t="str">
        <x:v>Attaccante</x:v>
      </x:c>
      <x:c r="B29" s="720" t="str">
        <x:f>IF((COUNTIF(Asta!$B$4:$B$47,"Mutandwa")+COUNTIF(Asta!$D$4:$D$47,"Mutandwa")+COUNTIF(Asta!$F$4:$F$47,"Mutandwa")+COUNTIF(Asta!$H$4:$H$47,"Mutandwa")+COUNTIF(Asta!$J$4:$J$47,"Mutandwa")+COUNTIF(Asta!$L$4:$L$47,"Mutandwa")+COUNTIF(Asta!$N$4:$N$47,"Mutandwa")+COUNTIF(Asta!$P$4:$P$47,"Mutandwa")+COUNTIF(Asta!$R$4:$R$47,"Mutandwa")+COUNTIF(Asta!$T$4:$T$47,"Mutandwa"))&gt;0,REGEXREPLACE("Mutandwa","(.)","$1"&amp;UNICHAR(822)),"Mutandwa")</x:f>
        <x:v>Mutandwa</x:v>
      </x:c>
      <x:c r="C29" s="720" t="str">
        <x:v>Pc</x:v>
      </x:c>
      <x:c r="D29" s="720" t="str">
        <x:v>Riserva / rotazione</x:v>
      </x:c>
      <x:c r="E29" s="720" t="n">
        <x:v>6</x:v>
      </x:c>
      <x:c r="F29" s="720" t="n">
        <x:v>10</x:v>
      </x:c>
      <x:c r="G29" s="720" t="str">
        <x:v>Scommessa</x:v>
      </x:c>
      <x:c r="H29" s="720" t="str"/>
      <x:c r="I29" s="721" t="str">
        <x:v>Scommessa da ultimi slot, senza sovrapprezzo.</x:v>
      </x:c>
    </x:row>
    <x:row r="30">
      <x:c r="A30" s="719" t="str">
        <x:v>Attaccante</x:v>
      </x:c>
      <x:c r="B30" s="720" t="str">
        <x:f>IF((COUNTIF(Asta!$B$4:$B$47,"Borrelli")+COUNTIF(Asta!$D$4:$D$47,"Borrelli")+COUNTIF(Asta!$F$4:$F$47,"Borrelli")+COUNTIF(Asta!$H$4:$H$47,"Borrelli")+COUNTIF(Asta!$J$4:$J$47,"Borrelli")+COUNTIF(Asta!$L$4:$L$47,"Borrelli")+COUNTIF(Asta!$N$4:$N$47,"Borrelli")+COUNTIF(Asta!$P$4:$P$47,"Borrelli")+COUNTIF(Asta!$R$4:$R$47,"Borrelli")+COUNTIF(Asta!$T$4:$T$47,"Borrelli"))&gt;0,REGEXREPLACE("Borrelli","(.)","$1"&amp;UNICHAR(822)),"Borrelli")</x:f>
        <x:v>Borrelli</x:v>
      </x:c>
      <x:c r="C30" s="720" t="str">
        <x:v>Pc</x:v>
      </x:c>
      <x:c r="D30" s="720" t="str">
        <x:v>Riserva / rotazione</x:v>
      </x:c>
      <x:c r="E30" s="720" t="n">
        <x:v>4</x:v>
      </x:c>
      <x:c r="F30" s="720" t="n">
        <x:v>5</x:v>
      </x:c>
      <x:c r="G30" s="720" t="str">
        <x:v>Scommessa</x:v>
      </x:c>
      <x:c r="H30" s="720" t="str"/>
      <x:c r="I30" s="721" t="str">
        <x:v>Copertura/ultimo slot: da prendere a 1-2 crediti.</x:v>
      </x:c>
    </x:row>
    <x:row r="31">
      <x:c r="A31" s="719" t="str">
        <x:v>Attaccante</x:v>
      </x:c>
      <x:c r="B31" s="720" t="str">
        <x:f>IF((COUNTIF(Asta!$B$4:$B$47,"Mendy P.")+COUNTIF(Asta!$D$4:$D$47,"Mendy P.")+COUNTIF(Asta!$F$4:$F$47,"Mendy P.")+COUNTIF(Asta!$H$4:$H$47,"Mendy P.")+COUNTIF(Asta!$J$4:$J$47,"Mendy P.")+COUNTIF(Asta!$L$4:$L$47,"Mendy P.")+COUNTIF(Asta!$N$4:$N$47,"Mendy P.")+COUNTIF(Asta!$P$4:$P$47,"Mendy P.")+COUNTIF(Asta!$R$4:$R$47,"Mendy P.")+COUNTIF(Asta!$T$4:$T$47,"Mendy P."))&gt;0,REGEXREPLACE("Mendy P.","(.)","$1"&amp;UNICHAR(822)),"Mendy P.")</x:f>
        <x:v>Mendy P.</x:v>
      </x:c>
      <x:c r="C31" s="720" t="str">
        <x:v>Pc</x:v>
      </x:c>
      <x:c r="D31" s="720" t="str">
        <x:v>Riserva / rotazione</x:v>
      </x:c>
      <x:c r="E31" s="720" t="n">
        <x:v>4</x:v>
      </x:c>
      <x:c r="F31" s="720" t="n">
        <x:v>5</x:v>
      </x:c>
      <x:c r="G31" s="720" t="str">
        <x:v>Scommessa</x:v>
      </x:c>
      <x:c r="H31" s="720" t="str"/>
      <x:c r="I31" s="721" t="str">
        <x:v>Copertura/ultimo slot: da prendere a 1-2 crediti.</x:v>
      </x:c>
    </x:row>
    <x:row r="32">
      <x:c r="A32" s="719" t="str">
        <x:v>Attaccante</x:v>
      </x:c>
      <x:c r="B32" s="720" t="str">
        <x:f>IF((COUNTIF(Asta!$B$4:$B$47,"Trepy")+COUNTIF(Asta!$D$4:$D$47,"Trepy")+COUNTIF(Asta!$F$4:$F$47,"Trepy")+COUNTIF(Asta!$H$4:$H$47,"Trepy")+COUNTIF(Asta!$J$4:$J$47,"Trepy")+COUNTIF(Asta!$L$4:$L$47,"Trepy")+COUNTIF(Asta!$N$4:$N$47,"Trepy")+COUNTIF(Asta!$P$4:$P$47,"Trepy")+COUNTIF(Asta!$R$4:$R$47,"Trepy")+COUNTIF(Asta!$T$4:$T$47,"Trepy"))&gt;0,REGEXREPLACE("Trepy","(.)","$1"&amp;UNICHAR(822)),"Trepy")</x:f>
        <x:v>Trepy</x:v>
      </x:c>
      <x:c r="C32" s="720" t="str">
        <x:v>Pc</x:v>
      </x:c>
      <x:c r="D32" s="720" t="str">
        <x:v>Riserva / rotazione</x:v>
      </x:c>
      <x:c r="E32" s="720" t="n">
        <x:v>1</x:v>
      </x:c>
      <x:c r="F32" s="720" t="n">
        <x:v>1</x:v>
      </x:c>
      <x:c r="G32" s="720" t="str">
        <x:v>Copertura</x:v>
      </x:c>
      <x:c r="H32" s="720" t="str"/>
      <x:c r="I32" s="721" t="str">
        <x:v>Copertura/ultimo slot: da prendere a 1-2 crediti.</x:v>
      </x:c>
    </x:row>
    <x:row r="33">
      <x:c r="A33" s="722" t="str">
        <x:v>Attaccante</x:v>
      </x:c>
      <x:c r="B33" s="723" t="str">
        <x:f>IF((COUNTIF(Asta!$B$4:$B$47,"Albarracin")+COUNTIF(Asta!$D$4:$D$47,"Albarracin")+COUNTIF(Asta!$F$4:$F$47,"Albarracin")+COUNTIF(Asta!$H$4:$H$47,"Albarracin")+COUNTIF(Asta!$J$4:$J$47,"Albarracin")+COUNTIF(Asta!$L$4:$L$47,"Albarracin")+COUNTIF(Asta!$N$4:$N$47,"Albarracin")+COUNTIF(Asta!$P$4:$P$47,"Albarracin")+COUNTIF(Asta!$R$4:$R$47,"Albarracin")+COUNTIF(Asta!$T$4:$T$47,"Albarracin"))&gt;0,REGEXREPLACE("Albarracin","(.)","$1"&amp;UNICHAR(822)),"Albarracin")</x:f>
        <x:v>Albarracin</x:v>
      </x:c>
      <x:c r="C33" s="723" t="str">
        <x:v>A</x:v>
      </x:c>
      <x:c r="D33" s="723" t="str">
        <x:v>Riserva / rotazione</x:v>
      </x:c>
      <x:c r="E33" s="723" t="n">
        <x:v>1</x:v>
      </x:c>
      <x:c r="F33" s="723" t="n">
        <x:v>1</x:v>
      </x:c>
      <x:c r="G33" s="723" t="str">
        <x:v>Copertura</x:v>
      </x:c>
      <x:c r="H33" s="723" t="str"/>
      <x:c r="I33" s="724" t="str">
        <x:v>Copertura/ultimo slot: da prendere a 1-2 crediti.</x:v>
      </x:c>
    </x:row>
    <x:row r="35">
      <x:c r="A35" s="630" t="str">
        <x:v>Fonte formazione/ballottaggi/rigoristi: Fantacalcio.it, aggiornamento 09/09/2026 — https://www.fantacalcio.it/news/calcio-italia/06_08_2026/asta-fantacalcio-le-probabili-formazioni-della-serie-a-enilive-2026-27-495558</x:v>
      </x:c>
      <x:c r="B35" s="630"/>
      <x:c r="C35" s="630"/>
      <x:c r="D35" s="630"/>
      <x:c r="E35" s="630"/>
      <x:c r="F35" s="630"/>
      <x:c r="G35" s="630"/>
      <x:c r="H35" s="630"/>
      <x:c r="I35" s="630"/>
    </x:row>
  </x:sheetData>
  <x:mergeCells>
    <x:mergeCell ref="A1:I1"/>
    <x:mergeCell ref="B4:I4"/>
    <x:mergeCell ref="B5:I5"/>
    <x:mergeCell ref="D3:I3"/>
    <x:mergeCell ref="D6:I6"/>
    <x:mergeCell ref="A35:I35"/>
  </x:mergeCells>
  <x:conditionalFormatting sqref="D9:D33">
    <x:cfRule type="expression" dxfId="8" priority="1">
      <x:formula>D9="Titolare"</x:formula>
    </x:cfRule>
    <x:cfRule type="expression" dxfId="9" priority="2">
      <x:formula>ISNUMBER(SEARCH("Ballottaggio",D9))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1" hidden="0" customWidth="1"/>
    <x:col min="3" max="3" width="18" hidden="0" customWidth="1"/>
    <x:col min="4" max="4" width="23" hidden="0" customWidth="1"/>
    <x:col min="5" max="5" width="11" hidden="0" customWidth="1"/>
    <x:col min="6" max="6" width="12" hidden="0" customWidth="1"/>
    <x:col min="7" max="7" width="24" hidden="0" customWidth="1"/>
    <x:col min="8" max="8" width="20" hidden="0" customWidth="1"/>
    <x:col min="9" max="9" width="48" hidden="0" customWidth="1"/>
  </x:cols>
  <x:sheetData>
    <x:row r="1" ht="30" customHeight="1">
      <x:c r="A1" s="642" t="str">
        <x:v>COMO — GUIDA ASTA 2026/27</x:v>
      </x:c>
      <x:c r="B1" s="643"/>
      <x:c r="C1" s="643"/>
      <x:c r="D1" s="643"/>
      <x:c r="E1" s="643"/>
      <x:c r="F1" s="643"/>
      <x:c r="G1" s="643"/>
      <x:c r="H1" s="643"/>
      <x:c r="I1" s="644"/>
    </x:row>
    <x:row r="3">
      <x:c r="A3" s="663" t="str">
        <x:v>Allenatore</x:v>
      </x:c>
      <x:c r="B3" s="681" t="str">
        <x:v>Cesc Fabregas</x:v>
      </x:c>
      <x:c r="C3" s="673" t="str">
        <x:v>Modulo</x:v>
      </x:c>
      <x:c r="D3" s="681" t="str">
        <x:v>4-2-3-1 / 4-3-3</x:v>
      </x:c>
      <x:c r="E3" s="681"/>
      <x:c r="F3" s="681"/>
      <x:c r="G3" s="681"/>
      <x:c r="H3" s="681"/>
      <x:c r="I3" s="682"/>
    </x:row>
    <x:row r="4" ht="38" customHeight="1">
      <x:c r="A4" s="664" t="str">
        <x:v>Formazione titolare</x:v>
      </x:c>
      <x:c r="B4" s="683" t="str">
        <x:v>Butez; Couto, Chalobah, Ramon, Valle; Da Cunha, Perrone; Diao, Paz, Baturina; Kean</x:v>
      </x:c>
      <x:c r="C4" s="676" t="str"/>
      <x:c r="D4" s="683" t="str"/>
      <x:c r="E4" s="683"/>
      <x:c r="F4" s="683"/>
      <x:c r="G4" s="683"/>
      <x:c r="H4" s="683"/>
      <x:c r="I4" s="684"/>
    </x:row>
    <x:row r="5" ht="38" customHeight="1">
      <x:c r="A5" s="664" t="str">
        <x:v>Ballottaggi</x:v>
      </x:c>
      <x:c r="B5" s="683" t="str">
        <x:v>Couto/Smolcic; Valle/Kaiki; Diao/Rodriguez; Baturina/Milla; Kean/Douvikas</x:v>
      </x:c>
      <x:c r="C5" s="676" t="str"/>
      <x:c r="D5" s="683" t="str"/>
      <x:c r="E5" s="683"/>
      <x:c r="F5" s="683"/>
      <x:c r="G5" s="683"/>
      <x:c r="H5" s="683"/>
      <x:c r="I5" s="684"/>
    </x:row>
    <x:row r="6">
      <x:c r="A6" s="665" t="str">
        <x:v>Rigoristi</x:v>
      </x:c>
      <x:c r="B6" s="685" t="str">
        <x:v>Da Cunha, Kean, Douvikas</x:v>
      </x:c>
      <x:c r="C6" s="679" t="str">
        <x:v>Calci piazzati</x:v>
      </x:c>
      <x:c r="D6" s="685" t="str">
        <x:v>Paz, Baturina, Milla</x:v>
      </x:c>
      <x:c r="E6" s="685"/>
      <x:c r="F6" s="685"/>
      <x:c r="G6" s="685"/>
      <x:c r="H6" s="685"/>
      <x:c r="I6" s="686"/>
    </x:row>
    <x:row r="8" ht="30" customHeight="1">
      <x:c r="A8" s="698" t="str">
        <x:v>Ruolo</x:v>
      </x:c>
      <x:c r="B8" s="699" t="str">
        <x:v>Calciatore</x:v>
      </x:c>
      <x:c r="C8" s="699" t="str">
        <x:v>Posizione</x:v>
      </x:c>
      <x:c r="D8" s="699" t="str">
        <x:v>Status</x:v>
      </x:c>
      <x:c r="E8" s="699" t="str">
        <x:v>Quotazione</x:v>
      </x:c>
      <x:c r="F8" s="699" t="str">
        <x:v>FVM su 504</x:v>
      </x:c>
      <x:c r="G8" s="699" t="str">
        <x:v>Fascia asta</x:v>
      </x:c>
      <x:c r="H8" s="699" t="str">
        <x:v>Specialità</x:v>
      </x:c>
      <x:c r="I8" s="700" t="str">
        <x:v>Consiglio Fantacalcio</x:v>
      </x:c>
    </x:row>
    <x:row r="9">
      <x:c r="A9" s="707" t="str">
        <x:v>Portiere</x:v>
      </x:c>
      <x:c r="B9" s="708" t="str">
        <x:f>IF((COUNTIF(Asta!$B$4:$B$47,"Butez")+COUNTIF(Asta!$D$4:$D$47,"Butez")+COUNTIF(Asta!$F$4:$F$47,"Butez")+COUNTIF(Asta!$H$4:$H$47,"Butez")+COUNTIF(Asta!$J$4:$J$47,"Butez")+COUNTIF(Asta!$L$4:$L$47,"Butez")+COUNTIF(Asta!$N$4:$N$47,"Butez")+COUNTIF(Asta!$P$4:$P$47,"Butez")+COUNTIF(Asta!$R$4:$R$47,"Butez")+COUNTIF(Asta!$T$4:$T$47,"Butez"))&gt;0,REGEXREPLACE("Butez","(.)","$1"&amp;UNICHAR(822)),"Butez")</x:f>
        <x:v>Butez</x:v>
      </x:c>
      <x:c r="C9" s="708" t="str">
        <x:v>Por</x:v>
      </x:c>
      <x:c r="D9" s="708" t="str">
        <x:v>Titolare</x:v>
      </x:c>
      <x:c r="E9" s="708" t="n">
        <x:v>16</x:v>
      </x:c>
      <x:c r="F9" s="708" t="n">
        <x:v>28</x:v>
      </x:c>
      <x:c r="G9" s="708" t="str">
        <x:v>Buon titolare</x:v>
      </x:c>
      <x:c r="H9" s="708" t="str"/>
      <x:c r="I9" s="709" t="str">
        <x:v>Portiere da prendere come titolare di reparto; profilo affidabile per continuità.</x:v>
      </x:c>
    </x:row>
    <x:row r="10">
      <x:c r="A10" s="710" t="str">
        <x:v>Portiere</x:v>
      </x:c>
      <x:c r="B10" s="711" t="str">
        <x:f>IF((COUNTIF(Asta!$B$4:$B$47,"Tornqvist")+COUNTIF(Asta!$D$4:$D$47,"Tornqvist")+COUNTIF(Asta!$F$4:$F$47,"Tornqvist")+COUNTIF(Asta!$H$4:$H$47,"Tornqvist")+COUNTIF(Asta!$J$4:$J$47,"Tornqvist")+COUNTIF(Asta!$L$4:$L$47,"Tornqvist")+COUNTIF(Asta!$N$4:$N$47,"Tornqvist")+COUNTIF(Asta!$P$4:$P$47,"Tornqvist")+COUNTIF(Asta!$R$4:$R$47,"Tornqvist")+COUNTIF(Asta!$T$4:$T$47,"Tornqvist"))&gt;0,REGEXREPLACE("Tornqvist","(.)","$1"&amp;UNICHAR(822)),"Tornqvist")</x:f>
        <x:v>Tornqvist</x:v>
      </x:c>
      <x:c r="C10" s="711" t="str">
        <x:v>Por</x:v>
      </x:c>
      <x:c r="D10" s="711" t="str">
        <x:v>Riserva / rotazione</x:v>
      </x:c>
      <x:c r="E10" s="711" t="n">
        <x:v>1</x:v>
      </x:c>
      <x:c r="F10" s="711" t="n">
        <x:v>1</x:v>
      </x:c>
      <x:c r="G10" s="711" t="str">
        <x:v>Copertura</x:v>
      </x:c>
      <x:c r="H10" s="711" t="str"/>
      <x:c r="I10" s="712" t="str">
        <x:v>Solo come secondo/terzo portiere o copertura del titolare.</x:v>
      </x:c>
    </x:row>
    <x:row r="11">
      <x:c r="A11" s="710" t="str">
        <x:v>Portiere</x:v>
      </x:c>
      <x:c r="B11" s="711" t="str">
        <x:f>IF((COUNTIF(Asta!$B$4:$B$47,"Vigorito")+COUNTIF(Asta!$D$4:$D$47,"Vigorito")+COUNTIF(Asta!$F$4:$F$47,"Vigorito")+COUNTIF(Asta!$H$4:$H$47,"Vigorito")+COUNTIF(Asta!$J$4:$J$47,"Vigorito")+COUNTIF(Asta!$L$4:$L$47,"Vigorito")+COUNTIF(Asta!$N$4:$N$47,"Vigorito")+COUNTIF(Asta!$P$4:$P$47,"Vigorito")+COUNTIF(Asta!$R$4:$R$47,"Vigorito")+COUNTIF(Asta!$T$4:$T$47,"Vigorito"))&gt;0,REGEXREPLACE("Vigorito","(.)","$1"&amp;UNICHAR(822)),"Vigorito")</x:f>
        <x:v>Vigorito</x:v>
      </x:c>
      <x:c r="C11" s="711" t="str">
        <x:v>Por</x:v>
      </x:c>
      <x:c r="D11" s="711" t="str">
        <x:v>Riserva / rotazione</x:v>
      </x:c>
      <x:c r="E11" s="711" t="n">
        <x:v>1</x:v>
      </x:c>
      <x:c r="F11" s="711" t="n">
        <x:v>1</x:v>
      </x:c>
      <x:c r="G11" s="711" t="str">
        <x:v>Copertura</x:v>
      </x:c>
      <x:c r="H11" s="711" t="str"/>
      <x:c r="I11" s="712" t="str">
        <x:v>Solo come secondo/terzo portiere o copertura del titolare.</x:v>
      </x:c>
    </x:row>
    <x:row r="12">
      <x:c r="A12" s="713" t="str">
        <x:v>Difensore</x:v>
      </x:c>
      <x:c r="B12" s="714" t="str">
        <x:f>IF((COUNTIF(Asta!$B$4:$B$47,"Ramon")+COUNTIF(Asta!$D$4:$D$47,"Ramon")+COUNTIF(Asta!$F$4:$F$47,"Ramon")+COUNTIF(Asta!$H$4:$H$47,"Ramon")+COUNTIF(Asta!$J$4:$J$47,"Ramon")+COUNTIF(Asta!$L$4:$L$47,"Ramon")+COUNTIF(Asta!$N$4:$N$47,"Ramon")+COUNTIF(Asta!$P$4:$P$47,"Ramon")+COUNTIF(Asta!$R$4:$R$47,"Ramon")+COUNTIF(Asta!$T$4:$T$47,"Ramon"))&gt;0,REGEXREPLACE("Ramon","(.)","$1"&amp;UNICHAR(822)),"Ramon")</x:f>
        <x:v>Ramon</x:v>
      </x:c>
      <x:c r="C12" s="714" t="str">
        <x:v>Dc</x:v>
      </x:c>
      <x:c r="D12" s="714" t="str">
        <x:v>Titolare</x:v>
      </x:c>
      <x:c r="E12" s="714" t="n">
        <x:v>10</x:v>
      </x:c>
      <x:c r="F12" s="714" t="n">
        <x:v>16</x:v>
      </x:c>
      <x:c r="G12" s="714" t="str">
        <x:v>Utile</x:v>
      </x:c>
      <x:c r="H12" s="714" t="str"/>
      <x:c r="I12" s="715" t="str">
        <x:v>Profilo utile per minutaggio e rotazioni; buon rapporto costo/titolarità.</x:v>
      </x:c>
    </x:row>
    <x:row r="13">
      <x:c r="A13" s="713" t="str">
        <x:v>Difensore</x:v>
      </x:c>
      <x:c r="B13" s="714" t="str">
        <x:f>IF((COUNTIF(Asta!$B$4:$B$47,"Kaiki")+COUNTIF(Asta!$D$4:$D$47,"Kaiki")+COUNTIF(Asta!$F$4:$F$47,"Kaiki")+COUNTIF(Asta!$H$4:$H$47,"Kaiki")+COUNTIF(Asta!$J$4:$J$47,"Kaiki")+COUNTIF(Asta!$L$4:$L$47,"Kaiki")+COUNTIF(Asta!$N$4:$N$47,"Kaiki")+COUNTIF(Asta!$P$4:$P$47,"Kaiki")+COUNTIF(Asta!$R$4:$R$47,"Kaiki")+COUNTIF(Asta!$T$4:$T$47,"Kaiki"))&gt;0,REGEXREPLACE("Kaiki","(.)","$1"&amp;UNICHAR(822)),"Kaiki")</x:f>
        <x:v>Kaiki</x:v>
      </x:c>
      <x:c r="C13" s="714" t="str">
        <x:v>Ds;E</x:v>
      </x:c>
      <x:c r="D13" s="714" t="str">
        <x:v>Ballottaggio</x:v>
      </x:c>
      <x:c r="E13" s="714" t="n">
        <x:v>7</x:v>
      </x:c>
      <x:c r="F13" s="714" t="n">
        <x:v>12</x:v>
      </x:c>
      <x:c r="G13" s="714" t="str">
        <x:v>Utile</x:v>
      </x:c>
      <x:c r="H13" s="714" t="str"/>
      <x:c r="I13" s="715" t="str">
        <x:v>Scommessa con upside: prendilo a prezzo controllato.</x:v>
      </x:c>
    </x:row>
    <x:row r="14">
      <x:c r="A14" s="713" t="str">
        <x:v>Difensore</x:v>
      </x:c>
      <x:c r="B14" s="714" t="str">
        <x:f>IF((COUNTIF(Asta!$B$4:$B$47,"Valle")+COUNTIF(Asta!$D$4:$D$47,"Valle")+COUNTIF(Asta!$F$4:$F$47,"Valle")+COUNTIF(Asta!$H$4:$H$47,"Valle")+COUNTIF(Asta!$J$4:$J$47,"Valle")+COUNTIF(Asta!$L$4:$L$47,"Valle")+COUNTIF(Asta!$N$4:$N$47,"Valle")+COUNTIF(Asta!$P$4:$P$47,"Valle")+COUNTIF(Asta!$R$4:$R$47,"Valle")+COUNTIF(Asta!$T$4:$T$47,"Valle"))&gt;0,REGEXREPLACE("Valle","(.)","$1"&amp;UNICHAR(822)),"Valle")</x:f>
        <x:v>Valle</x:v>
      </x:c>
      <x:c r="C14" s="714" t="str">
        <x:v>Ds;E</x:v>
      </x:c>
      <x:c r="D14" s="714" t="str">
        <x:v>Titolare / ballottaggio</x:v>
      </x:c>
      <x:c r="E14" s="714" t="n">
        <x:v>6</x:v>
      </x:c>
      <x:c r="F14" s="714" t="n">
        <x:v>9</x:v>
      </x:c>
      <x:c r="G14" s="714" t="str">
        <x:v>Scommessa</x:v>
      </x:c>
      <x:c r="H14" s="714" t="str"/>
      <x:c r="I14" s="715" t="str">
        <x:v>Solo a pochi crediti: minutaggio non garantito.</x:v>
      </x:c>
    </x:row>
    <x:row r="15">
      <x:c r="A15" s="713" t="str">
        <x:v>Difensore</x:v>
      </x:c>
      <x:c r="B15" s="714" t="str">
        <x:f>IF((COUNTIF(Asta!$B$4:$B$47,"Kempf")+COUNTIF(Asta!$D$4:$D$47,"Kempf")+COUNTIF(Asta!$F$4:$F$47,"Kempf")+COUNTIF(Asta!$H$4:$H$47,"Kempf")+COUNTIF(Asta!$J$4:$J$47,"Kempf")+COUNTIF(Asta!$L$4:$L$47,"Kempf")+COUNTIF(Asta!$N$4:$N$47,"Kempf")+COUNTIF(Asta!$P$4:$P$47,"Kempf")+COUNTIF(Asta!$R$4:$R$47,"Kempf")+COUNTIF(Asta!$T$4:$T$47,"Kempf"))&gt;0,REGEXREPLACE("Kempf","(.)","$1"&amp;UNICHAR(822)),"Kempf")</x:f>
        <x:v>Kempf</x:v>
      </x:c>
      <x:c r="C15" s="714" t="str">
        <x:v>Dc</x:v>
      </x:c>
      <x:c r="D15" s="714" t="str">
        <x:v>Riserva / rotazione</x:v>
      </x:c>
      <x:c r="E15" s="714" t="n">
        <x:v>5</x:v>
      </x:c>
      <x:c r="F15" s="714" t="n">
        <x:v>7</x:v>
      </x:c>
      <x:c r="G15" s="714" t="str">
        <x:v>Scommessa</x:v>
      </x:c>
      <x:c r="H15" s="714" t="str"/>
      <x:c r="I15" s="715" t="str">
        <x:v>Copertura/ultimo slot: da prendere a 1-2 crediti.</x:v>
      </x:c>
    </x:row>
    <x:row r="16">
      <x:c r="A16" s="713" t="str">
        <x:v>Difensore</x:v>
      </x:c>
      <x:c r="B16" s="714" t="str">
        <x:f>IF((COUNTIF(Asta!$B$4:$B$47,"Smolcic I.")+COUNTIF(Asta!$D$4:$D$47,"Smolcic I.")+COUNTIF(Asta!$F$4:$F$47,"Smolcic I.")+COUNTIF(Asta!$H$4:$H$47,"Smolcic I.")+COUNTIF(Asta!$J$4:$J$47,"Smolcic I.")+COUNTIF(Asta!$L$4:$L$47,"Smolcic I.")+COUNTIF(Asta!$N$4:$N$47,"Smolcic I.")+COUNTIF(Asta!$P$4:$P$47,"Smolcic I.")+COUNTIF(Asta!$R$4:$R$47,"Smolcic I.")+COUNTIF(Asta!$T$4:$T$47,"Smolcic I."))&gt;0,REGEXREPLACE("Smolcic I.","(.)","$1"&amp;UNICHAR(822)),"Smolcic I.")</x:f>
        <x:v>Smolcic I.</x:v>
      </x:c>
      <x:c r="C16" s="714" t="str">
        <x:v>Dd;E</x:v>
      </x:c>
      <x:c r="D16" s="714" t="str">
        <x:v>Ballottaggio</x:v>
      </x:c>
      <x:c r="E16" s="714" t="n">
        <x:v>4</x:v>
      </x:c>
      <x:c r="F16" s="714" t="n">
        <x:v>5</x:v>
      </x:c>
      <x:c r="G16" s="714" t="str">
        <x:v>Scommessa</x:v>
      </x:c>
      <x:c r="H16" s="714" t="str"/>
      <x:c r="I16" s="715" t="str">
        <x:v>Solo a pochi crediti: minutaggio non garantito.</x:v>
      </x:c>
    </x:row>
    <x:row r="17">
      <x:c r="A17" s="713" t="str">
        <x:v>Difensore</x:v>
      </x:c>
      <x:c r="B17" s="714" t="str">
        <x:f>IF((COUNTIF(Asta!$B$4:$B$47,"Cuenca A.")+COUNTIF(Asta!$D$4:$D$47,"Cuenca A.")+COUNTIF(Asta!$F$4:$F$47,"Cuenca A.")+COUNTIF(Asta!$H$4:$H$47,"Cuenca A.")+COUNTIF(Asta!$J$4:$J$47,"Cuenca A.")+COUNTIF(Asta!$L$4:$L$47,"Cuenca A.")+COUNTIF(Asta!$N$4:$N$47,"Cuenca A.")+COUNTIF(Asta!$P$4:$P$47,"Cuenca A.")+COUNTIF(Asta!$R$4:$R$47,"Cuenca A.")+COUNTIF(Asta!$T$4:$T$47,"Cuenca A."))&gt;0,REGEXREPLACE("Cuenca A.","(.)","$1"&amp;UNICHAR(822)),"Cuenca A.")</x:f>
        <x:v>Cuenca A.</x:v>
      </x:c>
      <x:c r="C17" s="714" t="str">
        <x:v>Ds;Dc</x:v>
      </x:c>
      <x:c r="D17" s="714" t="str">
        <x:v>Riserva / rotazione</x:v>
      </x:c>
      <x:c r="E17" s="714" t="n">
        <x:v>1</x:v>
      </x:c>
      <x:c r="F17" s="714" t="n">
        <x:v>4</x:v>
      </x:c>
      <x:c r="G17" s="714" t="str">
        <x:v>Scommessa</x:v>
      </x:c>
      <x:c r="H17" s="714" t="str"/>
      <x:c r="I17" s="715" t="str">
        <x:v>Copertura/ultimo slot: da prendere a 1-2 crediti.</x:v>
      </x:c>
    </x:row>
    <x:row r="18">
      <x:c r="A18" s="713" t="str">
        <x:v>Difensore</x:v>
      </x:c>
      <x:c r="B18" s="714" t="str">
        <x:f>IF((COUNTIF(Asta!$B$4:$B$47,"Van der Brempt")+COUNTIF(Asta!$D$4:$D$47,"Van der Brempt")+COUNTIF(Asta!$F$4:$F$47,"Van der Brempt")+COUNTIF(Asta!$H$4:$H$47,"Van der Brempt")+COUNTIF(Asta!$J$4:$J$47,"Van der Brempt")+COUNTIF(Asta!$L$4:$L$47,"Van der Brempt")+COUNTIF(Asta!$N$4:$N$47,"Van der Brempt")+COUNTIF(Asta!$P$4:$P$47,"Van der Brempt")+COUNTIF(Asta!$R$4:$R$47,"Van der Brempt")+COUNTIF(Asta!$T$4:$T$47,"Van der Brempt"))&gt;0,REGEXREPLACE("Van der Brempt","(.)","$1"&amp;UNICHAR(822)),"Van der Brempt")</x:f>
        <x:v>Van der Brempt</x:v>
      </x:c>
      <x:c r="C18" s="714" t="str">
        <x:v>Dd;E</x:v>
      </x:c>
      <x:c r="D18" s="714" t="str">
        <x:v>Riserva / rotazione</x:v>
      </x:c>
      <x:c r="E18" s="714" t="n">
        <x:v>2</x:v>
      </x:c>
      <x:c r="F18" s="714" t="n">
        <x:v>3</x:v>
      </x:c>
      <x:c r="G18" s="714" t="str">
        <x:v>Copertura</x:v>
      </x:c>
      <x:c r="H18" s="714" t="str"/>
      <x:c r="I18" s="715" t="str">
        <x:v>Copertura/ultimo slot: da prendere a 1-2 crediti.</x:v>
      </x:c>
    </x:row>
    <x:row r="19">
      <x:c r="A19" s="713" t="str">
        <x:v>Difensore</x:v>
      </x:c>
      <x:c r="B19" s="714" t="str">
        <x:f>IF((COUNTIF(Asta!$B$4:$B$47,"Goldaniga")+COUNTIF(Asta!$D$4:$D$47,"Goldaniga")+COUNTIF(Asta!$F$4:$F$47,"Goldaniga")+COUNTIF(Asta!$H$4:$H$47,"Goldaniga")+COUNTIF(Asta!$J$4:$J$47,"Goldaniga")+COUNTIF(Asta!$L$4:$L$47,"Goldaniga")+COUNTIF(Asta!$N$4:$N$47,"Goldaniga")+COUNTIF(Asta!$P$4:$P$47,"Goldaniga")+COUNTIF(Asta!$R$4:$R$47,"Goldaniga")+COUNTIF(Asta!$T$4:$T$47,"Goldaniga"))&gt;0,REGEXREPLACE("Goldaniga","(.)","$1"&amp;UNICHAR(822)),"Goldaniga")</x:f>
        <x:v>Goldaniga</x:v>
      </x:c>
      <x:c r="C19" s="714" t="str">
        <x:v>Dc</x:v>
      </x:c>
      <x:c r="D19" s="714" t="str">
        <x:v>Riserva / rotazione</x:v>
      </x:c>
      <x:c r="E19" s="714" t="n">
        <x:v>1</x:v>
      </x:c>
      <x:c r="F19" s="714" t="n">
        <x:v>1</x:v>
      </x:c>
      <x:c r="G19" s="714" t="str">
        <x:v>Copertura</x:v>
      </x:c>
      <x:c r="H19" s="714" t="str"/>
      <x:c r="I19" s="715" t="str">
        <x:v>Copertura/ultimo slot: da prendere a 1-2 crediti.</x:v>
      </x:c>
    </x:row>
    <x:row r="20">
      <x:c r="A20" s="716" t="str">
        <x:v>Centrocampista</x:v>
      </x:c>
      <x:c r="B20" s="717" t="str">
        <x:f>IF((COUNTIF(Asta!$B$4:$B$47,"Paz N.")+COUNTIF(Asta!$D$4:$D$47,"Paz N.")+COUNTIF(Asta!$F$4:$F$47,"Paz N.")+COUNTIF(Asta!$H$4:$H$47,"Paz N.")+COUNTIF(Asta!$J$4:$J$47,"Paz N.")+COUNTIF(Asta!$L$4:$L$47,"Paz N.")+COUNTIF(Asta!$N$4:$N$47,"Paz N.")+COUNTIF(Asta!$P$4:$P$47,"Paz N.")+COUNTIF(Asta!$R$4:$R$47,"Paz N.")+COUNTIF(Asta!$T$4:$T$47,"Paz N."))&gt;0,REGEXREPLACE("Paz N.","(.)","$1"&amp;UNICHAR(822)),"Paz N.")</x:f>
        <x:v>Paz N.</x:v>
      </x:c>
      <x:c r="C20" s="717" t="str">
        <x:v>T;A</x:v>
      </x:c>
      <x:c r="D20" s="717" t="str">
        <x:v>Titolare</x:v>
      </x:c>
      <x:c r="E20" s="717" t="n">
        <x:v>30</x:v>
      </x:c>
      <x:c r="F20" s="717" t="n">
        <x:v>126</x:v>
      </x:c>
      <x:c r="G20" s="717" t="str">
        <x:v>Top</x:v>
      </x:c>
      <x:c r="H20" s="717" t="str">
        <x:v>Piazzati</x:v>
      </x:c>
      <x:c r="I20" s="718" t="str">
        <x:v>Da puntare: titolarità e alto potenziale fantacalcistico. Buon plus: può battere calci piazzati.</x:v>
      </x:c>
    </x:row>
    <x:row r="21">
      <x:c r="A21" s="716" t="str">
        <x:v>Centrocampista</x:v>
      </x:c>
      <x:c r="B21" s="717" t="str">
        <x:f>IF((COUNTIF(Asta!$B$4:$B$47,"Baturina")+COUNTIF(Asta!$D$4:$D$47,"Baturina")+COUNTIF(Asta!$F$4:$F$47,"Baturina")+COUNTIF(Asta!$H$4:$H$47,"Baturina")+COUNTIF(Asta!$J$4:$J$47,"Baturina")+COUNTIF(Asta!$L$4:$L$47,"Baturina")+COUNTIF(Asta!$N$4:$N$47,"Baturina")+COUNTIF(Asta!$P$4:$P$47,"Baturina")+COUNTIF(Asta!$R$4:$R$47,"Baturina")+COUNTIF(Asta!$T$4:$T$47,"Baturina"))&gt;0,REGEXREPLACE("Baturina","(.)","$1"&amp;UNICHAR(822)),"Baturina")</x:f>
        <x:v>Baturina</x:v>
      </x:c>
      <x:c r="C21" s="717" t="str">
        <x:v>T</x:v>
      </x:c>
      <x:c r="D21" s="717" t="str">
        <x:v>Titolare / ballottaggio</x:v>
      </x:c>
      <x:c r="E21" s="717" t="n">
        <x:v>19</x:v>
      </x:c>
      <x:c r="F21" s="717" t="n">
        <x:v>51</x:v>
      </x:c>
      <x:c r="G21" s="717" t="str">
        <x:v>Premium</x:v>
      </x:c>
      <x:c r="H21" s="717" t="str">
        <x:v>Piazzati</x:v>
      </x:c>
      <x:c r="I21" s="718" t="str">
        <x:v>Interessante per bonus, ma non pagarlo come titolare fisso. Buon plus: può battere calci piazzati.</x:v>
      </x:c>
    </x:row>
    <x:row r="22">
      <x:c r="A22" s="716" t="str">
        <x:v>Centrocampista</x:v>
      </x:c>
      <x:c r="B22" s="717" t="str">
        <x:f>IF((COUNTIF(Asta!$B$4:$B$47,"Da Cunha")+COUNTIF(Asta!$D$4:$D$47,"Da Cunha")+COUNTIF(Asta!$F$4:$F$47,"Da Cunha")+COUNTIF(Asta!$H$4:$H$47,"Da Cunha")+COUNTIF(Asta!$J$4:$J$47,"Da Cunha")+COUNTIF(Asta!$L$4:$L$47,"Da Cunha")+COUNTIF(Asta!$N$4:$N$47,"Da Cunha")+COUNTIF(Asta!$P$4:$P$47,"Da Cunha")+COUNTIF(Asta!$R$4:$R$47,"Da Cunha")+COUNTIF(Asta!$T$4:$T$47,"Da Cunha"))&gt;0,REGEXREPLACE("Da Cunha","(.)","$1"&amp;UNICHAR(822)),"Da Cunha")</x:f>
        <x:v>Da Cunha</x:v>
      </x:c>
      <x:c r="C22" s="717" t="str">
        <x:v>C;T</x:v>
      </x:c>
      <x:c r="D22" s="717" t="str">
        <x:v>Titolare</x:v>
      </x:c>
      <x:c r="E22" s="717" t="n">
        <x:v>18</x:v>
      </x:c>
      <x:c r="F22" s="717" t="n">
        <x:v>45</x:v>
      </x:c>
      <x:c r="G22" s="717" t="str">
        <x:v>Premium</x:v>
      </x:c>
      <x:c r="H22" s="717" t="str">
        <x:v>Rigorista</x:v>
      </x:c>
      <x:c r="I22" s="718" t="str">
        <x:v>Da puntare: titolarità e alto potenziale fantacalcistico. Plus importante: è indicato tra i rigoristi.</x:v>
      </x:c>
    </x:row>
    <x:row r="23">
      <x:c r="A23" s="716" t="str">
        <x:v>Centrocampista</x:v>
      </x:c>
      <x:c r="B23" s="717" t="str">
        <x:f>IF((COUNTIF(Asta!$B$4:$B$47,"Perrone")+COUNTIF(Asta!$D$4:$D$47,"Perrone")+COUNTIF(Asta!$F$4:$F$47,"Perrone")+COUNTIF(Asta!$H$4:$H$47,"Perrone")+COUNTIF(Asta!$J$4:$J$47,"Perrone")+COUNTIF(Asta!$L$4:$L$47,"Perrone")+COUNTIF(Asta!$N$4:$N$47,"Perrone")+COUNTIF(Asta!$P$4:$P$47,"Perrone")+COUNTIF(Asta!$R$4:$R$47,"Perrone")+COUNTIF(Asta!$T$4:$T$47,"Perrone"))&gt;0,REGEXREPLACE("Perrone","(.)","$1"&amp;UNICHAR(822)),"Perrone")</x:f>
        <x:v>Perrone</x:v>
      </x:c>
      <x:c r="C23" s="717" t="str">
        <x:v>M;C</x:v>
      </x:c>
      <x:c r="D23" s="717" t="str">
        <x:v>Titolare</x:v>
      </x:c>
      <x:c r="E23" s="717" t="n">
        <x:v>10</x:v>
      </x:c>
      <x:c r="F23" s="717" t="n">
        <x:v>19</x:v>
      </x:c>
      <x:c r="G23" s="717" t="str">
        <x:v>Utile</x:v>
      </x:c>
      <x:c r="H23" s="717" t="str"/>
      <x:c r="I23" s="718" t="str">
        <x:v>Profilo utile per minutaggio e rotazioni; buon rapporto costo/titolarità.</x:v>
      </x:c>
    </x:row>
    <x:row r="24">
      <x:c r="A24" s="716" t="str">
        <x:v>Centrocampista</x:v>
      </x:c>
      <x:c r="B24" s="717" t="str">
        <x:f>IF((COUNTIF(Asta!$B$4:$B$47,"Rodriguez Je.")+COUNTIF(Asta!$D$4:$D$47,"Rodriguez Je.")+COUNTIF(Asta!$F$4:$F$47,"Rodriguez Je.")+COUNTIF(Asta!$H$4:$H$47,"Rodriguez Je.")+COUNTIF(Asta!$J$4:$J$47,"Rodriguez Je.")+COUNTIF(Asta!$L$4:$L$47,"Rodriguez Je.")+COUNTIF(Asta!$N$4:$N$47,"Rodriguez Je.")+COUNTIF(Asta!$P$4:$P$47,"Rodriguez Je.")+COUNTIF(Asta!$R$4:$R$47,"Rodriguez Je.")+COUNTIF(Asta!$T$4:$T$47,"Rodriguez Je."))&gt;0,REGEXREPLACE("Rodriguez Je.","(.)","$1"&amp;UNICHAR(822)),"Rodriguez Je.")</x:f>
        <x:v>Rodriguez Je.</x:v>
      </x:c>
      <x:c r="C24" s="717" t="str">
        <x:v>W;A</x:v>
      </x:c>
      <x:c r="D24" s="717" t="str">
        <x:v>Ballottaggio</x:v>
      </x:c>
      <x:c r="E24" s="717" t="n">
        <x:v>12</x:v>
      </x:c>
      <x:c r="F24" s="717" t="n">
        <x:v>16</x:v>
      </x:c>
      <x:c r="G24" s="717" t="str">
        <x:v>Utile</x:v>
      </x:c>
      <x:c r="H24" s="717" t="str"/>
      <x:c r="I24" s="718" t="str">
        <x:v>Scommessa con upside: prendilo a prezzo controllato.</x:v>
      </x:c>
    </x:row>
    <x:row r="25">
      <x:c r="A25" s="716" t="str">
        <x:v>Centrocampista</x:v>
      </x:c>
      <x:c r="B25" s="717" t="str">
        <x:f>IF((COUNTIF(Asta!$B$4:$B$47,"Liberali")+COUNTIF(Asta!$D$4:$D$47,"Liberali")+COUNTIF(Asta!$F$4:$F$47,"Liberali")+COUNTIF(Asta!$H$4:$H$47,"Liberali")+COUNTIF(Asta!$J$4:$J$47,"Liberali")+COUNTIF(Asta!$L$4:$L$47,"Liberali")+COUNTIF(Asta!$N$4:$N$47,"Liberali")+COUNTIF(Asta!$P$4:$P$47,"Liberali")+COUNTIF(Asta!$R$4:$R$47,"Liberali")+COUNTIF(Asta!$T$4:$T$47,"Liberali"))&gt;0,REGEXREPLACE("Liberali","(.)","$1"&amp;UNICHAR(822)),"Liberali")</x:f>
        <x:v>Liberali</x:v>
      </x:c>
      <x:c r="C25" s="717" t="str">
        <x:v>T</x:v>
      </x:c>
      <x:c r="D25" s="717" t="str">
        <x:v>Riserva / rotazione</x:v>
      </x:c>
      <x:c r="E25" s="717" t="n">
        <x:v>6</x:v>
      </x:c>
      <x:c r="F25" s="717" t="n">
        <x:v>11</x:v>
      </x:c>
      <x:c r="G25" s="717" t="str">
        <x:v>Utile</x:v>
      </x:c>
      <x:c r="H25" s="717" t="str"/>
      <x:c r="I25" s="718" t="str">
        <x:v>Scommessa da ultimi slot, senza sovrapprezzo.</x:v>
      </x:c>
    </x:row>
    <x:row r="26">
      <x:c r="A26" s="716" t="str">
        <x:v>Centrocampista</x:v>
      </x:c>
      <x:c r="B26" s="717" t="str">
        <x:f>IF((COUNTIF(Asta!$B$4:$B$47,"Caqueret")+COUNTIF(Asta!$D$4:$D$47,"Caqueret")+COUNTIF(Asta!$F$4:$F$47,"Caqueret")+COUNTIF(Asta!$H$4:$H$47,"Caqueret")+COUNTIF(Asta!$J$4:$J$47,"Caqueret")+COUNTIF(Asta!$L$4:$L$47,"Caqueret")+COUNTIF(Asta!$N$4:$N$47,"Caqueret")+COUNTIF(Asta!$P$4:$P$47,"Caqueret")+COUNTIF(Asta!$R$4:$R$47,"Caqueret")+COUNTIF(Asta!$T$4:$T$47,"Caqueret"))&gt;0,REGEXREPLACE("Caqueret","(.)","$1"&amp;UNICHAR(822)),"Caqueret")</x:f>
        <x:v>Caqueret</x:v>
      </x:c>
      <x:c r="C26" s="717" t="str">
        <x:v>C;T</x:v>
      </x:c>
      <x:c r="D26" s="717" t="str">
        <x:v>Riserva / rotazione</x:v>
      </x:c>
      <x:c r="E26" s="717" t="n">
        <x:v>6</x:v>
      </x:c>
      <x:c r="F26" s="717" t="n">
        <x:v>10</x:v>
      </x:c>
      <x:c r="G26" s="717" t="str">
        <x:v>Utile</x:v>
      </x:c>
      <x:c r="H26" s="717" t="str"/>
      <x:c r="I26" s="718" t="str">
        <x:v>Scommessa da ultimi slot, senza sovrapprezzo.</x:v>
      </x:c>
    </x:row>
    <x:row r="27">
      <x:c r="A27" s="716" t="str">
        <x:v>Centrocampista</x:v>
      </x:c>
      <x:c r="B27" s="717" t="str">
        <x:f>IF((COUNTIF(Asta!$B$4:$B$47,"Milla")+COUNTIF(Asta!$D$4:$D$47,"Milla")+COUNTIF(Asta!$F$4:$F$47,"Milla")+COUNTIF(Asta!$H$4:$H$47,"Milla")+COUNTIF(Asta!$J$4:$J$47,"Milla")+COUNTIF(Asta!$L$4:$L$47,"Milla")+COUNTIF(Asta!$N$4:$N$47,"Milla")+COUNTIF(Asta!$P$4:$P$47,"Milla")+COUNTIF(Asta!$R$4:$R$47,"Milla")+COUNTIF(Asta!$T$4:$T$47,"Milla"))&gt;0,REGEXREPLACE("Milla","(.)","$1"&amp;UNICHAR(822)),"Milla")</x:f>
        <x:v>Milla</x:v>
      </x:c>
      <x:c r="C27" s="717" t="str">
        <x:v>M;C</x:v>
      </x:c>
      <x:c r="D27" s="717" t="str">
        <x:v>Ballottaggio</x:v>
      </x:c>
      <x:c r="E27" s="717" t="n">
        <x:v>5</x:v>
      </x:c>
      <x:c r="F27" s="717" t="n">
        <x:v>7</x:v>
      </x:c>
      <x:c r="G27" s="717" t="str">
        <x:v>Scommessa</x:v>
      </x:c>
      <x:c r="H27" s="717" t="str">
        <x:v>Piazzati</x:v>
      </x:c>
      <x:c r="I27" s="718" t="str">
        <x:v>Solo a pochi crediti: minutaggio non garantito. Buon plus: può battere calci piazzati.</x:v>
      </x:c>
    </x:row>
    <x:row r="28">
      <x:c r="A28" s="716" t="str">
        <x:v>Centrocampista</x:v>
      </x:c>
      <x:c r="B28" s="717" t="str">
        <x:f>IF((COUNTIF(Asta!$B$4:$B$47,"Addai")+COUNTIF(Asta!$D$4:$D$47,"Addai")+COUNTIF(Asta!$F$4:$F$47,"Addai")+COUNTIF(Asta!$H$4:$H$47,"Addai")+COUNTIF(Asta!$J$4:$J$47,"Addai")+COUNTIF(Asta!$L$4:$L$47,"Addai")+COUNTIF(Asta!$N$4:$N$47,"Addai")+COUNTIF(Asta!$P$4:$P$47,"Addai")+COUNTIF(Asta!$R$4:$R$47,"Addai")+COUNTIF(Asta!$T$4:$T$47,"Addai"))&gt;0,REGEXREPLACE("Addai","(.)","$1"&amp;UNICHAR(822)),"Addai")</x:f>
        <x:v>Addai</x:v>
      </x:c>
      <x:c r="C28" s="717" t="str">
        <x:v>W;A</x:v>
      </x:c>
      <x:c r="D28" s="717" t="str">
        <x:v>Riserva / rotazione</x:v>
      </x:c>
      <x:c r="E28" s="717" t="n">
        <x:v>5</x:v>
      </x:c>
      <x:c r="F28" s="717" t="n">
        <x:v>5</x:v>
      </x:c>
      <x:c r="G28" s="717" t="str">
        <x:v>Scommessa</x:v>
      </x:c>
      <x:c r="H28" s="717" t="str"/>
      <x:c r="I28" s="718" t="str">
        <x:v>Copertura/ultimo slot: da prendere a 1-2 crediti.</x:v>
      </x:c>
    </x:row>
    <x:row r="29">
      <x:c r="A29" s="716" t="str">
        <x:v>Centrocampista</x:v>
      </x:c>
      <x:c r="B29" s="717" t="str">
        <x:f>IF((COUNTIF(Asta!$B$4:$B$47,"Fadera")+COUNTIF(Asta!$D$4:$D$47,"Fadera")+COUNTIF(Asta!$F$4:$F$47,"Fadera")+COUNTIF(Asta!$H$4:$H$47,"Fadera")+COUNTIF(Asta!$J$4:$J$47,"Fadera")+COUNTIF(Asta!$L$4:$L$47,"Fadera")+COUNTIF(Asta!$N$4:$N$47,"Fadera")+COUNTIF(Asta!$P$4:$P$47,"Fadera")+COUNTIF(Asta!$R$4:$R$47,"Fadera")+COUNTIF(Asta!$T$4:$T$47,"Fadera"))&gt;0,REGEXREPLACE("Fadera","(.)","$1"&amp;UNICHAR(822)),"Fadera")</x:f>
        <x:v>Fadera</x:v>
      </x:c>
      <x:c r="C29" s="717" t="str">
        <x:v>W</x:v>
      </x:c>
      <x:c r="D29" s="717" t="str">
        <x:v>Riserva / rotazione</x:v>
      </x:c>
      <x:c r="E29" s="717" t="n">
        <x:v>2</x:v>
      </x:c>
      <x:c r="F29" s="717" t="n">
        <x:v>2</x:v>
      </x:c>
      <x:c r="G29" s="717" t="str">
        <x:v>Copertura</x:v>
      </x:c>
      <x:c r="H29" s="717" t="str"/>
      <x:c r="I29" s="718" t="str">
        <x:v>Copertura/ultimo slot: da prendere a 1-2 crediti.</x:v>
      </x:c>
    </x:row>
    <x:row r="30">
      <x:c r="A30" s="716" t="str">
        <x:v>Centrocampista</x:v>
      </x:c>
      <x:c r="B30" s="717" t="str">
        <x:f>IF((COUNTIF(Asta!$B$4:$B$47,"Lahdo")+COUNTIF(Asta!$D$4:$D$47,"Lahdo")+COUNTIF(Asta!$F$4:$F$47,"Lahdo")+COUNTIF(Asta!$H$4:$H$47,"Lahdo")+COUNTIF(Asta!$J$4:$J$47,"Lahdo")+COUNTIF(Asta!$L$4:$L$47,"Lahdo")+COUNTIF(Asta!$N$4:$N$47,"Lahdo")+COUNTIF(Asta!$P$4:$P$47,"Lahdo")+COUNTIF(Asta!$R$4:$R$47,"Lahdo")+COUNTIF(Asta!$T$4:$T$47,"Lahdo"))&gt;0,REGEXREPLACE("Lahdo","(.)","$1"&amp;UNICHAR(822)),"Lahdo")</x:f>
        <x:v>Lahdo</x:v>
      </x:c>
      <x:c r="C30" s="717" t="str">
        <x:v>C;T</x:v>
      </x:c>
      <x:c r="D30" s="717" t="str">
        <x:v>Riserva / rotazione</x:v>
      </x:c>
      <x:c r="E30" s="717" t="n">
        <x:v>1</x:v>
      </x:c>
      <x:c r="F30" s="717" t="n">
        <x:v>1</x:v>
      </x:c>
      <x:c r="G30" s="717" t="str">
        <x:v>Copertura</x:v>
      </x:c>
      <x:c r="H30" s="717" t="str"/>
      <x:c r="I30" s="718" t="str">
        <x:v>Copertura/ultimo slot: da prendere a 1-2 crediti.</x:v>
      </x:c>
    </x:row>
    <x:row r="31">
      <x:c r="A31" s="719" t="str">
        <x:v>Attaccante</x:v>
      </x:c>
      <x:c r="B31" s="720" t="str">
        <x:f>IF((COUNTIF(Asta!$B$4:$B$47,"Douvikas")+COUNTIF(Asta!$D$4:$D$47,"Douvikas")+COUNTIF(Asta!$F$4:$F$47,"Douvikas")+COUNTIF(Asta!$H$4:$H$47,"Douvikas")+COUNTIF(Asta!$J$4:$J$47,"Douvikas")+COUNTIF(Asta!$L$4:$L$47,"Douvikas")+COUNTIF(Asta!$N$4:$N$47,"Douvikas")+COUNTIF(Asta!$P$4:$P$47,"Douvikas")+COUNTIF(Asta!$R$4:$R$47,"Douvikas")+COUNTIF(Asta!$T$4:$T$47,"Douvikas"))&gt;0,REGEXREPLACE("Douvikas","(.)","$1"&amp;UNICHAR(822)),"Douvikas")</x:f>
        <x:v>Douvikas</x:v>
      </x:c>
      <x:c r="C31" s="720" t="str">
        <x:v>Pc</x:v>
      </x:c>
      <x:c r="D31" s="720" t="str">
        <x:v>Ballottaggio</x:v>
      </x:c>
      <x:c r="E31" s="720" t="n">
        <x:v>20</x:v>
      </x:c>
      <x:c r="F31" s="720" t="n">
        <x:v>79</x:v>
      </x:c>
      <x:c r="G31" s="720" t="str">
        <x:v>Premium</x:v>
      </x:c>
      <x:c r="H31" s="720" t="str">
        <x:v>Rigorista</x:v>
      </x:c>
      <x:c r="I31" s="721" t="str">
        <x:v>Interessante per bonus, ma non pagarlo come titolare fisso. Plus importante: è indicato tra i rigoristi.</x:v>
      </x:c>
    </x:row>
    <x:row r="32">
      <x:c r="A32" s="719" t="str">
        <x:v>Attaccante</x:v>
      </x:c>
      <x:c r="B32" s="720" t="str">
        <x:f>IF((COUNTIF(Asta!$B$4:$B$47,"Diao")+COUNTIF(Asta!$D$4:$D$47,"Diao")+COUNTIF(Asta!$F$4:$F$47,"Diao")+COUNTIF(Asta!$H$4:$H$47,"Diao")+COUNTIF(Asta!$J$4:$J$47,"Diao")+COUNTIF(Asta!$L$4:$L$47,"Diao")+COUNTIF(Asta!$N$4:$N$47,"Diao")+COUNTIF(Asta!$P$4:$P$47,"Diao")+COUNTIF(Asta!$R$4:$R$47,"Diao")+COUNTIF(Asta!$T$4:$T$47,"Diao"))&gt;0,REGEXREPLACE("Diao","(.)","$1"&amp;UNICHAR(822)),"Diao")</x:f>
        <x:v>Diao</x:v>
      </x:c>
      <x:c r="C32" s="720" t="str">
        <x:v>W;A</x:v>
      </x:c>
      <x:c r="D32" s="720" t="str">
        <x:v>Titolare / ballottaggio</x:v>
      </x:c>
      <x:c r="E32" s="720" t="n">
        <x:v>11</x:v>
      </x:c>
      <x:c r="F32" s="720" t="n">
        <x:v>25</x:v>
      </x:c>
      <x:c r="G32" s="720" t="str">
        <x:v>Buon titolare</x:v>
      </x:c>
      <x:c r="H32" s="720" t="str"/>
      <x:c r="I32" s="721" t="str">
        <x:v>Interessante per bonus, ma non pagarlo come titolare fisso.</x:v>
      </x:c>
    </x:row>
    <x:row r="33">
      <x:c r="A33" s="719" t="str">
        <x:v>Attaccante</x:v>
      </x:c>
      <x:c r="B33" s="720" t="str">
        <x:f>IF((COUNTIF(Asta!$B$4:$B$47,"Morata")+COUNTIF(Asta!$D$4:$D$47,"Morata")+COUNTIF(Asta!$F$4:$F$47,"Morata")+COUNTIF(Asta!$H$4:$H$47,"Morata")+COUNTIF(Asta!$J$4:$J$47,"Morata")+COUNTIF(Asta!$L$4:$L$47,"Morata")+COUNTIF(Asta!$N$4:$N$47,"Morata")+COUNTIF(Asta!$P$4:$P$47,"Morata")+COUNTIF(Asta!$R$4:$R$47,"Morata")+COUNTIF(Asta!$T$4:$T$47,"Morata"))&gt;0,REGEXREPLACE("Morata","(.)","$1"&amp;UNICHAR(822)),"Morata")</x:f>
        <x:v>Morata</x:v>
      </x:c>
      <x:c r="C33" s="720" t="str">
        <x:v>Pc</x:v>
      </x:c>
      <x:c r="D33" s="720" t="str">
        <x:v>Riserva / rotazione</x:v>
      </x:c>
      <x:c r="E33" s="720" t="n">
        <x:v>4</x:v>
      </x:c>
      <x:c r="F33" s="720" t="n">
        <x:v>5</x:v>
      </x:c>
      <x:c r="G33" s="720" t="str">
        <x:v>Scommessa</x:v>
      </x:c>
      <x:c r="H33" s="720" t="str"/>
      <x:c r="I33" s="721" t="str">
        <x:v>Copertura/ultimo slot: da prendere a 1-2 crediti.</x:v>
      </x:c>
    </x:row>
    <x:row r="34">
      <x:c r="A34" s="719" t="str">
        <x:v>Attaccante</x:v>
      </x:c>
      <x:c r="B34" s="720" t="str">
        <x:f>IF((COUNTIF(Asta!$B$4:$B$47,"Kuhn")+COUNTIF(Asta!$D$4:$D$47,"Kuhn")+COUNTIF(Asta!$F$4:$F$47,"Kuhn")+COUNTIF(Asta!$H$4:$H$47,"Kuhn")+COUNTIF(Asta!$J$4:$J$47,"Kuhn")+COUNTIF(Asta!$L$4:$L$47,"Kuhn")+COUNTIF(Asta!$N$4:$N$47,"Kuhn")+COUNTIF(Asta!$P$4:$P$47,"Kuhn")+COUNTIF(Asta!$R$4:$R$47,"Kuhn")+COUNTIF(Asta!$T$4:$T$47,"Kuhn"))&gt;0,REGEXREPLACE("Kuhn","(.)","$1"&amp;UNICHAR(822)),"Kuhn")</x:f>
        <x:v>Kuhn</x:v>
      </x:c>
      <x:c r="C34" s="720" t="str">
        <x:v>W;A</x:v>
      </x:c>
      <x:c r="D34" s="720" t="str">
        <x:v>Riserva / rotazione</x:v>
      </x:c>
      <x:c r="E34" s="720" t="n">
        <x:v>3</x:v>
      </x:c>
      <x:c r="F34" s="720" t="n">
        <x:v>3</x:v>
      </x:c>
      <x:c r="G34" s="720" t="str">
        <x:v>Copertura</x:v>
      </x:c>
      <x:c r="H34" s="720" t="str"/>
      <x:c r="I34" s="721" t="str">
        <x:v>Copertura/ultimo slot: da prendere a 1-2 crediti.</x:v>
      </x:c>
    </x:row>
    <x:row r="35">
      <x:c r="A35" s="722" t="str">
        <x:v>Attaccante</x:v>
      </x:c>
      <x:c r="B35" s="723" t="str">
        <x:f>IF((COUNTIF(Asta!$B$4:$B$47,"Azon")+COUNTIF(Asta!$D$4:$D$47,"Azon")+COUNTIF(Asta!$F$4:$F$47,"Azon")+COUNTIF(Asta!$H$4:$H$47,"Azon")+COUNTIF(Asta!$J$4:$J$47,"Azon")+COUNTIF(Asta!$L$4:$L$47,"Azon")+COUNTIF(Asta!$N$4:$N$47,"Azon")+COUNTIF(Asta!$P$4:$P$47,"Azon")+COUNTIF(Asta!$R$4:$R$47,"Azon")+COUNTIF(Asta!$T$4:$T$47,"Azon"))&gt;0,REGEXREPLACE("Azon","(.)","$1"&amp;UNICHAR(822)),"Azon")</x:f>
        <x:v>Azon</x:v>
      </x:c>
      <x:c r="C35" s="723" t="str">
        <x:v>Pc</x:v>
      </x:c>
      <x:c r="D35" s="723" t="str">
        <x:v>Riserva / rotazione</x:v>
      </x:c>
      <x:c r="E35" s="723" t="n">
        <x:v>1</x:v>
      </x:c>
      <x:c r="F35" s="723" t="n">
        <x:v>1</x:v>
      </x:c>
      <x:c r="G35" s="723" t="str">
        <x:v>Copertura</x:v>
      </x:c>
      <x:c r="H35" s="723" t="str"/>
      <x:c r="I35" s="724" t="str">
        <x:v>Copertura/ultimo slot: da prendere a 1-2 crediti.</x:v>
      </x:c>
    </x:row>
    <x:row r="37">
      <x:c r="A37" s="630" t="str">
        <x:v>Fonte formazione/ballottaggi/rigoristi: Fantacalcio.it, aggiornamento 09/09/2026 — https://www.fantacalcio.it/news/calcio-italia/06_08_2026/asta-fantacalcio-le-probabili-formazioni-della-serie-a-enilive-2026-27-495558</x:v>
      </x:c>
      <x:c r="B37" s="630"/>
      <x:c r="C37" s="630"/>
      <x:c r="D37" s="630"/>
      <x:c r="E37" s="630"/>
      <x:c r="F37" s="630"/>
      <x:c r="G37" s="630"/>
      <x:c r="H37" s="630"/>
      <x:c r="I37" s="630"/>
    </x:row>
  </x:sheetData>
  <x:mergeCells>
    <x:mergeCell ref="A1:I1"/>
    <x:mergeCell ref="B4:I4"/>
    <x:mergeCell ref="B5:I5"/>
    <x:mergeCell ref="D3:I3"/>
    <x:mergeCell ref="D6:I6"/>
    <x:mergeCell ref="A37:I37"/>
  </x:mergeCells>
  <x:conditionalFormatting sqref="D9:D35">
    <x:cfRule type="expression" dxfId="10" priority="1">
      <x:formula>D9="Titolare"</x:formula>
    </x:cfRule>
    <x:cfRule type="expression" dxfId="11" priority="2">
      <x:formula>ISNUMBER(SEARCH("Ballottaggio",D9))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1" hidden="0" customWidth="1"/>
    <x:col min="3" max="3" width="18" hidden="0" customWidth="1"/>
    <x:col min="4" max="4" width="23" hidden="0" customWidth="1"/>
    <x:col min="5" max="5" width="11" hidden="0" customWidth="1"/>
    <x:col min="6" max="6" width="12" hidden="0" customWidth="1"/>
    <x:col min="7" max="7" width="24" hidden="0" customWidth="1"/>
    <x:col min="8" max="8" width="20" hidden="0" customWidth="1"/>
    <x:col min="9" max="9" width="48" hidden="0" customWidth="1"/>
  </x:cols>
  <x:sheetData>
    <x:row r="1" ht="30" customHeight="1">
      <x:c r="A1" s="642" t="str">
        <x:v>FIORENTINA — GUIDA ASTA 2026/27</x:v>
      </x:c>
      <x:c r="B1" s="643"/>
      <x:c r="C1" s="643"/>
      <x:c r="D1" s="643"/>
      <x:c r="E1" s="643"/>
      <x:c r="F1" s="643"/>
      <x:c r="G1" s="643"/>
      <x:c r="H1" s="643"/>
      <x:c r="I1" s="644"/>
    </x:row>
    <x:row r="3">
      <x:c r="A3" s="663" t="str">
        <x:v>Allenatore</x:v>
      </x:c>
      <x:c r="B3" s="681" t="str">
        <x:v>Paolo Vanoli</x:v>
      </x:c>
      <x:c r="C3" s="673" t="str">
        <x:v>Modulo</x:v>
      </x:c>
      <x:c r="D3" s="681" t="str">
        <x:v>4-3-3</x:v>
      </x:c>
      <x:c r="E3" s="681"/>
      <x:c r="F3" s="681"/>
      <x:c r="G3" s="681"/>
      <x:c r="H3" s="681"/>
      <x:c r="I3" s="682"/>
    </x:row>
    <x:row r="4" ht="38" customHeight="1">
      <x:c r="A4" s="664" t="str">
        <x:v>Formazione titolare</x:v>
      </x:c>
      <x:c r="B4" s="683" t="str">
        <x:v>De Gea; Jimenez, Dragusin, Viery, Valdepenas; Ndour, Fagioli, Atta; Mastantuono, Beto, Goncalves</x:v>
      </x:c>
      <x:c r="C4" s="676" t="str"/>
      <x:c r="D4" s="683" t="str"/>
      <x:c r="E4" s="683"/>
      <x:c r="F4" s="683"/>
      <x:c r="G4" s="683"/>
      <x:c r="H4" s="683"/>
      <x:c r="I4" s="684"/>
    </x:row>
    <x:row r="5" ht="38" customHeight="1">
      <x:c r="A5" s="664" t="str">
        <x:v>Ballottaggi</x:v>
      </x:c>
      <x:c r="B5" s="683" t="str">
        <x:v>Jimenez/Joao Mario; Viery/Pongracic; Fagioli/Oulai; Goncalves/Njie; Beto/Pellegrino</x:v>
      </x:c>
      <x:c r="C5" s="676" t="str"/>
      <x:c r="D5" s="683" t="str"/>
      <x:c r="E5" s="683"/>
      <x:c r="F5" s="683"/>
      <x:c r="G5" s="683"/>
      <x:c r="H5" s="683"/>
      <x:c r="I5" s="684"/>
    </x:row>
    <x:row r="6">
      <x:c r="A6" s="665" t="str">
        <x:v>Rigoristi</x:v>
      </x:c>
      <x:c r="B6" s="685" t="str">
        <x:v>Beto, Pellegrino, Goncalves</x:v>
      </x:c>
      <x:c r="C6" s="679" t="str">
        <x:v>Calci piazzati</x:v>
      </x:c>
      <x:c r="D6" s="685" t="str">
        <x:v>Mastantuono, Atta, Goncalves</x:v>
      </x:c>
      <x:c r="E6" s="685"/>
      <x:c r="F6" s="685"/>
      <x:c r="G6" s="685"/>
      <x:c r="H6" s="685"/>
      <x:c r="I6" s="686"/>
    </x:row>
    <x:row r="8" ht="30" customHeight="1">
      <x:c r="A8" s="698" t="str">
        <x:v>Ruolo</x:v>
      </x:c>
      <x:c r="B8" s="699" t="str">
        <x:v>Calciatore</x:v>
      </x:c>
      <x:c r="C8" s="699" t="str">
        <x:v>Posizione</x:v>
      </x:c>
      <x:c r="D8" s="699" t="str">
        <x:v>Status</x:v>
      </x:c>
      <x:c r="E8" s="699" t="str">
        <x:v>Quotazione</x:v>
      </x:c>
      <x:c r="F8" s="699" t="str">
        <x:v>FVM su 504</x:v>
      </x:c>
      <x:c r="G8" s="699" t="str">
        <x:v>Fascia asta</x:v>
      </x:c>
      <x:c r="H8" s="699" t="str">
        <x:v>Specialità</x:v>
      </x:c>
      <x:c r="I8" s="700" t="str">
        <x:v>Consiglio Fantacalcio</x:v>
      </x:c>
    </x:row>
    <x:row r="9">
      <x:c r="A9" s="707" t="str">
        <x:v>Portiere</x:v>
      </x:c>
      <x:c r="B9" s="708" t="str">
        <x:f>IF((COUNTIF(Asta!$B$4:$B$47,"De Gea")+COUNTIF(Asta!$D$4:$D$47,"De Gea")+COUNTIF(Asta!$F$4:$F$47,"De Gea")+COUNTIF(Asta!$H$4:$H$47,"De Gea")+COUNTIF(Asta!$J$4:$J$47,"De Gea")+COUNTIF(Asta!$L$4:$L$47,"De Gea")+COUNTIF(Asta!$N$4:$N$47,"De Gea")+COUNTIF(Asta!$P$4:$P$47,"De Gea")+COUNTIF(Asta!$R$4:$R$47,"De Gea")+COUNTIF(Asta!$T$4:$T$47,"De Gea"))&gt;0,REGEXREPLACE("De Gea","(.)","$1"&amp;UNICHAR(822)),"De Gea")</x:f>
        <x:v>De Gea</x:v>
      </x:c>
      <x:c r="C9" s="708" t="str">
        <x:v>Por</x:v>
      </x:c>
      <x:c r="D9" s="708" t="str">
        <x:v>Titolare</x:v>
      </x:c>
      <x:c r="E9" s="708" t="n">
        <x:v>13</x:v>
      </x:c>
      <x:c r="F9" s="708" t="n">
        <x:v>23</x:v>
      </x:c>
      <x:c r="G9" s="708" t="str">
        <x:v>Buon titolare</x:v>
      </x:c>
      <x:c r="H9" s="708" t="str"/>
      <x:c r="I9" s="709" t="str">
        <x:v>Portiere da prendere come titolare di reparto; profilo affidabile per continuità.</x:v>
      </x:c>
    </x:row>
    <x:row r="10">
      <x:c r="A10" s="710" t="str">
        <x:v>Portiere</x:v>
      </x:c>
      <x:c r="B10" s="711" t="str">
        <x:f>IF((COUNTIF(Asta!$B$4:$B$47,"Christensen O.")+COUNTIF(Asta!$D$4:$D$47,"Christensen O.")+COUNTIF(Asta!$F$4:$F$47,"Christensen O.")+COUNTIF(Asta!$H$4:$H$47,"Christensen O.")+COUNTIF(Asta!$J$4:$J$47,"Christensen O.")+COUNTIF(Asta!$L$4:$L$47,"Christensen O.")+COUNTIF(Asta!$N$4:$N$47,"Christensen O.")+COUNTIF(Asta!$P$4:$P$47,"Christensen O.")+COUNTIF(Asta!$R$4:$R$47,"Christensen O.")+COUNTIF(Asta!$T$4:$T$47,"Christensen O."))&gt;0,REGEXREPLACE("Christensen O.","(.)","$1"&amp;UNICHAR(822)),"Christensen O.")</x:f>
        <x:v>Christensen O.</x:v>
      </x:c>
      <x:c r="C10" s="711" t="str">
        <x:v>Por</x:v>
      </x:c>
      <x:c r="D10" s="711" t="str">
        <x:v>Riserva / rotazione</x:v>
      </x:c>
      <x:c r="E10" s="711" t="n">
        <x:v>1</x:v>
      </x:c>
      <x:c r="F10" s="711" t="n">
        <x:v>1</x:v>
      </x:c>
      <x:c r="G10" s="711" t="str">
        <x:v>Copertura</x:v>
      </x:c>
      <x:c r="H10" s="711" t="str"/>
      <x:c r="I10" s="712" t="str">
        <x:v>Solo come secondo/terzo portiere o copertura del titolare.</x:v>
      </x:c>
    </x:row>
    <x:row r="11">
      <x:c r="A11" s="710" t="str">
        <x:v>Portiere</x:v>
      </x:c>
      <x:c r="B11" s="711" t="str">
        <x:f>IF((COUNTIF(Asta!$B$4:$B$47,"Lezzerini")+COUNTIF(Asta!$D$4:$D$47,"Lezzerini")+COUNTIF(Asta!$F$4:$F$47,"Lezzerini")+COUNTIF(Asta!$H$4:$H$47,"Lezzerini")+COUNTIF(Asta!$J$4:$J$47,"Lezzerini")+COUNTIF(Asta!$L$4:$L$47,"Lezzerini")+COUNTIF(Asta!$N$4:$N$47,"Lezzerini")+COUNTIF(Asta!$P$4:$P$47,"Lezzerini")+COUNTIF(Asta!$R$4:$R$47,"Lezzerini")+COUNTIF(Asta!$T$4:$T$47,"Lezzerini"))&gt;0,REGEXREPLACE("Lezzerini","(.)","$1"&amp;UNICHAR(822)),"Lezzerini")</x:f>
        <x:v>Lezzerini</x:v>
      </x:c>
      <x:c r="C11" s="711" t="str">
        <x:v>Por</x:v>
      </x:c>
      <x:c r="D11" s="711" t="str">
        <x:v>Riserva / rotazione</x:v>
      </x:c>
      <x:c r="E11" s="711" t="n">
        <x:v>1</x:v>
      </x:c>
      <x:c r="F11" s="711" t="n">
        <x:v>1</x:v>
      </x:c>
      <x:c r="G11" s="711" t="str">
        <x:v>Copertura</x:v>
      </x:c>
      <x:c r="H11" s="711" t="str"/>
      <x:c r="I11" s="712" t="str">
        <x:v>Solo come secondo/terzo portiere o copertura del titolare.</x:v>
      </x:c>
    </x:row>
    <x:row r="12">
      <x:c r="A12" s="713" t="str">
        <x:v>Difensore</x:v>
      </x:c>
      <x:c r="B12" s="714" t="str">
        <x:f>IF((COUNTIF(Asta!$B$4:$B$47,"Dodò")+COUNTIF(Asta!$D$4:$D$47,"Dodò")+COUNTIF(Asta!$F$4:$F$47,"Dodò")+COUNTIF(Asta!$H$4:$H$47,"Dodò")+COUNTIF(Asta!$J$4:$J$47,"Dodò")+COUNTIF(Asta!$L$4:$L$47,"Dodò")+COUNTIF(Asta!$N$4:$N$47,"Dodò")+COUNTIF(Asta!$P$4:$P$47,"Dodò")+COUNTIF(Asta!$R$4:$R$47,"Dodò")+COUNTIF(Asta!$T$4:$T$47,"Dodò"))&gt;0,REGEXREPLACE("Dodò","(.)","$1"&amp;UNICHAR(822)),"Dodò")</x:f>
        <x:v>Dodò</x:v>
      </x:c>
      <x:c r="C12" s="714" t="str">
        <x:v>Dd;E</x:v>
      </x:c>
      <x:c r="D12" s="714" t="str">
        <x:v>Riserva / rotazione</x:v>
      </x:c>
      <x:c r="E12" s="714" t="n">
        <x:v>10</x:v>
      </x:c>
      <x:c r="F12" s="714" t="n">
        <x:v>15</x:v>
      </x:c>
      <x:c r="G12" s="714" t="str">
        <x:v>Utile</x:v>
      </x:c>
      <x:c r="H12" s="714" t="str"/>
      <x:c r="I12" s="715" t="str">
        <x:v>Scommessa da ultimi slot, senza sovrapprezzo.</x:v>
      </x:c>
    </x:row>
    <x:row r="13">
      <x:c r="A13" s="713" t="str">
        <x:v>Difensore</x:v>
      </x:c>
      <x:c r="B13" s="714" t="str">
        <x:f>IF((COUNTIF(Asta!$B$4:$B$47,"Dragusin")+COUNTIF(Asta!$D$4:$D$47,"Dragusin")+COUNTIF(Asta!$F$4:$F$47,"Dragusin")+COUNTIF(Asta!$H$4:$H$47,"Dragusin")+COUNTIF(Asta!$J$4:$J$47,"Dragusin")+COUNTIF(Asta!$L$4:$L$47,"Dragusin")+COUNTIF(Asta!$N$4:$N$47,"Dragusin")+COUNTIF(Asta!$P$4:$P$47,"Dragusin")+COUNTIF(Asta!$R$4:$R$47,"Dragusin")+COUNTIF(Asta!$T$4:$T$47,"Dragusin"))&gt;0,REGEXREPLACE("Dragusin","(.)","$1"&amp;UNICHAR(822)),"Dragusin")</x:f>
        <x:v>Dragusin</x:v>
      </x:c>
      <x:c r="C13" s="714" t="str">
        <x:v>Dc</x:v>
      </x:c>
      <x:c r="D13" s="714" t="str">
        <x:v>Titolare</x:v>
      </x:c>
      <x:c r="E13" s="714" t="n">
        <x:v>8</x:v>
      </x:c>
      <x:c r="F13" s="714" t="n">
        <x:v>14</x:v>
      </x:c>
      <x:c r="G13" s="714" t="str">
        <x:v>Utile</x:v>
      </x:c>
      <x:c r="H13" s="714" t="str"/>
      <x:c r="I13" s="715" t="str">
        <x:v>Profilo utile per minutaggio e rotazioni; buon rapporto costo/titolarità.</x:v>
      </x:c>
    </x:row>
    <x:row r="14">
      <x:c r="A14" s="713" t="str">
        <x:v>Difensore</x:v>
      </x:c>
      <x:c r="B14" s="714" t="str">
        <x:f>IF((COUNTIF(Asta!$B$4:$B$47,"Jimenez A.")+COUNTIF(Asta!$D$4:$D$47,"Jimenez A.")+COUNTIF(Asta!$F$4:$F$47,"Jimenez A.")+COUNTIF(Asta!$H$4:$H$47,"Jimenez A.")+COUNTIF(Asta!$J$4:$J$47,"Jimenez A.")+COUNTIF(Asta!$L$4:$L$47,"Jimenez A.")+COUNTIF(Asta!$N$4:$N$47,"Jimenez A.")+COUNTIF(Asta!$P$4:$P$47,"Jimenez A.")+COUNTIF(Asta!$R$4:$R$47,"Jimenez A.")+COUNTIF(Asta!$T$4:$T$47,"Jimenez A."))&gt;0,REGEXREPLACE("Jimenez A.","(.)","$1"&amp;UNICHAR(822)),"Jimenez A.")</x:f>
        <x:v>Jimenez A.</x:v>
      </x:c>
      <x:c r="C14" s="714" t="str">
        <x:v>Dd;Ds;E</x:v>
      </x:c>
      <x:c r="D14" s="714" t="str">
        <x:v>Titolare / ballottaggio</x:v>
      </x:c>
      <x:c r="E14" s="714" t="n">
        <x:v>8</x:v>
      </x:c>
      <x:c r="F14" s="714" t="n">
        <x:v>12</x:v>
      </x:c>
      <x:c r="G14" s="714" t="str">
        <x:v>Utile</x:v>
      </x:c>
      <x:c r="H14" s="714" t="str"/>
      <x:c r="I14" s="715" t="str">
        <x:v>Scommessa con upside: prendilo a prezzo controllato.</x:v>
      </x:c>
    </x:row>
    <x:row r="15">
      <x:c r="A15" s="713" t="str">
        <x:v>Difensore</x:v>
      </x:c>
      <x:c r="B15" s="714" t="str">
        <x:f>IF((COUNTIF(Asta!$B$4:$B$47,"Viery")+COUNTIF(Asta!$D$4:$D$47,"Viery")+COUNTIF(Asta!$F$4:$F$47,"Viery")+COUNTIF(Asta!$H$4:$H$47,"Viery")+COUNTIF(Asta!$J$4:$J$47,"Viery")+COUNTIF(Asta!$L$4:$L$47,"Viery")+COUNTIF(Asta!$N$4:$N$47,"Viery")+COUNTIF(Asta!$P$4:$P$47,"Viery")+COUNTIF(Asta!$R$4:$R$47,"Viery")+COUNTIF(Asta!$T$4:$T$47,"Viery"))&gt;0,REGEXREPLACE("Viery","(.)","$1"&amp;UNICHAR(822)),"Viery")</x:f>
        <x:v>Viery</x:v>
      </x:c>
      <x:c r="C15" s="714" t="str">
        <x:v>Ds;Dc</x:v>
      </x:c>
      <x:c r="D15" s="714" t="str">
        <x:v>Titolare / ballottaggio</x:v>
      </x:c>
      <x:c r="E15" s="714" t="n">
        <x:v>6</x:v>
      </x:c>
      <x:c r="F15" s="714" t="n">
        <x:v>10</x:v>
      </x:c>
      <x:c r="G15" s="714" t="str">
        <x:v>Scommessa</x:v>
      </x:c>
      <x:c r="H15" s="714" t="str"/>
      <x:c r="I15" s="715" t="str">
        <x:v>Solo a pochi crediti: minutaggio non garantito.</x:v>
      </x:c>
    </x:row>
    <x:row r="16">
      <x:c r="A16" s="713" t="str">
        <x:v>Difensore</x:v>
      </x:c>
      <x:c r="B16" s="714" t="str">
        <x:f>IF((COUNTIF(Asta!$B$4:$B$47,"Valdepenas")+COUNTIF(Asta!$D$4:$D$47,"Valdepenas")+COUNTIF(Asta!$F$4:$F$47,"Valdepenas")+COUNTIF(Asta!$H$4:$H$47,"Valdepenas")+COUNTIF(Asta!$J$4:$J$47,"Valdepenas")+COUNTIF(Asta!$L$4:$L$47,"Valdepenas")+COUNTIF(Asta!$N$4:$N$47,"Valdepenas")+COUNTIF(Asta!$P$4:$P$47,"Valdepenas")+COUNTIF(Asta!$R$4:$R$47,"Valdepenas")+COUNTIF(Asta!$T$4:$T$47,"Valdepenas"))&gt;0,REGEXREPLACE("Valdepenas","(.)","$1"&amp;UNICHAR(822)),"Valdepenas")</x:f>
        <x:v>Valdepenas</x:v>
      </x:c>
      <x:c r="C16" s="714" t="str">
        <x:v>Ds;Dc</x:v>
      </x:c>
      <x:c r="D16" s="714" t="str">
        <x:v>Titolare</x:v>
      </x:c>
      <x:c r="E16" s="714" t="n">
        <x:v>6</x:v>
      </x:c>
      <x:c r="F16" s="714" t="n">
        <x:v>9</x:v>
      </x:c>
      <x:c r="G16" s="714" t="str">
        <x:v>Scommessa</x:v>
      </x:c>
      <x:c r="H16" s="714" t="str"/>
      <x:c r="I16" s="715" t="str">
        <x:v>Titolare low cost: utile per completare il reparto.</x:v>
      </x:c>
    </x:row>
    <x:row r="17">
      <x:c r="A17" s="713" t="str">
        <x:v>Difensore</x:v>
      </x:c>
      <x:c r="B17" s="714" t="str">
        <x:f>IF((COUNTIF(Asta!$B$4:$B$47,"Parisi")+COUNTIF(Asta!$D$4:$D$47,"Parisi")+COUNTIF(Asta!$F$4:$F$47,"Parisi")+COUNTIF(Asta!$H$4:$H$47,"Parisi")+COUNTIF(Asta!$J$4:$J$47,"Parisi")+COUNTIF(Asta!$L$4:$L$47,"Parisi")+COUNTIF(Asta!$N$4:$N$47,"Parisi")+COUNTIF(Asta!$P$4:$P$47,"Parisi")+COUNTIF(Asta!$R$4:$R$47,"Parisi")+COUNTIF(Asta!$T$4:$T$47,"Parisi"))&gt;0,REGEXREPLACE("Parisi","(.)","$1"&amp;UNICHAR(822)),"Parisi")</x:f>
        <x:v>Parisi</x:v>
      </x:c>
      <x:c r="C17" s="714" t="str">
        <x:v>Ds;E</x:v>
      </x:c>
      <x:c r="D17" s="714" t="str">
        <x:v>Riserva / rotazione</x:v>
      </x:c>
      <x:c r="E17" s="714" t="n">
        <x:v>5</x:v>
      </x:c>
      <x:c r="F17" s="714" t="n">
        <x:v>6</x:v>
      </x:c>
      <x:c r="G17" s="714" t="str">
        <x:v>Scommessa</x:v>
      </x:c>
      <x:c r="H17" s="714" t="str"/>
      <x:c r="I17" s="715" t="str">
        <x:v>Copertura/ultimo slot: da prendere a 1-2 crediti.</x:v>
      </x:c>
    </x:row>
    <x:row r="18">
      <x:c r="A18" s="713" t="str">
        <x:v>Difensore</x:v>
      </x:c>
      <x:c r="B18" s="714" t="str">
        <x:f>IF((COUNTIF(Asta!$B$4:$B$47,"Pongracic")+COUNTIF(Asta!$D$4:$D$47,"Pongracic")+COUNTIF(Asta!$F$4:$F$47,"Pongracic")+COUNTIF(Asta!$H$4:$H$47,"Pongracic")+COUNTIF(Asta!$J$4:$J$47,"Pongracic")+COUNTIF(Asta!$L$4:$L$47,"Pongracic")+COUNTIF(Asta!$N$4:$N$47,"Pongracic")+COUNTIF(Asta!$P$4:$P$47,"Pongracic")+COUNTIF(Asta!$R$4:$R$47,"Pongracic")+COUNTIF(Asta!$T$4:$T$47,"Pongracic"))&gt;0,REGEXREPLACE("Pongracic","(.)","$1"&amp;UNICHAR(822)),"Pongracic")</x:f>
        <x:v>Pongracic</x:v>
      </x:c>
      <x:c r="C18" s="714" t="str">
        <x:v>Dc</x:v>
      </x:c>
      <x:c r="D18" s="714" t="str">
        <x:v>Ballottaggio</x:v>
      </x:c>
      <x:c r="E18" s="714" t="n">
        <x:v>4</x:v>
      </x:c>
      <x:c r="F18" s="714" t="n">
        <x:v>4</x:v>
      </x:c>
      <x:c r="G18" s="714" t="str">
        <x:v>Scommessa</x:v>
      </x:c>
      <x:c r="H18" s="714" t="str"/>
      <x:c r="I18" s="715" t="str">
        <x:v>Solo a pochi crediti: minutaggio non garantito.</x:v>
      </x:c>
    </x:row>
    <x:row r="19">
      <x:c r="A19" s="713" t="str">
        <x:v>Difensore</x:v>
      </x:c>
      <x:c r="B19" s="714" t="str">
        <x:f>IF((COUNTIF(Asta!$B$4:$B$47,"Joao Mario")+COUNTIF(Asta!$D$4:$D$47,"Joao Mario")+COUNTIF(Asta!$F$4:$F$47,"Joao Mario")+COUNTIF(Asta!$H$4:$H$47,"Joao Mario")+COUNTIF(Asta!$J$4:$J$47,"Joao Mario")+COUNTIF(Asta!$L$4:$L$47,"Joao Mario")+COUNTIF(Asta!$N$4:$N$47,"Joao Mario")+COUNTIF(Asta!$P$4:$P$47,"Joao Mario")+COUNTIF(Asta!$R$4:$R$47,"Joao Mario")+COUNTIF(Asta!$T$4:$T$47,"Joao Mario"))&gt;0,REGEXREPLACE("Joao Mario","(.)","$1"&amp;UNICHAR(822)),"Joao Mario")</x:f>
        <x:v>Joao Mario</x:v>
      </x:c>
      <x:c r="C19" s="714" t="str">
        <x:v>Dd;E</x:v>
      </x:c>
      <x:c r="D19" s="714" t="str">
        <x:v>Ballottaggio</x:v>
      </x:c>
      <x:c r="E19" s="714" t="n">
        <x:v>3</x:v>
      </x:c>
      <x:c r="F19" s="714" t="n">
        <x:v>4</x:v>
      </x:c>
      <x:c r="G19" s="714" t="str">
        <x:v>Copertura</x:v>
      </x:c>
      <x:c r="H19" s="714" t="str"/>
      <x:c r="I19" s="715" t="str">
        <x:v>Solo a pochi crediti: minutaggio non garantito.</x:v>
      </x:c>
    </x:row>
    <x:row r="20">
      <x:c r="A20" s="713" t="str">
        <x:v>Difensore</x:v>
      </x:c>
      <x:c r="B20" s="714" t="str">
        <x:f>IF((COUNTIF(Asta!$B$4:$B$47,"Ranieri L.")+COUNTIF(Asta!$D$4:$D$47,"Ranieri L.")+COUNTIF(Asta!$F$4:$F$47,"Ranieri L.")+COUNTIF(Asta!$H$4:$H$47,"Ranieri L.")+COUNTIF(Asta!$J$4:$J$47,"Ranieri L.")+COUNTIF(Asta!$L$4:$L$47,"Ranieri L.")+COUNTIF(Asta!$N$4:$N$47,"Ranieri L.")+COUNTIF(Asta!$P$4:$P$47,"Ranieri L.")+COUNTIF(Asta!$R$4:$R$47,"Ranieri L.")+COUNTIF(Asta!$T$4:$T$47,"Ranieri L."))&gt;0,REGEXREPLACE("Ranieri L.","(.)","$1"&amp;UNICHAR(822)),"Ranieri L.")</x:f>
        <x:v>Ranieri L.</x:v>
      </x:c>
      <x:c r="C20" s="714" t="str">
        <x:v>Ds;Dc</x:v>
      </x:c>
      <x:c r="D20" s="714" t="str">
        <x:v>Riserva / rotazione</x:v>
      </x:c>
      <x:c r="E20" s="714" t="n">
        <x:v>3</x:v>
      </x:c>
      <x:c r="F20" s="714" t="n">
        <x:v>4</x:v>
      </x:c>
      <x:c r="G20" s="714" t="str">
        <x:v>Copertura</x:v>
      </x:c>
      <x:c r="H20" s="714" t="str"/>
      <x:c r="I20" s="715" t="str">
        <x:v>Copertura/ultimo slot: da prendere a 1-2 crediti.</x:v>
      </x:c>
    </x:row>
    <x:row r="21">
      <x:c r="A21" s="716" t="str">
        <x:v>Centrocampista</x:v>
      </x:c>
      <x:c r="B21" s="717" t="str">
        <x:f>IF((COUNTIF(Asta!$B$4:$B$47,"Atta")+COUNTIF(Asta!$D$4:$D$47,"Atta")+COUNTIF(Asta!$F$4:$F$47,"Atta")+COUNTIF(Asta!$H$4:$H$47,"Atta")+COUNTIF(Asta!$J$4:$J$47,"Atta")+COUNTIF(Asta!$L$4:$L$47,"Atta")+COUNTIF(Asta!$N$4:$N$47,"Atta")+COUNTIF(Asta!$P$4:$P$47,"Atta")+COUNTIF(Asta!$R$4:$R$47,"Atta")+COUNTIF(Asta!$T$4:$T$47,"Atta"))&gt;0,REGEXREPLACE("Atta","(.)","$1"&amp;UNICHAR(822)),"Atta")</x:f>
        <x:v>Atta</x:v>
      </x:c>
      <x:c r="C21" s="717" t="str">
        <x:v>C;T</x:v>
      </x:c>
      <x:c r="D21" s="717" t="str">
        <x:v>Titolare</x:v>
      </x:c>
      <x:c r="E21" s="717" t="n">
        <x:v>17</x:v>
      </x:c>
      <x:c r="F21" s="717" t="n">
        <x:v>44</x:v>
      </x:c>
      <x:c r="G21" s="717" t="str">
        <x:v>Buon titolare</x:v>
      </x:c>
      <x:c r="H21" s="717" t="str">
        <x:v>Piazzati</x:v>
      </x:c>
      <x:c r="I21" s="718" t="str">
        <x:v>Buon titolare di rosa, da prendere senza inseguire troppo il prezzo. Buon plus: può battere calci piazzati.</x:v>
      </x:c>
    </x:row>
    <x:row r="22">
      <x:c r="A22" s="716" t="str">
        <x:v>Centrocampista</x:v>
      </x:c>
      <x:c r="B22" s="717" t="str">
        <x:f>IF((COUNTIF(Asta!$B$4:$B$47,"Gudmundsson A.")+COUNTIF(Asta!$D$4:$D$47,"Gudmundsson A.")+COUNTIF(Asta!$F$4:$F$47,"Gudmundsson A.")+COUNTIF(Asta!$H$4:$H$47,"Gudmundsson A.")+COUNTIF(Asta!$J$4:$J$47,"Gudmundsson A.")+COUNTIF(Asta!$L$4:$L$47,"Gudmundsson A.")+COUNTIF(Asta!$N$4:$N$47,"Gudmundsson A.")+COUNTIF(Asta!$P$4:$P$47,"Gudmundsson A.")+COUNTIF(Asta!$R$4:$R$47,"Gudmundsson A.")+COUNTIF(Asta!$T$4:$T$47,"Gudmundsson A."))&gt;0,REGEXREPLACE("Gudmundsson A.","(.)","$1"&amp;UNICHAR(822)),"Gudmundsson A.")</x:f>
        <x:v>Gudmundsson A.</x:v>
      </x:c>
      <x:c r="C22" s="717" t="str">
        <x:v>T;A</x:v>
      </x:c>
      <x:c r="D22" s="717" t="str">
        <x:v>Riserva / rotazione</x:v>
      </x:c>
      <x:c r="E22" s="717" t="n">
        <x:v>13</x:v>
      </x:c>
      <x:c r="F22" s="717" t="n">
        <x:v>31</x:v>
      </x:c>
      <x:c r="G22" s="717" t="str">
        <x:v>Buon titolare con rischio minutaggio</x:v>
      </x:c>
      <x:c r="H22" s="717" t="str"/>
      <x:c r="I22" s="718" t="str">
        <x:v>Qualità interessante ma minutaggio incerto: occasione solo se il prezzo scende.</x:v>
      </x:c>
    </x:row>
    <x:row r="23">
      <x:c r="A23" s="716" t="str">
        <x:v>Centrocampista</x:v>
      </x:c>
      <x:c r="B23" s="717" t="str">
        <x:f>IF((COUNTIF(Asta!$B$4:$B$47,"Mandragora")+COUNTIF(Asta!$D$4:$D$47,"Mandragora")+COUNTIF(Asta!$F$4:$F$47,"Mandragora")+COUNTIF(Asta!$H$4:$H$47,"Mandragora")+COUNTIF(Asta!$J$4:$J$47,"Mandragora")+COUNTIF(Asta!$L$4:$L$47,"Mandragora")+COUNTIF(Asta!$N$4:$N$47,"Mandragora")+COUNTIF(Asta!$P$4:$P$47,"Mandragora")+COUNTIF(Asta!$R$4:$R$47,"Mandragora")+COUNTIF(Asta!$T$4:$T$47,"Mandragora"))&gt;0,REGEXREPLACE("Mandragora","(.)","$1"&amp;UNICHAR(822)),"Mandragora")</x:f>
        <x:v>Mandragora</x:v>
      </x:c>
      <x:c r="C23" s="717" t="str">
        <x:v>C</x:v>
      </x:c>
      <x:c r="D23" s="717" t="str">
        <x:v>Riserva / rotazione</x:v>
      </x:c>
      <x:c r="E23" s="717" t="n">
        <x:v>9</x:v>
      </x:c>
      <x:c r="F23" s="717" t="n">
        <x:v>14</x:v>
      </x:c>
      <x:c r="G23" s="717" t="str">
        <x:v>Utile</x:v>
      </x:c>
      <x:c r="H23" s="717" t="str"/>
      <x:c r="I23" s="718" t="str">
        <x:v>Scommessa da ultimi slot, senza sovrapprezzo.</x:v>
      </x:c>
    </x:row>
    <x:row r="24">
      <x:c r="A24" s="716" t="str">
        <x:v>Centrocampista</x:v>
      </x:c>
      <x:c r="B24" s="717" t="str">
        <x:f>IF((COUNTIF(Asta!$B$4:$B$47,"Ndour")+COUNTIF(Asta!$D$4:$D$47,"Ndour")+COUNTIF(Asta!$F$4:$F$47,"Ndour")+COUNTIF(Asta!$H$4:$H$47,"Ndour")+COUNTIF(Asta!$J$4:$J$47,"Ndour")+COUNTIF(Asta!$L$4:$L$47,"Ndour")+COUNTIF(Asta!$N$4:$N$47,"Ndour")+COUNTIF(Asta!$P$4:$P$47,"Ndour")+COUNTIF(Asta!$R$4:$R$47,"Ndour")+COUNTIF(Asta!$T$4:$T$47,"Ndour"))&gt;0,REGEXREPLACE("Ndour","(.)","$1"&amp;UNICHAR(822)),"Ndour")</x:f>
        <x:v>Ndour</x:v>
      </x:c>
      <x:c r="C24" s="717" t="str">
        <x:v>C</x:v>
      </x:c>
      <x:c r="D24" s="717" t="str">
        <x:v>Titolare</x:v>
      </x:c>
      <x:c r="E24" s="717" t="n">
        <x:v>8</x:v>
      </x:c>
      <x:c r="F24" s="717" t="n">
        <x:v>13</x:v>
      </x:c>
      <x:c r="G24" s="717" t="str">
        <x:v>Utile</x:v>
      </x:c>
      <x:c r="H24" s="717" t="str"/>
      <x:c r="I24" s="718" t="str">
        <x:v>Profilo utile per minutaggio e rotazioni; buon rapporto costo/titolarità.</x:v>
      </x:c>
    </x:row>
    <x:row r="25">
      <x:c r="A25" s="716" t="str">
        <x:v>Centrocampista</x:v>
      </x:c>
      <x:c r="B25" s="717" t="str">
        <x:f>IF((COUNTIF(Asta!$B$4:$B$47,"Fagioli")+COUNTIF(Asta!$D$4:$D$47,"Fagioli")+COUNTIF(Asta!$F$4:$F$47,"Fagioli")+COUNTIF(Asta!$H$4:$H$47,"Fagioli")+COUNTIF(Asta!$J$4:$J$47,"Fagioli")+COUNTIF(Asta!$L$4:$L$47,"Fagioli")+COUNTIF(Asta!$N$4:$N$47,"Fagioli")+COUNTIF(Asta!$P$4:$P$47,"Fagioli")+COUNTIF(Asta!$R$4:$R$47,"Fagioli")+COUNTIF(Asta!$T$4:$T$47,"Fagioli"))&gt;0,REGEXREPLACE("Fagioli","(.)","$1"&amp;UNICHAR(822)),"Fagioli")</x:f>
        <x:v>Fagioli</x:v>
      </x:c>
      <x:c r="C25" s="717" t="str">
        <x:v>M;C</x:v>
      </x:c>
      <x:c r="D25" s="717" t="str">
        <x:v>Titolare / ballottaggio</x:v>
      </x:c>
      <x:c r="E25" s="717" t="n">
        <x:v>8</x:v>
      </x:c>
      <x:c r="F25" s="717" t="n">
        <x:v>12</x:v>
      </x:c>
      <x:c r="G25" s="717" t="str">
        <x:v>Utile</x:v>
      </x:c>
      <x:c r="H25" s="717" t="str"/>
      <x:c r="I25" s="718" t="str">
        <x:v>Scommessa con upside: prendilo a prezzo controllato.</x:v>
      </x:c>
    </x:row>
    <x:row r="26">
      <x:c r="A26" s="716" t="str">
        <x:v>Centrocampista</x:v>
      </x:c>
      <x:c r="B26" s="717" t="str">
        <x:f>IF((COUNTIF(Asta!$B$4:$B$47,"Oulai")+COUNTIF(Asta!$D$4:$D$47,"Oulai")+COUNTIF(Asta!$F$4:$F$47,"Oulai")+COUNTIF(Asta!$H$4:$H$47,"Oulai")+COUNTIF(Asta!$J$4:$J$47,"Oulai")+COUNTIF(Asta!$L$4:$L$47,"Oulai")+COUNTIF(Asta!$N$4:$N$47,"Oulai")+COUNTIF(Asta!$P$4:$P$47,"Oulai")+COUNTIF(Asta!$R$4:$R$47,"Oulai")+COUNTIF(Asta!$T$4:$T$47,"Oulai"))&gt;0,REGEXREPLACE("Oulai","(.)","$1"&amp;UNICHAR(822)),"Oulai")</x:f>
        <x:v>Oulai</x:v>
      </x:c>
      <x:c r="C26" s="717" t="str">
        <x:v>M;C</x:v>
      </x:c>
      <x:c r="D26" s="717" t="str">
        <x:v>Ballottaggio</x:v>
      </x:c>
      <x:c r="E26" s="717" t="n">
        <x:v>6</x:v>
      </x:c>
      <x:c r="F26" s="717" t="n">
        <x:v>10</x:v>
      </x:c>
      <x:c r="G26" s="717" t="str">
        <x:v>Utile</x:v>
      </x:c>
      <x:c r="H26" s="717" t="str"/>
      <x:c r="I26" s="718" t="str">
        <x:v>Scommessa con upside: prendilo a prezzo controllato.</x:v>
      </x:c>
    </x:row>
    <x:row r="27">
      <x:c r="A27" s="716" t="str">
        <x:v>Centrocampista</x:v>
      </x:c>
      <x:c r="B27" s="717" t="str">
        <x:f>IF((COUNTIF(Asta!$B$4:$B$47,"Fabbian")+COUNTIF(Asta!$D$4:$D$47,"Fabbian")+COUNTIF(Asta!$F$4:$F$47,"Fabbian")+COUNTIF(Asta!$H$4:$H$47,"Fabbian")+COUNTIF(Asta!$J$4:$J$47,"Fabbian")+COUNTIF(Asta!$L$4:$L$47,"Fabbian")+COUNTIF(Asta!$N$4:$N$47,"Fabbian")+COUNTIF(Asta!$P$4:$P$47,"Fabbian")+COUNTIF(Asta!$R$4:$R$47,"Fabbian")+COUNTIF(Asta!$T$4:$T$47,"Fabbian"))&gt;0,REGEXREPLACE("Fabbian","(.)","$1"&amp;UNICHAR(822)),"Fabbian")</x:f>
        <x:v>Fabbian</x:v>
      </x:c>
      <x:c r="C27" s="717" t="str">
        <x:v>C;T</x:v>
      </x:c>
      <x:c r="D27" s="717" t="str">
        <x:v>Riserva / rotazione</x:v>
      </x:c>
      <x:c r="E27" s="717" t="n">
        <x:v>4</x:v>
      </x:c>
      <x:c r="F27" s="717" t="n">
        <x:v>4</x:v>
      </x:c>
      <x:c r="G27" s="717" t="str">
        <x:v>Scommessa</x:v>
      </x:c>
      <x:c r="H27" s="717" t="str"/>
      <x:c r="I27" s="718" t="str">
        <x:v>Copertura/ultimo slot: da prendere a 1-2 crediti.</x:v>
      </x:c>
    </x:row>
    <x:row r="28">
      <x:c r="A28" s="716" t="str">
        <x:v>Centrocampista</x:v>
      </x:c>
      <x:c r="B28" s="717" t="str">
        <x:f>IF((COUNTIF(Asta!$B$4:$B$47,"Brescianini")+COUNTIF(Asta!$D$4:$D$47,"Brescianini")+COUNTIF(Asta!$F$4:$F$47,"Brescianini")+COUNTIF(Asta!$H$4:$H$47,"Brescianini")+COUNTIF(Asta!$J$4:$J$47,"Brescianini")+COUNTIF(Asta!$L$4:$L$47,"Brescianini")+COUNTIF(Asta!$N$4:$N$47,"Brescianini")+COUNTIF(Asta!$P$4:$P$47,"Brescianini")+COUNTIF(Asta!$R$4:$R$47,"Brescianini")+COUNTIF(Asta!$T$4:$T$47,"Brescianini"))&gt;0,REGEXREPLACE("Brescianini","(.)","$1"&amp;UNICHAR(822)),"Brescianini")</x:f>
        <x:v>Brescianini</x:v>
      </x:c>
      <x:c r="C28" s="717" t="str">
        <x:v>C;T</x:v>
      </x:c>
      <x:c r="D28" s="717" t="str">
        <x:v>Riserva / rotazione</x:v>
      </x:c>
      <x:c r="E28" s="717" t="n">
        <x:v>3</x:v>
      </x:c>
      <x:c r="F28" s="717" t="n">
        <x:v>4</x:v>
      </x:c>
      <x:c r="G28" s="717" t="str">
        <x:v>Copertura</x:v>
      </x:c>
      <x:c r="H28" s="717" t="str"/>
      <x:c r="I28" s="718" t="str">
        <x:v>Copertura/ultimo slot: da prendere a 1-2 crediti.</x:v>
      </x:c>
    </x:row>
    <x:row r="29">
      <x:c r="A29" s="719" t="str">
        <x:v>Attaccante</x:v>
      </x:c>
      <x:c r="B29" s="720" t="str">
        <x:f>IF((COUNTIF(Asta!$B$4:$B$47,"Kean")+COUNTIF(Asta!$D$4:$D$47,"Kean")+COUNTIF(Asta!$F$4:$F$47,"Kean")+COUNTIF(Asta!$H$4:$H$47,"Kean")+COUNTIF(Asta!$J$4:$J$47,"Kean")+COUNTIF(Asta!$L$4:$L$47,"Kean")+COUNTIF(Asta!$N$4:$N$47,"Kean")+COUNTIF(Asta!$P$4:$P$47,"Kean")+COUNTIF(Asta!$R$4:$R$47,"Kean")+COUNTIF(Asta!$T$4:$T$47,"Kean"))&gt;0,REGEXREPLACE("Kean","(.)","$1"&amp;UNICHAR(822)),"Kean")</x:f>
        <x:v>Kean</x:v>
      </x:c>
      <x:c r="C29" s="720" t="str">
        <x:v>Pc</x:v>
      </x:c>
      <x:c r="D29" s="720" t="str">
        <x:v>Riserva / rotazione</x:v>
      </x:c>
      <x:c r="E29" s="720" t="n">
        <x:v>25</x:v>
      </x:c>
      <x:c r="F29" s="720" t="n">
        <x:v>107</x:v>
      </x:c>
      <x:c r="G29" s="720" t="str">
        <x:v>Top con rischio minutaggio</x:v>
      </x:c>
      <x:c r="H29" s="720" t="str"/>
      <x:c r="I29" s="721" t="str">
        <x:v>Qualità interessante ma minutaggio incerto: occasione solo se il prezzo scende.</x:v>
      </x:c>
    </x:row>
    <x:row r="30">
      <x:c r="A30" s="722" t="str">
        <x:v>Attaccante</x:v>
      </x:c>
      <x:c r="B30" s="723" t="str">
        <x:f>IF((COUNTIF(Asta!$B$4:$B$47,"Piccoli")+COUNTIF(Asta!$D$4:$D$47,"Piccoli")+COUNTIF(Asta!$F$4:$F$47,"Piccoli")+COUNTIF(Asta!$H$4:$H$47,"Piccoli")+COUNTIF(Asta!$J$4:$J$47,"Piccoli")+COUNTIF(Asta!$L$4:$L$47,"Piccoli")+COUNTIF(Asta!$N$4:$N$47,"Piccoli")+COUNTIF(Asta!$P$4:$P$47,"Piccoli")+COUNTIF(Asta!$R$4:$R$47,"Piccoli")+COUNTIF(Asta!$T$4:$T$47,"Piccoli"))&gt;0,REGEXREPLACE("Piccoli","(.)","$1"&amp;UNICHAR(822)),"Piccoli")</x:f>
        <x:v>Piccoli</x:v>
      </x:c>
      <x:c r="C30" s="723" t="str">
        <x:v>Pc</x:v>
      </x:c>
      <x:c r="D30" s="723" t="str">
        <x:v>Riserva / rotazione</x:v>
      </x:c>
      <x:c r="E30" s="723" t="n">
        <x:v>8</x:v>
      </x:c>
      <x:c r="F30" s="723" t="n">
        <x:v>12</x:v>
      </x:c>
      <x:c r="G30" s="723" t="str">
        <x:v>Utile</x:v>
      </x:c>
      <x:c r="H30" s="723" t="str"/>
      <x:c r="I30" s="724" t="str">
        <x:v>Scommessa da ultimi slot, senza sovrapprezzo.</x:v>
      </x:c>
    </x:row>
    <x:row r="32">
      <x:c r="A32" s="630" t="str">
        <x:v>Fonte formazione/ballottaggi/rigoristi: Fantacalcio.it, aggiornamento 09/09/2026 — https://www.fantacalcio.it/news/calcio-italia/06_08_2026/asta-fantacalcio-le-probabili-formazioni-della-serie-a-enilive-2026-27-495558</x:v>
      </x:c>
      <x:c r="B32" s="630"/>
      <x:c r="C32" s="630"/>
      <x:c r="D32" s="630"/>
      <x:c r="E32" s="630"/>
      <x:c r="F32" s="630"/>
      <x:c r="G32" s="630"/>
      <x:c r="H32" s="630"/>
      <x:c r="I32" s="630"/>
    </x:row>
  </x:sheetData>
  <x:mergeCells>
    <x:mergeCell ref="A1:I1"/>
    <x:mergeCell ref="B4:I4"/>
    <x:mergeCell ref="B5:I5"/>
    <x:mergeCell ref="D3:I3"/>
    <x:mergeCell ref="D6:I6"/>
    <x:mergeCell ref="A32:I32"/>
  </x:mergeCells>
  <x:conditionalFormatting sqref="D9:D30">
    <x:cfRule type="expression" dxfId="12" priority="1">
      <x:formula>D9="Titolare"</x:formula>
    </x:cfRule>
    <x:cfRule type="expression" dxfId="13" priority="2">
      <x:formula>ISNUMBER(SEARCH("Ballottaggio",D9))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1" hidden="0" customWidth="1"/>
    <x:col min="3" max="3" width="18" hidden="0" customWidth="1"/>
    <x:col min="4" max="4" width="23" hidden="0" customWidth="1"/>
    <x:col min="5" max="5" width="11" hidden="0" customWidth="1"/>
    <x:col min="6" max="6" width="12" hidden="0" customWidth="1"/>
    <x:col min="7" max="7" width="24" hidden="0" customWidth="1"/>
    <x:col min="8" max="8" width="20" hidden="0" customWidth="1"/>
    <x:col min="9" max="9" width="48" hidden="0" customWidth="1"/>
  </x:cols>
  <x:sheetData>
    <x:row r="1" ht="30" customHeight="1">
      <x:c r="A1" s="642" t="str">
        <x:v>FROSINONE — GUIDA ASTA 2026/27</x:v>
      </x:c>
      <x:c r="B1" s="643"/>
      <x:c r="C1" s="643"/>
      <x:c r="D1" s="643"/>
      <x:c r="E1" s="643"/>
      <x:c r="F1" s="643"/>
      <x:c r="G1" s="643"/>
      <x:c r="H1" s="643"/>
      <x:c r="I1" s="644"/>
    </x:row>
    <x:row r="3">
      <x:c r="A3" s="663" t="str">
        <x:v>Allenatore</x:v>
      </x:c>
      <x:c r="B3" s="681" t="str">
        <x:v>Massimiliano Alvini</x:v>
      </x:c>
      <x:c r="C3" s="673" t="str">
        <x:v>Modulo</x:v>
      </x:c>
      <x:c r="D3" s="681" t="str">
        <x:v>4-2-3-1</x:v>
      </x:c>
      <x:c r="E3" s="681"/>
      <x:c r="F3" s="681"/>
      <x:c r="G3" s="681"/>
      <x:c r="H3" s="681"/>
      <x:c r="I3" s="682"/>
    </x:row>
    <x:row r="4" ht="38" customHeight="1">
      <x:c r="A4" s="664" t="str">
        <x:v>Formazione titolare</x:v>
      </x:c>
      <x:c r="B4" s="683" t="str">
        <x:v>Palmisani; Oyono, Calvani, Monterisi, Bracaglia; Grillitsch, Calò; Ghedjemis, Schimd, Kvernadze; Raimondo</x:v>
      </x:c>
      <x:c r="C4" s="676" t="str"/>
      <x:c r="D4" s="683" t="str"/>
      <x:c r="E4" s="683"/>
      <x:c r="F4" s="683"/>
      <x:c r="G4" s="683"/>
      <x:c r="H4" s="683"/>
      <x:c r="I4" s="684"/>
    </x:row>
    <x:row r="5" ht="38" customHeight="1">
      <x:c r="A5" s="664" t="str">
        <x:v>Ballottaggi</x:v>
      </x:c>
      <x:c r="B5" s="683" t="str">
        <x:v>Oyono/Tchato; Bracaglia/Terzic; Masini/Grillitsch; Raimondo/Bobcek</x:v>
      </x:c>
      <x:c r="C5" s="676" t="str"/>
      <x:c r="D5" s="683" t="str"/>
      <x:c r="E5" s="683"/>
      <x:c r="F5" s="683"/>
      <x:c r="G5" s="683"/>
      <x:c r="H5" s="683"/>
      <x:c r="I5" s="684"/>
    </x:row>
    <x:row r="6">
      <x:c r="A6" s="665" t="str">
        <x:v>Rigoristi</x:v>
      </x:c>
      <x:c r="B6" s="685" t="str">
        <x:v>Calò, Schimd, Bobcek</x:v>
      </x:c>
      <x:c r="C6" s="679" t="str">
        <x:v>Calci piazzati</x:v>
      </x:c>
      <x:c r="D6" s="685" t="str">
        <x:v>Calò, Schimd, Ghedjemis</x:v>
      </x:c>
      <x:c r="E6" s="685"/>
      <x:c r="F6" s="685"/>
      <x:c r="G6" s="685"/>
      <x:c r="H6" s="685"/>
      <x:c r="I6" s="686"/>
    </x:row>
    <x:row r="8" ht="30" customHeight="1">
      <x:c r="A8" s="698" t="str">
        <x:v>Ruolo</x:v>
      </x:c>
      <x:c r="B8" s="699" t="str">
        <x:v>Calciatore</x:v>
      </x:c>
      <x:c r="C8" s="699" t="str">
        <x:v>Posizione</x:v>
      </x:c>
      <x:c r="D8" s="699" t="str">
        <x:v>Status</x:v>
      </x:c>
      <x:c r="E8" s="699" t="str">
        <x:v>Quotazione</x:v>
      </x:c>
      <x:c r="F8" s="699" t="str">
        <x:v>FVM su 504</x:v>
      </x:c>
      <x:c r="G8" s="699" t="str">
        <x:v>Fascia asta</x:v>
      </x:c>
      <x:c r="H8" s="699" t="str">
        <x:v>Specialità</x:v>
      </x:c>
      <x:c r="I8" s="700" t="str">
        <x:v>Consiglio Fantacalcio</x:v>
      </x:c>
    </x:row>
    <x:row r="9">
      <x:c r="A9" s="707" t="str">
        <x:v>Portiere</x:v>
      </x:c>
      <x:c r="B9" s="708" t="str">
        <x:f>IF((COUNTIF(Asta!$B$4:$B$47,"Desplanches")+COUNTIF(Asta!$D$4:$D$47,"Desplanches")+COUNTIF(Asta!$F$4:$F$47,"Desplanches")+COUNTIF(Asta!$H$4:$H$47,"Desplanches")+COUNTIF(Asta!$J$4:$J$47,"Desplanches")+COUNTIF(Asta!$L$4:$L$47,"Desplanches")+COUNTIF(Asta!$N$4:$N$47,"Desplanches")+COUNTIF(Asta!$P$4:$P$47,"Desplanches")+COUNTIF(Asta!$R$4:$R$47,"Desplanches")+COUNTIF(Asta!$T$4:$T$47,"Desplanches"))&gt;0,REGEXREPLACE("Desplanches","(.)","$1"&amp;UNICHAR(822)),"Desplanches")</x:f>
        <x:v>Desplanches</x:v>
      </x:c>
      <x:c r="C9" s="708" t="str">
        <x:v>Por</x:v>
      </x:c>
      <x:c r="D9" s="708" t="str">
        <x:v>Riserva / rotazione</x:v>
      </x:c>
      <x:c r="E9" s="708" t="n">
        <x:v>2</x:v>
      </x:c>
      <x:c r="F9" s="708" t="n">
        <x:v>4</x:v>
      </x:c>
      <x:c r="G9" s="708" t="str">
        <x:v>Scommessa</x:v>
      </x:c>
      <x:c r="H9" s="708" t="str"/>
      <x:c r="I9" s="709" t="str">
        <x:v>Solo come secondo/terzo portiere o copertura del titolare.</x:v>
      </x:c>
    </x:row>
    <x:row r="10">
      <x:c r="A10" s="710" t="str">
        <x:v>Portiere</x:v>
      </x:c>
      <x:c r="B10" s="711" t="str">
        <x:f>IF((COUNTIF(Asta!$B$4:$B$47,"Palmisani")+COUNTIF(Asta!$D$4:$D$47,"Palmisani")+COUNTIF(Asta!$F$4:$F$47,"Palmisani")+COUNTIF(Asta!$H$4:$H$47,"Palmisani")+COUNTIF(Asta!$J$4:$J$47,"Palmisani")+COUNTIF(Asta!$L$4:$L$47,"Palmisani")+COUNTIF(Asta!$N$4:$N$47,"Palmisani")+COUNTIF(Asta!$P$4:$P$47,"Palmisani")+COUNTIF(Asta!$R$4:$R$47,"Palmisani")+COUNTIF(Asta!$T$4:$T$47,"Palmisani"))&gt;0,REGEXREPLACE("Palmisani","(.)","$1"&amp;UNICHAR(822)),"Palmisani")</x:f>
        <x:v>Palmisani</x:v>
      </x:c>
      <x:c r="C10" s="711" t="str">
        <x:v>Por</x:v>
      </x:c>
      <x:c r="D10" s="711" t="str">
        <x:v>Titolare</x:v>
      </x:c>
      <x:c r="E10" s="711" t="n">
        <x:v>4</x:v>
      </x:c>
      <x:c r="F10" s="711" t="n">
        <x:v>4</x:v>
      </x:c>
      <x:c r="G10" s="711" t="str">
        <x:v>Scommessa</x:v>
      </x:c>
      <x:c r="H10" s="711" t="str"/>
      <x:c r="I10" s="712" t="str">
        <x:v>Portiere da prendere come titolare di reparto, meglio se abbinato a un secondo portiere affidabile.</x:v>
      </x:c>
    </x:row>
    <x:row r="11">
      <x:c r="A11" s="710" t="str">
        <x:v>Portiere</x:v>
      </x:c>
      <x:c r="B11" s="711" t="str">
        <x:f>IF((COUNTIF(Asta!$B$4:$B$47,"Lolic")+COUNTIF(Asta!$D$4:$D$47,"Lolic")+COUNTIF(Asta!$F$4:$F$47,"Lolic")+COUNTIF(Asta!$H$4:$H$47,"Lolic")+COUNTIF(Asta!$J$4:$J$47,"Lolic")+COUNTIF(Asta!$L$4:$L$47,"Lolic")+COUNTIF(Asta!$N$4:$N$47,"Lolic")+COUNTIF(Asta!$P$4:$P$47,"Lolic")+COUNTIF(Asta!$R$4:$R$47,"Lolic")+COUNTIF(Asta!$T$4:$T$47,"Lolic"))&gt;0,REGEXREPLACE("Lolic","(.)","$1"&amp;UNICHAR(822)),"Lolic")</x:f>
        <x:v>Lolic</x:v>
      </x:c>
      <x:c r="C11" s="711" t="str">
        <x:v>Por</x:v>
      </x:c>
      <x:c r="D11" s="711" t="str">
        <x:v>Riserva / rotazione</x:v>
      </x:c>
      <x:c r="E11" s="711" t="n">
        <x:v>1</x:v>
      </x:c>
      <x:c r="F11" s="711" t="n">
        <x:v>1</x:v>
      </x:c>
      <x:c r="G11" s="711" t="str">
        <x:v>Copertura</x:v>
      </x:c>
      <x:c r="H11" s="711" t="str"/>
      <x:c r="I11" s="712" t="str">
        <x:v>Solo come secondo/terzo portiere o copertura del titolare.</x:v>
      </x:c>
    </x:row>
    <x:row r="12">
      <x:c r="A12" s="713" t="str">
        <x:v>Difensore</x:v>
      </x:c>
      <x:c r="B12" s="714" t="str">
        <x:f>IF((COUNTIF(Asta!$B$4:$B$47,"Monterisi")+COUNTIF(Asta!$D$4:$D$47,"Monterisi")+COUNTIF(Asta!$F$4:$F$47,"Monterisi")+COUNTIF(Asta!$H$4:$H$47,"Monterisi")+COUNTIF(Asta!$J$4:$J$47,"Monterisi")+COUNTIF(Asta!$L$4:$L$47,"Monterisi")+COUNTIF(Asta!$N$4:$N$47,"Monterisi")+COUNTIF(Asta!$P$4:$P$47,"Monterisi")+COUNTIF(Asta!$R$4:$R$47,"Monterisi")+COUNTIF(Asta!$T$4:$T$47,"Monterisi"))&gt;0,REGEXREPLACE("Monterisi","(.)","$1"&amp;UNICHAR(822)),"Monterisi")</x:f>
        <x:v>Monterisi</x:v>
      </x:c>
      <x:c r="C12" s="714" t="str">
        <x:v>Dc</x:v>
      </x:c>
      <x:c r="D12" s="714" t="str">
        <x:v>Titolare</x:v>
      </x:c>
      <x:c r="E12" s="714" t="n">
        <x:v>6</x:v>
      </x:c>
      <x:c r="F12" s="714" t="n">
        <x:v>7</x:v>
      </x:c>
      <x:c r="G12" s="714" t="str">
        <x:v>Scommessa</x:v>
      </x:c>
      <x:c r="H12" s="714" t="str"/>
      <x:c r="I12" s="715" t="str">
        <x:v>Titolare low cost: utile per completare il reparto.</x:v>
      </x:c>
    </x:row>
    <x:row r="13">
      <x:c r="A13" s="713" t="str">
        <x:v>Difensore</x:v>
      </x:c>
      <x:c r="B13" s="714" t="str">
        <x:f>IF((COUNTIF(Asta!$B$4:$B$47,"Oyono A.")+COUNTIF(Asta!$D$4:$D$47,"Oyono A.")+COUNTIF(Asta!$F$4:$F$47,"Oyono A.")+COUNTIF(Asta!$H$4:$H$47,"Oyono A.")+COUNTIF(Asta!$J$4:$J$47,"Oyono A.")+COUNTIF(Asta!$L$4:$L$47,"Oyono A.")+COUNTIF(Asta!$N$4:$N$47,"Oyono A.")+COUNTIF(Asta!$P$4:$P$47,"Oyono A.")+COUNTIF(Asta!$R$4:$R$47,"Oyono A.")+COUNTIF(Asta!$T$4:$T$47,"Oyono A."))&gt;0,REGEXREPLACE("Oyono A.","(.)","$1"&amp;UNICHAR(822)),"Oyono A.")</x:f>
        <x:v>Oyono A.</x:v>
      </x:c>
      <x:c r="C13" s="714" t="str">
        <x:v>Dd;E</x:v>
      </x:c>
      <x:c r="D13" s="714" t="str">
        <x:v>Titolare / ballottaggio</x:v>
      </x:c>
      <x:c r="E13" s="714" t="n">
        <x:v>5</x:v>
      </x:c>
      <x:c r="F13" s="714" t="n">
        <x:v>6</x:v>
      </x:c>
      <x:c r="G13" s="714" t="str">
        <x:v>Scommessa</x:v>
      </x:c>
      <x:c r="H13" s="714" t="str"/>
      <x:c r="I13" s="715" t="str">
        <x:v>Solo a pochi crediti: minutaggio non garantito.</x:v>
      </x:c>
    </x:row>
    <x:row r="14">
      <x:c r="A14" s="713" t="str">
        <x:v>Difensore</x:v>
      </x:c>
      <x:c r="B14" s="714" t="str">
        <x:f>IF((COUNTIF(Asta!$B$4:$B$47,"Bracaglia")+COUNTIF(Asta!$D$4:$D$47,"Bracaglia")+COUNTIF(Asta!$F$4:$F$47,"Bracaglia")+COUNTIF(Asta!$H$4:$H$47,"Bracaglia")+COUNTIF(Asta!$J$4:$J$47,"Bracaglia")+COUNTIF(Asta!$L$4:$L$47,"Bracaglia")+COUNTIF(Asta!$N$4:$N$47,"Bracaglia")+COUNTIF(Asta!$P$4:$P$47,"Bracaglia")+COUNTIF(Asta!$R$4:$R$47,"Bracaglia")+COUNTIF(Asta!$T$4:$T$47,"Bracaglia"))&gt;0,REGEXREPLACE("Bracaglia","(.)","$1"&amp;UNICHAR(822)),"Bracaglia")</x:f>
        <x:v>Bracaglia</x:v>
      </x:c>
      <x:c r="C14" s="714" t="str">
        <x:v>Ds;Dc</x:v>
      </x:c>
      <x:c r="D14" s="714" t="str">
        <x:v>Titolare / ballottaggio</x:v>
      </x:c>
      <x:c r="E14" s="714" t="n">
        <x:v>5</x:v>
      </x:c>
      <x:c r="F14" s="714" t="n">
        <x:v>6</x:v>
      </x:c>
      <x:c r="G14" s="714" t="str">
        <x:v>Scommessa</x:v>
      </x:c>
      <x:c r="H14" s="714" t="str"/>
      <x:c r="I14" s="715" t="str">
        <x:v>Solo a pochi crediti: minutaggio non garantito.</x:v>
      </x:c>
    </x:row>
    <x:row r="15">
      <x:c r="A15" s="713" t="str">
        <x:v>Difensore</x:v>
      </x:c>
      <x:c r="B15" s="714" t="str">
        <x:f>IF((COUNTIF(Asta!$B$4:$B$47,"Calvani")+COUNTIF(Asta!$D$4:$D$47,"Calvani")+COUNTIF(Asta!$F$4:$F$47,"Calvani")+COUNTIF(Asta!$H$4:$H$47,"Calvani")+COUNTIF(Asta!$J$4:$J$47,"Calvani")+COUNTIF(Asta!$L$4:$L$47,"Calvani")+COUNTIF(Asta!$N$4:$N$47,"Calvani")+COUNTIF(Asta!$P$4:$P$47,"Calvani")+COUNTIF(Asta!$R$4:$R$47,"Calvani")+COUNTIF(Asta!$T$4:$T$47,"Calvani"))&gt;0,REGEXREPLACE("Calvani","(.)","$1"&amp;UNICHAR(822)),"Calvani")</x:f>
        <x:v>Calvani</x:v>
      </x:c>
      <x:c r="C15" s="714" t="str">
        <x:v>Dc</x:v>
      </x:c>
      <x:c r="D15" s="714" t="str">
        <x:v>Titolare</x:v>
      </x:c>
      <x:c r="E15" s="714" t="n">
        <x:v>4</x:v>
      </x:c>
      <x:c r="F15" s="714" t="n">
        <x:v>5</x:v>
      </x:c>
      <x:c r="G15" s="714" t="str">
        <x:v>Scommessa</x:v>
      </x:c>
      <x:c r="H15" s="714" t="str"/>
      <x:c r="I15" s="715" t="str">
        <x:v>Titolare low cost: utile per completare il reparto.</x:v>
      </x:c>
    </x:row>
    <x:row r="16">
      <x:c r="A16" s="713" t="str">
        <x:v>Difensore</x:v>
      </x:c>
      <x:c r="B16" s="714" t="str">
        <x:f>IF((COUNTIF(Asta!$B$4:$B$47,"Cittadini")+COUNTIF(Asta!$D$4:$D$47,"Cittadini")+COUNTIF(Asta!$F$4:$F$47,"Cittadini")+COUNTIF(Asta!$H$4:$H$47,"Cittadini")+COUNTIF(Asta!$J$4:$J$47,"Cittadini")+COUNTIF(Asta!$L$4:$L$47,"Cittadini")+COUNTIF(Asta!$N$4:$N$47,"Cittadini")+COUNTIF(Asta!$P$4:$P$47,"Cittadini")+COUNTIF(Asta!$R$4:$R$47,"Cittadini")+COUNTIF(Asta!$T$4:$T$47,"Cittadini"))&gt;0,REGEXREPLACE("Cittadini","(.)","$1"&amp;UNICHAR(822)),"Cittadini")</x:f>
        <x:v>Cittadini</x:v>
      </x:c>
      <x:c r="C16" s="714" t="str">
        <x:v>Dc</x:v>
      </x:c>
      <x:c r="D16" s="714" t="str">
        <x:v>Riserva / rotazione</x:v>
      </x:c>
      <x:c r="E16" s="714" t="n">
        <x:v>3</x:v>
      </x:c>
      <x:c r="F16" s="714" t="n">
        <x:v>4</x:v>
      </x:c>
      <x:c r="G16" s="714" t="str">
        <x:v>Scommessa</x:v>
      </x:c>
      <x:c r="H16" s="714" t="str"/>
      <x:c r="I16" s="715" t="str">
        <x:v>Copertura/ultimo slot: da prendere a 1-2 crediti.</x:v>
      </x:c>
    </x:row>
    <x:row r="17">
      <x:c r="A17" s="713" t="str">
        <x:v>Difensore</x:v>
      </x:c>
      <x:c r="B17" s="714" t="str">
        <x:f>IF((COUNTIF(Asta!$B$4:$B$47,"Akpoguma")+COUNTIF(Asta!$D$4:$D$47,"Akpoguma")+COUNTIF(Asta!$F$4:$F$47,"Akpoguma")+COUNTIF(Asta!$H$4:$H$47,"Akpoguma")+COUNTIF(Asta!$J$4:$J$47,"Akpoguma")+COUNTIF(Asta!$L$4:$L$47,"Akpoguma")+COUNTIF(Asta!$N$4:$N$47,"Akpoguma")+COUNTIF(Asta!$P$4:$P$47,"Akpoguma")+COUNTIF(Asta!$R$4:$R$47,"Akpoguma")+COUNTIF(Asta!$T$4:$T$47,"Akpoguma"))&gt;0,REGEXREPLACE("Akpoguma","(.)","$1"&amp;UNICHAR(822)),"Akpoguma")</x:f>
        <x:v>Akpoguma</x:v>
      </x:c>
      <x:c r="C17" s="714" t="str">
        <x:v>Dc</x:v>
      </x:c>
      <x:c r="D17" s="714" t="str">
        <x:v>Riserva / rotazione</x:v>
      </x:c>
      <x:c r="E17" s="714" t="n">
        <x:v>3</x:v>
      </x:c>
      <x:c r="F17" s="714" t="n">
        <x:v>4</x:v>
      </x:c>
      <x:c r="G17" s="714" t="str">
        <x:v>Copertura</x:v>
      </x:c>
      <x:c r="H17" s="714" t="str"/>
      <x:c r="I17" s="715" t="str">
        <x:v>Copertura/ultimo slot: da prendere a 1-2 crediti.</x:v>
      </x:c>
    </x:row>
    <x:row r="18">
      <x:c r="A18" s="713" t="str">
        <x:v>Difensore</x:v>
      </x:c>
      <x:c r="B18" s="714" t="str">
        <x:f>IF((COUNTIF(Asta!$B$4:$B$47,"Corrado")+COUNTIF(Asta!$D$4:$D$47,"Corrado")+COUNTIF(Asta!$F$4:$F$47,"Corrado")+COUNTIF(Asta!$H$4:$H$47,"Corrado")+COUNTIF(Asta!$J$4:$J$47,"Corrado")+COUNTIF(Asta!$L$4:$L$47,"Corrado")+COUNTIF(Asta!$N$4:$N$47,"Corrado")+COUNTIF(Asta!$P$4:$P$47,"Corrado")+COUNTIF(Asta!$R$4:$R$47,"Corrado")+COUNTIF(Asta!$T$4:$T$47,"Corrado"))&gt;0,REGEXREPLACE("Corrado","(.)","$1"&amp;UNICHAR(822)),"Corrado")</x:f>
        <x:v>Corrado</x:v>
      </x:c>
      <x:c r="C18" s="714" t="str">
        <x:v>Ds;E</x:v>
      </x:c>
      <x:c r="D18" s="714" t="str">
        <x:v>Riserva / rotazione</x:v>
      </x:c>
      <x:c r="E18" s="714" t="n">
        <x:v>1</x:v>
      </x:c>
      <x:c r="F18" s="714" t="n">
        <x:v>2</x:v>
      </x:c>
      <x:c r="G18" s="714" t="str">
        <x:v>Copertura</x:v>
      </x:c>
      <x:c r="H18" s="714" t="str"/>
      <x:c r="I18" s="715" t="str">
        <x:v>Copertura/ultimo slot: da prendere a 1-2 crediti.</x:v>
      </x:c>
    </x:row>
    <x:row r="19">
      <x:c r="A19" s="713" t="str">
        <x:v>Difensore</x:v>
      </x:c>
      <x:c r="B19" s="714" t="str">
        <x:f>IF((COUNTIF(Asta!$B$4:$B$47,"Oyono J.")+COUNTIF(Asta!$D$4:$D$47,"Oyono J.")+COUNTIF(Asta!$F$4:$F$47,"Oyono J.")+COUNTIF(Asta!$H$4:$H$47,"Oyono J.")+COUNTIF(Asta!$J$4:$J$47,"Oyono J.")+COUNTIF(Asta!$L$4:$L$47,"Oyono J.")+COUNTIF(Asta!$N$4:$N$47,"Oyono J.")+COUNTIF(Asta!$P$4:$P$47,"Oyono J.")+COUNTIF(Asta!$R$4:$R$47,"Oyono J.")+COUNTIF(Asta!$T$4:$T$47,"Oyono J."))&gt;0,REGEXREPLACE("Oyono J.","(.)","$1"&amp;UNICHAR(822)),"Oyono J.")</x:f>
        <x:v>Oyono J.</x:v>
      </x:c>
      <x:c r="C19" s="714" t="str">
        <x:v>Dd;E</x:v>
      </x:c>
      <x:c r="D19" s="714" t="str">
        <x:v>Titolare / ballottaggio</x:v>
      </x:c>
      <x:c r="E19" s="714" t="n">
        <x:v>1</x:v>
      </x:c>
      <x:c r="F19" s="714" t="n">
        <x:v>2</x:v>
      </x:c>
      <x:c r="G19" s="714" t="str">
        <x:v>Copertura</x:v>
      </x:c>
      <x:c r="H19" s="714" t="str"/>
      <x:c r="I19" s="715" t="str">
        <x:v>Solo a pochi crediti: minutaggio non garantito.</x:v>
      </x:c>
    </x:row>
    <x:row r="20">
      <x:c r="A20" s="713" t="str">
        <x:v>Difensore</x:v>
      </x:c>
      <x:c r="B20" s="714" t="str">
        <x:f>IF((COUNTIF(Asta!$B$4:$B$47,"Amey")+COUNTIF(Asta!$D$4:$D$47,"Amey")+COUNTIF(Asta!$F$4:$F$47,"Amey")+COUNTIF(Asta!$H$4:$H$47,"Amey")+COUNTIF(Asta!$J$4:$J$47,"Amey")+COUNTIF(Asta!$L$4:$L$47,"Amey")+COUNTIF(Asta!$N$4:$N$47,"Amey")+COUNTIF(Asta!$P$4:$P$47,"Amey")+COUNTIF(Asta!$R$4:$R$47,"Amey")+COUNTIF(Asta!$T$4:$T$47,"Amey"))&gt;0,REGEXREPLACE("Amey","(.)","$1"&amp;UNICHAR(822)),"Amey")</x:f>
        <x:v>Amey</x:v>
      </x:c>
      <x:c r="C20" s="714" t="str">
        <x:v>Dc</x:v>
      </x:c>
      <x:c r="D20" s="714" t="str">
        <x:v>Riserva / rotazione</x:v>
      </x:c>
      <x:c r="E20" s="714" t="n">
        <x:v>1</x:v>
      </x:c>
      <x:c r="F20" s="714" t="n">
        <x:v>1</x:v>
      </x:c>
      <x:c r="G20" s="714" t="str">
        <x:v>Copertura</x:v>
      </x:c>
      <x:c r="H20" s="714" t="str"/>
      <x:c r="I20" s="715" t="str">
        <x:v>Copertura/ultimo slot: da prendere a 1-2 crediti.</x:v>
      </x:c>
    </x:row>
    <x:row r="21">
      <x:c r="A21" s="713" t="str">
        <x:v>Difensore</x:v>
      </x:c>
      <x:c r="B21" s="714" t="str">
        <x:f>IF((COUNTIF(Asta!$B$4:$B$47,"Gelli J.")+COUNTIF(Asta!$D$4:$D$47,"Gelli J.")+COUNTIF(Asta!$F$4:$F$47,"Gelli J.")+COUNTIF(Asta!$H$4:$H$47,"Gelli J.")+COUNTIF(Asta!$J$4:$J$47,"Gelli J.")+COUNTIF(Asta!$L$4:$L$47,"Gelli J.")+COUNTIF(Asta!$N$4:$N$47,"Gelli J.")+COUNTIF(Asta!$P$4:$P$47,"Gelli J.")+COUNTIF(Asta!$R$4:$R$47,"Gelli J.")+COUNTIF(Asta!$T$4:$T$47,"Gelli J."))&gt;0,REGEXREPLACE("Gelli J.","(.)","$1"&amp;UNICHAR(822)),"Gelli J.")</x:f>
        <x:v>Gelli J.</x:v>
      </x:c>
      <x:c r="C21" s="714" t="str">
        <x:v>Dc</x:v>
      </x:c>
      <x:c r="D21" s="714" t="str">
        <x:v>Riserva / rotazione</x:v>
      </x:c>
      <x:c r="E21" s="714" t="n">
        <x:v>1</x:v>
      </x:c>
      <x:c r="F21" s="714" t="n">
        <x:v>1</x:v>
      </x:c>
      <x:c r="G21" s="714" t="str">
        <x:v>Copertura</x:v>
      </x:c>
      <x:c r="H21" s="714" t="str"/>
      <x:c r="I21" s="715" t="str">
        <x:v>Copertura/ultimo slot: da prendere a 1-2 crediti.</x:v>
      </x:c>
    </x:row>
    <x:row r="22">
      <x:c r="A22" s="716" t="str">
        <x:v>Centrocampista</x:v>
      </x:c>
      <x:c r="B22" s="717" t="str">
        <x:f>IF((COUNTIF(Asta!$B$4:$B$47,"Calò")+COUNTIF(Asta!$D$4:$D$47,"Calò")+COUNTIF(Asta!$F$4:$F$47,"Calò")+COUNTIF(Asta!$H$4:$H$47,"Calò")+COUNTIF(Asta!$J$4:$J$47,"Calò")+COUNTIF(Asta!$L$4:$L$47,"Calò")+COUNTIF(Asta!$N$4:$N$47,"Calò")+COUNTIF(Asta!$P$4:$P$47,"Calò")+COUNTIF(Asta!$R$4:$R$47,"Calò")+COUNTIF(Asta!$T$4:$T$47,"Calò"))&gt;0,REGEXREPLACE("Calò","(.)","$1"&amp;UNICHAR(822)),"Calò")</x:f>
        <x:v>Calò</x:v>
      </x:c>
      <x:c r="C22" s="717" t="str">
        <x:v>M;C</x:v>
      </x:c>
      <x:c r="D22" s="717" t="str">
        <x:v>Titolare</x:v>
      </x:c>
      <x:c r="E22" s="717" t="n">
        <x:v>7</x:v>
      </x:c>
      <x:c r="F22" s="717" t="n">
        <x:v>13</x:v>
      </x:c>
      <x:c r="G22" s="717" t="str">
        <x:v>Utile</x:v>
      </x:c>
      <x:c r="H22" s="717" t="str">
        <x:v>Rigorista · Piazzati</x:v>
      </x:c>
      <x:c r="I22" s="718" t="str">
        <x:v>Profilo utile per minutaggio e rotazioni; buon rapporto costo/titolarità. Plus importante: è indicato tra i rigoristi.</x:v>
      </x:c>
    </x:row>
    <x:row r="23">
      <x:c r="A23" s="716" t="str">
        <x:v>Centrocampista</x:v>
      </x:c>
      <x:c r="B23" s="717" t="str">
        <x:f>IF((COUNTIF(Asta!$B$4:$B$47,"Zerbin")+COUNTIF(Asta!$D$4:$D$47,"Zerbin")+COUNTIF(Asta!$F$4:$F$47,"Zerbin")+COUNTIF(Asta!$H$4:$H$47,"Zerbin")+COUNTIF(Asta!$J$4:$J$47,"Zerbin")+COUNTIF(Asta!$L$4:$L$47,"Zerbin")+COUNTIF(Asta!$N$4:$N$47,"Zerbin")+COUNTIF(Asta!$P$4:$P$47,"Zerbin")+COUNTIF(Asta!$R$4:$R$47,"Zerbin")+COUNTIF(Asta!$T$4:$T$47,"Zerbin"))&gt;0,REGEXREPLACE("Zerbin","(.)","$1"&amp;UNICHAR(822)),"Zerbin")</x:f>
        <x:v>Zerbin</x:v>
      </x:c>
      <x:c r="C23" s="717" t="str">
        <x:v>W</x:v>
      </x:c>
      <x:c r="D23" s="717" t="str">
        <x:v>Riserva / rotazione</x:v>
      </x:c>
      <x:c r="E23" s="717" t="n">
        <x:v>5</x:v>
      </x:c>
      <x:c r="F23" s="717" t="n">
        <x:v>7</x:v>
      </x:c>
      <x:c r="G23" s="717" t="str">
        <x:v>Scommessa</x:v>
      </x:c>
      <x:c r="H23" s="717" t="str"/>
      <x:c r="I23" s="718" t="str">
        <x:v>Copertura/ultimo slot: da prendere a 1-2 crediti.</x:v>
      </x:c>
    </x:row>
    <x:row r="24">
      <x:c r="A24" s="716" t="str">
        <x:v>Centrocampista</x:v>
      </x:c>
      <x:c r="B24" s="717" t="str">
        <x:f>IF((COUNTIF(Asta!$B$4:$B$47,"Koutsoupias")+COUNTIF(Asta!$D$4:$D$47,"Koutsoupias")+COUNTIF(Asta!$F$4:$F$47,"Koutsoupias")+COUNTIF(Asta!$H$4:$H$47,"Koutsoupias")+COUNTIF(Asta!$J$4:$J$47,"Koutsoupias")+COUNTIF(Asta!$L$4:$L$47,"Koutsoupias")+COUNTIF(Asta!$N$4:$N$47,"Koutsoupias")+COUNTIF(Asta!$P$4:$P$47,"Koutsoupias")+COUNTIF(Asta!$R$4:$R$47,"Koutsoupias")+COUNTIF(Asta!$T$4:$T$47,"Koutsoupias"))&gt;0,REGEXREPLACE("Koutsoupias","(.)","$1"&amp;UNICHAR(822)),"Koutsoupias")</x:f>
        <x:v>Koutsoupias</x:v>
      </x:c>
      <x:c r="C24" s="717" t="str">
        <x:v>C</x:v>
      </x:c>
      <x:c r="D24" s="717" t="str">
        <x:v>Riserva / rotazione</x:v>
      </x:c>
      <x:c r="E24" s="717" t="n">
        <x:v>4</x:v>
      </x:c>
      <x:c r="F24" s="717" t="n">
        <x:v>6</x:v>
      </x:c>
      <x:c r="G24" s="717" t="str">
        <x:v>Scommessa</x:v>
      </x:c>
      <x:c r="H24" s="717" t="str"/>
      <x:c r="I24" s="718" t="str">
        <x:v>Copertura/ultimo slot: da prendere a 1-2 crediti.</x:v>
      </x:c>
    </x:row>
    <x:row r="25">
      <x:c r="A25" s="716" t="str">
        <x:v>Centrocampista</x:v>
      </x:c>
      <x:c r="B25" s="717" t="str">
        <x:f>IF((COUNTIF(Asta!$B$4:$B$47,"Cichella")+COUNTIF(Asta!$D$4:$D$47,"Cichella")+COUNTIF(Asta!$F$4:$F$47,"Cichella")+COUNTIF(Asta!$H$4:$H$47,"Cichella")+COUNTIF(Asta!$J$4:$J$47,"Cichella")+COUNTIF(Asta!$L$4:$L$47,"Cichella")+COUNTIF(Asta!$N$4:$N$47,"Cichella")+COUNTIF(Asta!$P$4:$P$47,"Cichella")+COUNTIF(Asta!$R$4:$R$47,"Cichella")+COUNTIF(Asta!$T$4:$T$47,"Cichella"))&gt;0,REGEXREPLACE("Cichella","(.)","$1"&amp;UNICHAR(822)),"Cichella")</x:f>
        <x:v>Cichella</x:v>
      </x:c>
      <x:c r="C25" s="717" t="str">
        <x:v>M;C</x:v>
      </x:c>
      <x:c r="D25" s="717" t="str">
        <x:v>Riserva / rotazione</x:v>
      </x:c>
      <x:c r="E25" s="717" t="n">
        <x:v>4</x:v>
      </x:c>
      <x:c r="F25" s="717" t="n">
        <x:v>6</x:v>
      </x:c>
      <x:c r="G25" s="717" t="str">
        <x:v>Scommessa</x:v>
      </x:c>
      <x:c r="H25" s="717" t="str"/>
      <x:c r="I25" s="718" t="str">
        <x:v>Copertura/ultimo slot: da prendere a 1-2 crediti.</x:v>
      </x:c>
    </x:row>
    <x:row r="26">
      <x:c r="A26" s="716" t="str">
        <x:v>Centrocampista</x:v>
      </x:c>
      <x:c r="B26" s="717" t="str">
        <x:f>IF((COUNTIF(Asta!$B$4:$B$47,"Fini")+COUNTIF(Asta!$D$4:$D$47,"Fini")+COUNTIF(Asta!$F$4:$F$47,"Fini")+COUNTIF(Asta!$H$4:$H$47,"Fini")+COUNTIF(Asta!$J$4:$J$47,"Fini")+COUNTIF(Asta!$L$4:$L$47,"Fini")+COUNTIF(Asta!$N$4:$N$47,"Fini")+COUNTIF(Asta!$P$4:$P$47,"Fini")+COUNTIF(Asta!$R$4:$R$47,"Fini")+COUNTIF(Asta!$T$4:$T$47,"Fini"))&gt;0,REGEXREPLACE("Fini","(.)","$1"&amp;UNICHAR(822)),"Fini")</x:f>
        <x:v>Fini</x:v>
      </x:c>
      <x:c r="C26" s="717" t="str">
        <x:v>W</x:v>
      </x:c>
      <x:c r="D26" s="717" t="str">
        <x:v>Riserva / rotazione</x:v>
      </x:c>
      <x:c r="E26" s="717" t="n">
        <x:v>3</x:v>
      </x:c>
      <x:c r="F26" s="717" t="n">
        <x:v>5</x:v>
      </x:c>
      <x:c r="G26" s="717" t="str">
        <x:v>Scommessa</x:v>
      </x:c>
      <x:c r="H26" s="717" t="str"/>
      <x:c r="I26" s="718" t="str">
        <x:v>Copertura/ultimo slot: da prendere a 1-2 crediti.</x:v>
      </x:c>
    </x:row>
    <x:row r="27">
      <x:c r="A27" s="716" t="str">
        <x:v>Centrocampista</x:v>
      </x:c>
      <x:c r="B27" s="717" t="str">
        <x:f>IF((COUNTIF(Asta!$B$4:$B$47,"Gelli F.")+COUNTIF(Asta!$D$4:$D$47,"Gelli F.")+COUNTIF(Asta!$F$4:$F$47,"Gelli F.")+COUNTIF(Asta!$H$4:$H$47,"Gelli F.")+COUNTIF(Asta!$J$4:$J$47,"Gelli F.")+COUNTIF(Asta!$L$4:$L$47,"Gelli F.")+COUNTIF(Asta!$N$4:$N$47,"Gelli F.")+COUNTIF(Asta!$P$4:$P$47,"Gelli F.")+COUNTIF(Asta!$R$4:$R$47,"Gelli F.")+COUNTIF(Asta!$T$4:$T$47,"Gelli F."))&gt;0,REGEXREPLACE("Gelli F.","(.)","$1"&amp;UNICHAR(822)),"Gelli F.")</x:f>
        <x:v>Gelli F.</x:v>
      </x:c>
      <x:c r="C27" s="717" t="str">
        <x:v>C;T</x:v>
      </x:c>
      <x:c r="D27" s="717" t="str">
        <x:v>Riserva / rotazione</x:v>
      </x:c>
      <x:c r="E27" s="717" t="n">
        <x:v>3</x:v>
      </x:c>
      <x:c r="F27" s="717" t="n">
        <x:v>4</x:v>
      </x:c>
      <x:c r="G27" s="717" t="str">
        <x:v>Scommessa</x:v>
      </x:c>
      <x:c r="H27" s="717" t="str"/>
      <x:c r="I27" s="718" t="str">
        <x:v>Copertura/ultimo slot: da prendere a 1-2 crediti.</x:v>
      </x:c>
    </x:row>
    <x:row r="28">
      <x:c r="A28" s="716" t="str">
        <x:v>Centrocampista</x:v>
      </x:c>
      <x:c r="B28" s="717" t="str">
        <x:f>IF((COUNTIF(Asta!$B$4:$B$47,"Hasa")+COUNTIF(Asta!$D$4:$D$47,"Hasa")+COUNTIF(Asta!$F$4:$F$47,"Hasa")+COUNTIF(Asta!$H$4:$H$47,"Hasa")+COUNTIF(Asta!$J$4:$J$47,"Hasa")+COUNTIF(Asta!$L$4:$L$47,"Hasa")+COUNTIF(Asta!$N$4:$N$47,"Hasa")+COUNTIF(Asta!$P$4:$P$47,"Hasa")+COUNTIF(Asta!$R$4:$R$47,"Hasa")+COUNTIF(Asta!$T$4:$T$47,"Hasa"))&gt;0,REGEXREPLACE("Hasa","(.)","$1"&amp;UNICHAR(822)),"Hasa")</x:f>
        <x:v>Hasa</x:v>
      </x:c>
      <x:c r="C28" s="717" t="str">
        <x:v>C;T</x:v>
      </x:c>
      <x:c r="D28" s="717" t="str">
        <x:v>Riserva / rotazione</x:v>
      </x:c>
      <x:c r="E28" s="717" t="n">
        <x:v>2</x:v>
      </x:c>
      <x:c r="F28" s="717" t="n">
        <x:v>3</x:v>
      </x:c>
      <x:c r="G28" s="717" t="str">
        <x:v>Copertura</x:v>
      </x:c>
      <x:c r="H28" s="717" t="str"/>
      <x:c r="I28" s="718" t="str">
        <x:v>Copertura/ultimo slot: da prendere a 1-2 crediti.</x:v>
      </x:c>
    </x:row>
    <x:row r="29">
      <x:c r="A29" s="716" t="str">
        <x:v>Centrocampista</x:v>
      </x:c>
      <x:c r="B29" s="717" t="str">
        <x:f>IF((COUNTIF(Asta!$B$4:$B$47,"El Azzouzi A.")+COUNTIF(Asta!$D$4:$D$47,"El Azzouzi A.")+COUNTIF(Asta!$F$4:$F$47,"El Azzouzi A.")+COUNTIF(Asta!$H$4:$H$47,"El Azzouzi A.")+COUNTIF(Asta!$J$4:$J$47,"El Azzouzi A.")+COUNTIF(Asta!$L$4:$L$47,"El Azzouzi A.")+COUNTIF(Asta!$N$4:$N$47,"El Azzouzi A.")+COUNTIF(Asta!$P$4:$P$47,"El Azzouzi A.")+COUNTIF(Asta!$R$4:$R$47,"El Azzouzi A.")+COUNTIF(Asta!$T$4:$T$47,"El Azzouzi A."))&gt;0,REGEXREPLACE("El Azzouzi A.","(.)","$1"&amp;UNICHAR(822)),"El Azzouzi A.")</x:f>
        <x:v>El Azzouzi A.</x:v>
      </x:c>
      <x:c r="C29" s="717" t="str">
        <x:v>M;C</x:v>
      </x:c>
      <x:c r="D29" s="717" t="str">
        <x:v>Riserva / rotazione</x:v>
      </x:c>
      <x:c r="E29" s="717" t="n">
        <x:v>1</x:v>
      </x:c>
      <x:c r="F29" s="717" t="n">
        <x:v>2</x:v>
      </x:c>
      <x:c r="G29" s="717" t="str">
        <x:v>Copertura</x:v>
      </x:c>
      <x:c r="H29" s="717" t="str"/>
      <x:c r="I29" s="718" t="str">
        <x:v>Copertura/ultimo slot: da prendere a 1-2 crediti.</x:v>
      </x:c>
    </x:row>
    <x:row r="30">
      <x:c r="A30" s="716" t="str">
        <x:v>Centrocampista</x:v>
      </x:c>
      <x:c r="B30" s="717" t="str">
        <x:f>IF((COUNTIF(Asta!$B$4:$B$47,"Kone B.")+COUNTIF(Asta!$D$4:$D$47,"Kone B.")+COUNTIF(Asta!$F$4:$F$47,"Kone B.")+COUNTIF(Asta!$H$4:$H$47,"Kone B.")+COUNTIF(Asta!$J$4:$J$47,"Kone B.")+COUNTIF(Asta!$L$4:$L$47,"Kone B.")+COUNTIF(Asta!$N$4:$N$47,"Kone B.")+COUNTIF(Asta!$P$4:$P$47,"Kone B.")+COUNTIF(Asta!$R$4:$R$47,"Kone B.")+COUNTIF(Asta!$T$4:$T$47,"Kone B."))&gt;0,REGEXREPLACE("Kone B.","(.)","$1"&amp;UNICHAR(822)),"Kone B.")</x:f>
        <x:v>Kone B.</x:v>
      </x:c>
      <x:c r="C30" s="717" t="str">
        <x:v>C</x:v>
      </x:c>
      <x:c r="D30" s="717" t="str">
        <x:v>Riserva / rotazione</x:v>
      </x:c>
      <x:c r="E30" s="717" t="n">
        <x:v>1</x:v>
      </x:c>
      <x:c r="F30" s="717" t="n">
        <x:v>2</x:v>
      </x:c>
      <x:c r="G30" s="717" t="str">
        <x:v>Copertura</x:v>
      </x:c>
      <x:c r="H30" s="717" t="str"/>
      <x:c r="I30" s="718" t="str">
        <x:v>Copertura/ultimo slot: da prendere a 1-2 crediti.</x:v>
      </x:c>
    </x:row>
    <x:row r="31">
      <x:c r="A31" s="719" t="str">
        <x:v>Attaccante</x:v>
      </x:c>
      <x:c r="B31" s="720" t="str">
        <x:f>IF((COUNTIF(Asta!$B$4:$B$47,"Ghedjemis")+COUNTIF(Asta!$D$4:$D$47,"Ghedjemis")+COUNTIF(Asta!$F$4:$F$47,"Ghedjemis")+COUNTIF(Asta!$H$4:$H$47,"Ghedjemis")+COUNTIF(Asta!$J$4:$J$47,"Ghedjemis")+COUNTIF(Asta!$L$4:$L$47,"Ghedjemis")+COUNTIF(Asta!$N$4:$N$47,"Ghedjemis")+COUNTIF(Asta!$P$4:$P$47,"Ghedjemis")+COUNTIF(Asta!$R$4:$R$47,"Ghedjemis")+COUNTIF(Asta!$T$4:$T$47,"Ghedjemis"))&gt;0,REGEXREPLACE("Ghedjemis","(.)","$1"&amp;UNICHAR(822)),"Ghedjemis")</x:f>
        <x:v>Ghedjemis</x:v>
      </x:c>
      <x:c r="C31" s="720" t="str">
        <x:v>W;A</x:v>
      </x:c>
      <x:c r="D31" s="720" t="str">
        <x:v>Titolare</x:v>
      </x:c>
      <x:c r="E31" s="720" t="n">
        <x:v>9</x:v>
      </x:c>
      <x:c r="F31" s="720" t="n">
        <x:v>15</x:v>
      </x:c>
      <x:c r="G31" s="720" t="str">
        <x:v>Utile</x:v>
      </x:c>
      <x:c r="H31" s="720" t="str">
        <x:v>Piazzati</x:v>
      </x:c>
      <x:c r="I31" s="721" t="str">
        <x:v>Profilo utile per minutaggio e rotazioni; buon rapporto costo/titolarità. Buon plus: può battere calci piazzati.</x:v>
      </x:c>
    </x:row>
    <x:row r="32">
      <x:c r="A32" s="719" t="str">
        <x:v>Attaccante</x:v>
      </x:c>
      <x:c r="B32" s="720" t="str">
        <x:f>IF((COUNTIF(Asta!$B$4:$B$47,"Raimondo")+COUNTIF(Asta!$D$4:$D$47,"Raimondo")+COUNTIF(Asta!$F$4:$F$47,"Raimondo")+COUNTIF(Asta!$H$4:$H$47,"Raimondo")+COUNTIF(Asta!$J$4:$J$47,"Raimondo")+COUNTIF(Asta!$L$4:$L$47,"Raimondo")+COUNTIF(Asta!$N$4:$N$47,"Raimondo")+COUNTIF(Asta!$P$4:$P$47,"Raimondo")+COUNTIF(Asta!$R$4:$R$47,"Raimondo")+COUNTIF(Asta!$T$4:$T$47,"Raimondo"))&gt;0,REGEXREPLACE("Raimondo","(.)","$1"&amp;UNICHAR(822)),"Raimondo")</x:f>
        <x:v>Raimondo</x:v>
      </x:c>
      <x:c r="C32" s="720" t="str">
        <x:v>Pc</x:v>
      </x:c>
      <x:c r="D32" s="720" t="str">
        <x:v>Titolare / ballottaggio</x:v>
      </x:c>
      <x:c r="E32" s="720" t="n">
        <x:v>7</x:v>
      </x:c>
      <x:c r="F32" s="720" t="n">
        <x:v>12</x:v>
      </x:c>
      <x:c r="G32" s="720" t="str">
        <x:v>Utile</x:v>
      </x:c>
      <x:c r="H32" s="720" t="str"/>
      <x:c r="I32" s="721" t="str">
        <x:v>Scommessa con upside: prendilo a prezzo controllato.</x:v>
      </x:c>
    </x:row>
    <x:row r="33">
      <x:c r="A33" s="722" t="str">
        <x:v>Attaccante</x:v>
      </x:c>
      <x:c r="B33" s="723" t="str">
        <x:f>IF((COUNTIF(Asta!$B$4:$B$47,"Kvernadze")+COUNTIF(Asta!$D$4:$D$47,"Kvernadze")+COUNTIF(Asta!$F$4:$F$47,"Kvernadze")+COUNTIF(Asta!$H$4:$H$47,"Kvernadze")+COUNTIF(Asta!$J$4:$J$47,"Kvernadze")+COUNTIF(Asta!$L$4:$L$47,"Kvernadze")+COUNTIF(Asta!$N$4:$N$47,"Kvernadze")+COUNTIF(Asta!$P$4:$P$47,"Kvernadze")+COUNTIF(Asta!$R$4:$R$47,"Kvernadze")+COUNTIF(Asta!$T$4:$T$47,"Kvernadze"))&gt;0,REGEXREPLACE("Kvernadze","(.)","$1"&amp;UNICHAR(822)),"Kvernadze")</x:f>
        <x:v>Kvernadze</x:v>
      </x:c>
      <x:c r="C33" s="723" t="str">
        <x:v>W;A</x:v>
      </x:c>
      <x:c r="D33" s="723" t="str">
        <x:v>Titolare</x:v>
      </x:c>
      <x:c r="E33" s="723" t="n">
        <x:v>4</x:v>
      </x:c>
      <x:c r="F33" s="723" t="n">
        <x:v>8</x:v>
      </x:c>
      <x:c r="G33" s="723" t="str">
        <x:v>Scommessa</x:v>
      </x:c>
      <x:c r="H33" s="723" t="str"/>
      <x:c r="I33" s="724" t="str">
        <x:v>Titolare low cost: utile per completare il reparto.</x:v>
      </x:c>
    </x:row>
    <x:row r="35">
      <x:c r="A35" s="630" t="str">
        <x:v>Fonte formazione/ballottaggi/rigoristi: Fantacalcio.it, aggiornamento 09/09/2026 — https://www.fantacalcio.it/news/calcio-italia/06_08_2026/asta-fantacalcio-le-probabili-formazioni-della-serie-a-enilive-2026-27-495558</x:v>
      </x:c>
      <x:c r="B35" s="630"/>
      <x:c r="C35" s="630"/>
      <x:c r="D35" s="630"/>
      <x:c r="E35" s="630"/>
      <x:c r="F35" s="630"/>
      <x:c r="G35" s="630"/>
      <x:c r="H35" s="630"/>
      <x:c r="I35" s="630"/>
    </x:row>
  </x:sheetData>
  <x:mergeCells>
    <x:mergeCell ref="A1:I1"/>
    <x:mergeCell ref="B4:I4"/>
    <x:mergeCell ref="B5:I5"/>
    <x:mergeCell ref="D3:I3"/>
    <x:mergeCell ref="D6:I6"/>
    <x:mergeCell ref="A35:I35"/>
  </x:mergeCells>
  <x:conditionalFormatting sqref="D9:D33">
    <x:cfRule type="expression" dxfId="14" priority="1">
      <x:formula>D9="Titolare"</x:formula>
    </x:cfRule>
    <x:cfRule type="expression" dxfId="15" priority="2">
      <x:formula>ISNUMBER(SEARCH("Ballottaggio",D9))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1" hidden="0" customWidth="1"/>
    <x:col min="3" max="3" width="18" hidden="0" customWidth="1"/>
    <x:col min="4" max="4" width="23" hidden="0" customWidth="1"/>
    <x:col min="5" max="5" width="11" hidden="0" customWidth="1"/>
    <x:col min="6" max="6" width="12" hidden="0" customWidth="1"/>
    <x:col min="7" max="7" width="24" hidden="0" customWidth="1"/>
    <x:col min="8" max="8" width="20" hidden="0" customWidth="1"/>
    <x:col min="9" max="9" width="48" hidden="0" customWidth="1"/>
  </x:cols>
  <x:sheetData>
    <x:row r="1" ht="30" customHeight="1">
      <x:c r="A1" s="642" t="str">
        <x:v>GENOA — GUIDA ASTA 2026/27</x:v>
      </x:c>
      <x:c r="B1" s="643"/>
      <x:c r="C1" s="643"/>
      <x:c r="D1" s="643"/>
      <x:c r="E1" s="643"/>
      <x:c r="F1" s="643"/>
      <x:c r="G1" s="643"/>
      <x:c r="H1" s="643"/>
      <x:c r="I1" s="644"/>
    </x:row>
    <x:row r="3">
      <x:c r="A3" s="663" t="str">
        <x:v>Allenatore</x:v>
      </x:c>
      <x:c r="B3" s="681" t="str">
        <x:v>Daniele De Rossi</x:v>
      </x:c>
      <x:c r="C3" s="673" t="str">
        <x:v>Modulo</x:v>
      </x:c>
      <x:c r="D3" s="681" t="str">
        <x:v>3-5-2</x:v>
      </x:c>
      <x:c r="E3" s="681"/>
      <x:c r="F3" s="681"/>
      <x:c r="G3" s="681"/>
      <x:c r="H3" s="681"/>
      <x:c r="I3" s="682"/>
    </x:row>
    <x:row r="4" ht="38" customHeight="1">
      <x:c r="A4" s="664" t="str">
        <x:v>Formazione titolare</x:v>
      </x:c>
      <x:c r="B4" s="683" t="str">
        <x:v>Bijlow; Marcandalli, Ostigard, Vasquez; Ehizibue, Frendrup, Sow, Baldanzi, Ellertsson; Colombo, Osmajic</x:v>
      </x:c>
      <x:c r="C4" s="676" t="str"/>
      <x:c r="D4" s="683" t="str"/>
      <x:c r="E4" s="683"/>
      <x:c r="F4" s="683"/>
      <x:c r="G4" s="683"/>
      <x:c r="H4" s="683"/>
      <x:c r="I4" s="684"/>
    </x:row>
    <x:row r="5" ht="38" customHeight="1">
      <x:c r="A5" s="664" t="str">
        <x:v>Ballottaggi</x:v>
      </x:c>
      <x:c r="B5" s="683" t="str">
        <x:v>Ehizibue/Mitaj; Sow/Amorim; Osmajic/Vitinha</x:v>
      </x:c>
      <x:c r="C5" s="676" t="str"/>
      <x:c r="D5" s="683" t="str"/>
      <x:c r="E5" s="683"/>
      <x:c r="F5" s="683"/>
      <x:c r="G5" s="683"/>
      <x:c r="H5" s="683"/>
      <x:c r="I5" s="684"/>
    </x:row>
    <x:row r="6">
      <x:c r="A6" s="665" t="str">
        <x:v>Rigoristi</x:v>
      </x:c>
      <x:c r="B6" s="685" t="str">
        <x:v>Colombo, Ostigard, Vitinha</x:v>
      </x:c>
      <x:c r="C6" s="679" t="str">
        <x:v>Calci piazzati</x:v>
      </x:c>
      <x:c r="D6" s="685" t="str">
        <x:v>Baldanzi, Vitinha, Messias</x:v>
      </x:c>
      <x:c r="E6" s="685"/>
      <x:c r="F6" s="685"/>
      <x:c r="G6" s="685"/>
      <x:c r="H6" s="685"/>
      <x:c r="I6" s="686"/>
    </x:row>
    <x:row r="8" ht="30" customHeight="1">
      <x:c r="A8" s="698" t="str">
        <x:v>Ruolo</x:v>
      </x:c>
      <x:c r="B8" s="699" t="str">
        <x:v>Calciatore</x:v>
      </x:c>
      <x:c r="C8" s="699" t="str">
        <x:v>Posizione</x:v>
      </x:c>
      <x:c r="D8" s="699" t="str">
        <x:v>Status</x:v>
      </x:c>
      <x:c r="E8" s="699" t="str">
        <x:v>Quotazione</x:v>
      </x:c>
      <x:c r="F8" s="699" t="str">
        <x:v>FVM su 504</x:v>
      </x:c>
      <x:c r="G8" s="699" t="str">
        <x:v>Fascia asta</x:v>
      </x:c>
      <x:c r="H8" s="699" t="str">
        <x:v>Specialità</x:v>
      </x:c>
      <x:c r="I8" s="700" t="str">
        <x:v>Consiglio Fantacalcio</x:v>
      </x:c>
    </x:row>
    <x:row r="9">
      <x:c r="A9" s="707" t="str">
        <x:v>Portiere</x:v>
      </x:c>
      <x:c r="B9" s="708" t="str">
        <x:f>IF((COUNTIF(Asta!$B$4:$B$47,"Bijlow")+COUNTIF(Asta!$D$4:$D$47,"Bijlow")+COUNTIF(Asta!$F$4:$F$47,"Bijlow")+COUNTIF(Asta!$H$4:$H$47,"Bijlow")+COUNTIF(Asta!$J$4:$J$47,"Bijlow")+COUNTIF(Asta!$L$4:$L$47,"Bijlow")+COUNTIF(Asta!$N$4:$N$47,"Bijlow")+COUNTIF(Asta!$P$4:$P$47,"Bijlow")+COUNTIF(Asta!$R$4:$R$47,"Bijlow")+COUNTIF(Asta!$T$4:$T$47,"Bijlow"))&gt;0,REGEXREPLACE("Bijlow","(.)","$1"&amp;UNICHAR(822)),"Bijlow")</x:f>
        <x:v>Bijlow</x:v>
      </x:c>
      <x:c r="C9" s="708" t="str">
        <x:v>Por</x:v>
      </x:c>
      <x:c r="D9" s="708" t="str">
        <x:v>Titolare</x:v>
      </x:c>
      <x:c r="E9" s="708" t="n">
        <x:v>8</x:v>
      </x:c>
      <x:c r="F9" s="708" t="n">
        <x:v>9</x:v>
      </x:c>
      <x:c r="G9" s="708" t="str">
        <x:v>Scommessa</x:v>
      </x:c>
      <x:c r="H9" s="708" t="str"/>
      <x:c r="I9" s="709" t="str">
        <x:v>Portiere da prendere come titolare di reparto, meglio se abbinato a un secondo portiere affidabile.</x:v>
      </x:c>
    </x:row>
    <x:row r="10">
      <x:c r="A10" s="710" t="str">
        <x:v>Portiere</x:v>
      </x:c>
      <x:c r="B10" s="711" t="str">
        <x:f>IF((COUNTIF(Asta!$B$4:$B$47,"Sommariva")+COUNTIF(Asta!$D$4:$D$47,"Sommariva")+COUNTIF(Asta!$F$4:$F$47,"Sommariva")+COUNTIF(Asta!$H$4:$H$47,"Sommariva")+COUNTIF(Asta!$J$4:$J$47,"Sommariva")+COUNTIF(Asta!$L$4:$L$47,"Sommariva")+COUNTIF(Asta!$N$4:$N$47,"Sommariva")+COUNTIF(Asta!$P$4:$P$47,"Sommariva")+COUNTIF(Asta!$R$4:$R$47,"Sommariva")+COUNTIF(Asta!$T$4:$T$47,"Sommariva"))&gt;0,REGEXREPLACE("Sommariva","(.)","$1"&amp;UNICHAR(822)),"Sommariva")</x:f>
        <x:v>Sommariva</x:v>
      </x:c>
      <x:c r="C10" s="711" t="str">
        <x:v>Por</x:v>
      </x:c>
      <x:c r="D10" s="711" t="str">
        <x:v>Riserva / rotazione</x:v>
      </x:c>
      <x:c r="E10" s="711" t="n">
        <x:v>1</x:v>
      </x:c>
      <x:c r="F10" s="711" t="n">
        <x:v>1</x:v>
      </x:c>
      <x:c r="G10" s="711" t="str">
        <x:v>Copertura</x:v>
      </x:c>
      <x:c r="H10" s="711" t="str"/>
      <x:c r="I10" s="712" t="str">
        <x:v>Solo come secondo/terzo portiere o copertura del titolare.</x:v>
      </x:c>
    </x:row>
    <x:row r="11">
      <x:c r="A11" s="710" t="str">
        <x:v>Portiere</x:v>
      </x:c>
      <x:c r="B11" s="711" t="str">
        <x:f>IF((COUNTIF(Asta!$B$4:$B$47,"Stolz")+COUNTIF(Asta!$D$4:$D$47,"Stolz")+COUNTIF(Asta!$F$4:$F$47,"Stolz")+COUNTIF(Asta!$H$4:$H$47,"Stolz")+COUNTIF(Asta!$J$4:$J$47,"Stolz")+COUNTIF(Asta!$L$4:$L$47,"Stolz")+COUNTIF(Asta!$N$4:$N$47,"Stolz")+COUNTIF(Asta!$P$4:$P$47,"Stolz")+COUNTIF(Asta!$R$4:$R$47,"Stolz")+COUNTIF(Asta!$T$4:$T$47,"Stolz"))&gt;0,REGEXREPLACE("Stolz","(.)","$1"&amp;UNICHAR(822)),"Stolz")</x:f>
        <x:v>Stolz</x:v>
      </x:c>
      <x:c r="C11" s="711" t="str">
        <x:v>Por</x:v>
      </x:c>
      <x:c r="D11" s="711" t="str">
        <x:v>Riserva / rotazione</x:v>
      </x:c>
      <x:c r="E11" s="711" t="n">
        <x:v>1</x:v>
      </x:c>
      <x:c r="F11" s="711" t="n">
        <x:v>1</x:v>
      </x:c>
      <x:c r="G11" s="711" t="str">
        <x:v>Copertura</x:v>
      </x:c>
      <x:c r="H11" s="711" t="str"/>
      <x:c r="I11" s="712" t="str">
        <x:v>Solo come secondo/terzo portiere o copertura del titolare.</x:v>
      </x:c>
    </x:row>
    <x:row r="12">
      <x:c r="A12" s="713" t="str">
        <x:v>Difensore</x:v>
      </x:c>
      <x:c r="B12" s="714" t="str">
        <x:f>IF((COUNTIF(Asta!$B$4:$B$47,"Ostigard")+COUNTIF(Asta!$D$4:$D$47,"Ostigard")+COUNTIF(Asta!$F$4:$F$47,"Ostigard")+COUNTIF(Asta!$H$4:$H$47,"Ostigard")+COUNTIF(Asta!$J$4:$J$47,"Ostigard")+COUNTIF(Asta!$L$4:$L$47,"Ostigard")+COUNTIF(Asta!$N$4:$N$47,"Ostigard")+COUNTIF(Asta!$P$4:$P$47,"Ostigard")+COUNTIF(Asta!$R$4:$R$47,"Ostigard")+COUNTIF(Asta!$T$4:$T$47,"Ostigard"))&gt;0,REGEXREPLACE("Ostigard","(.)","$1"&amp;UNICHAR(822)),"Ostigard")</x:f>
        <x:v>Ostigard</x:v>
      </x:c>
      <x:c r="C12" s="714" t="str">
        <x:v>Dc</x:v>
      </x:c>
      <x:c r="D12" s="714" t="str">
        <x:v>Titolare</x:v>
      </x:c>
      <x:c r="E12" s="714" t="n">
        <x:v>11</x:v>
      </x:c>
      <x:c r="F12" s="714" t="n">
        <x:v>20</x:v>
      </x:c>
      <x:c r="G12" s="714" t="str">
        <x:v>Utile</x:v>
      </x:c>
      <x:c r="H12" s="714" t="str">
        <x:v>Rigorista</x:v>
      </x:c>
      <x:c r="I12" s="715" t="str">
        <x:v>Profilo utile per minutaggio e rotazioni; buon rapporto costo/titolarità. Plus importante: è indicato tra i rigoristi.</x:v>
      </x:c>
    </x:row>
    <x:row r="13">
      <x:c r="A13" s="713" t="str">
        <x:v>Difensore</x:v>
      </x:c>
      <x:c r="B13" s="714" t="str">
        <x:f>IF((COUNTIF(Asta!$B$4:$B$47,"Vasquez")+COUNTIF(Asta!$D$4:$D$47,"Vasquez")+COUNTIF(Asta!$F$4:$F$47,"Vasquez")+COUNTIF(Asta!$H$4:$H$47,"Vasquez")+COUNTIF(Asta!$J$4:$J$47,"Vasquez")+COUNTIF(Asta!$L$4:$L$47,"Vasquez")+COUNTIF(Asta!$N$4:$N$47,"Vasquez")+COUNTIF(Asta!$P$4:$P$47,"Vasquez")+COUNTIF(Asta!$R$4:$R$47,"Vasquez")+COUNTIF(Asta!$T$4:$T$47,"Vasquez"))&gt;0,REGEXREPLACE("Vasquez","(.)","$1"&amp;UNICHAR(822)),"Vasquez")</x:f>
        <x:v>Vasquez</x:v>
      </x:c>
      <x:c r="C13" s="714" t="str">
        <x:v>Ds;Dc</x:v>
      </x:c>
      <x:c r="D13" s="714" t="str">
        <x:v>Titolare</x:v>
      </x:c>
      <x:c r="E13" s="714" t="n">
        <x:v>9</x:v>
      </x:c>
      <x:c r="F13" s="714" t="n">
        <x:v>17</x:v>
      </x:c>
      <x:c r="G13" s="714" t="str">
        <x:v>Utile</x:v>
      </x:c>
      <x:c r="H13" s="714" t="str"/>
      <x:c r="I13" s="715" t="str">
        <x:v>Profilo utile per minutaggio e rotazioni; buon rapporto costo/titolarità.</x:v>
      </x:c>
    </x:row>
    <x:row r="14">
      <x:c r="A14" s="713" t="str">
        <x:v>Difensore</x:v>
      </x:c>
      <x:c r="B14" s="714" t="str">
        <x:f>IF((COUNTIF(Asta!$B$4:$B$47,"Norton-Cuffy")+COUNTIF(Asta!$D$4:$D$47,"Norton-Cuffy")+COUNTIF(Asta!$F$4:$F$47,"Norton-Cuffy")+COUNTIF(Asta!$H$4:$H$47,"Norton-Cuffy")+COUNTIF(Asta!$J$4:$J$47,"Norton-Cuffy")+COUNTIF(Asta!$L$4:$L$47,"Norton-Cuffy")+COUNTIF(Asta!$N$4:$N$47,"Norton-Cuffy")+COUNTIF(Asta!$P$4:$P$47,"Norton-Cuffy")+COUNTIF(Asta!$R$4:$R$47,"Norton-Cuffy")+COUNTIF(Asta!$T$4:$T$47,"Norton-Cuffy"))&gt;0,REGEXREPLACE("Norton-Cuffy","(.)","$1"&amp;UNICHAR(822)),"Norton-Cuffy")</x:f>
        <x:v>Norton-Cuffy</x:v>
      </x:c>
      <x:c r="C14" s="714" t="str">
        <x:v>Dd;E</x:v>
      </x:c>
      <x:c r="D14" s="714" t="str">
        <x:v>Riserva / rotazione</x:v>
      </x:c>
      <x:c r="E14" s="714" t="n">
        <x:v>8</x:v>
      </x:c>
      <x:c r="F14" s="714" t="n">
        <x:v>11</x:v>
      </x:c>
      <x:c r="G14" s="714" t="str">
        <x:v>Utile</x:v>
      </x:c>
      <x:c r="H14" s="714" t="str"/>
      <x:c r="I14" s="715" t="str">
        <x:v>Scommessa da ultimi slot, senza sovrapprezzo.</x:v>
      </x:c>
    </x:row>
    <x:row r="15">
      <x:c r="A15" s="713" t="str">
        <x:v>Difensore</x:v>
      </x:c>
      <x:c r="B15" s="714" t="str">
        <x:f>IF((COUNTIF(Asta!$B$4:$B$47,"Martin")+COUNTIF(Asta!$D$4:$D$47,"Martin")+COUNTIF(Asta!$F$4:$F$47,"Martin")+COUNTIF(Asta!$H$4:$H$47,"Martin")+COUNTIF(Asta!$J$4:$J$47,"Martin")+COUNTIF(Asta!$L$4:$L$47,"Martin")+COUNTIF(Asta!$N$4:$N$47,"Martin")+COUNTIF(Asta!$P$4:$P$47,"Martin")+COUNTIF(Asta!$R$4:$R$47,"Martin")+COUNTIF(Asta!$T$4:$T$47,"Martin"))&gt;0,REGEXREPLACE("Martin","(.)","$1"&amp;UNICHAR(822)),"Martin")</x:f>
        <x:v>Martin</x:v>
      </x:c>
      <x:c r="C15" s="714" t="str">
        <x:v>Ds;E</x:v>
      </x:c>
      <x:c r="D15" s="714" t="str">
        <x:v>Riserva / rotazione</x:v>
      </x:c>
      <x:c r="E15" s="714" t="n">
        <x:v>5</x:v>
      </x:c>
      <x:c r="F15" s="714" t="n">
        <x:v>8</x:v>
      </x:c>
      <x:c r="G15" s="714" t="str">
        <x:v>Scommessa</x:v>
      </x:c>
      <x:c r="H15" s="714" t="str"/>
      <x:c r="I15" s="715" t="str">
        <x:v>Scommessa da ultimi slot, senza sovrapprezzo.</x:v>
      </x:c>
    </x:row>
    <x:row r="16">
      <x:c r="A16" s="713" t="str">
        <x:v>Difensore</x:v>
      </x:c>
      <x:c r="B16" s="714" t="str">
        <x:f>IF((COUNTIF(Asta!$B$4:$B$47,"Marcandalli")+COUNTIF(Asta!$D$4:$D$47,"Marcandalli")+COUNTIF(Asta!$F$4:$F$47,"Marcandalli")+COUNTIF(Asta!$H$4:$H$47,"Marcandalli")+COUNTIF(Asta!$J$4:$J$47,"Marcandalli")+COUNTIF(Asta!$L$4:$L$47,"Marcandalli")+COUNTIF(Asta!$N$4:$N$47,"Marcandalli")+COUNTIF(Asta!$P$4:$P$47,"Marcandalli")+COUNTIF(Asta!$R$4:$R$47,"Marcandalli")+COUNTIF(Asta!$T$4:$T$47,"Marcandalli"))&gt;0,REGEXREPLACE("Marcandalli","(.)","$1"&amp;UNICHAR(822)),"Marcandalli")</x:f>
        <x:v>Marcandalli</x:v>
      </x:c>
      <x:c r="C16" s="714" t="str">
        <x:v>Dc</x:v>
      </x:c>
      <x:c r="D16" s="714" t="str">
        <x:v>Titolare</x:v>
      </x:c>
      <x:c r="E16" s="714" t="n">
        <x:v>6</x:v>
      </x:c>
      <x:c r="F16" s="714" t="n">
        <x:v>7</x:v>
      </x:c>
      <x:c r="G16" s="714" t="str">
        <x:v>Scommessa</x:v>
      </x:c>
      <x:c r="H16" s="714" t="str"/>
      <x:c r="I16" s="715" t="str">
        <x:v>Titolare low cost: utile per completare il reparto.</x:v>
      </x:c>
    </x:row>
    <x:row r="17">
      <x:c r="A17" s="713" t="str">
        <x:v>Difensore</x:v>
      </x:c>
      <x:c r="B17" s="714" t="str">
        <x:f>IF((COUNTIF(Asta!$B$4:$B$47,"Mitaj")+COUNTIF(Asta!$D$4:$D$47,"Mitaj")+COUNTIF(Asta!$F$4:$F$47,"Mitaj")+COUNTIF(Asta!$H$4:$H$47,"Mitaj")+COUNTIF(Asta!$J$4:$J$47,"Mitaj")+COUNTIF(Asta!$L$4:$L$47,"Mitaj")+COUNTIF(Asta!$N$4:$N$47,"Mitaj")+COUNTIF(Asta!$P$4:$P$47,"Mitaj")+COUNTIF(Asta!$R$4:$R$47,"Mitaj")+COUNTIF(Asta!$T$4:$T$47,"Mitaj"))&gt;0,REGEXREPLACE("Mitaj","(.)","$1"&amp;UNICHAR(822)),"Mitaj")</x:f>
        <x:v>Mitaj</x:v>
      </x:c>
      <x:c r="C17" s="714" t="str">
        <x:v>Ds;E</x:v>
      </x:c>
      <x:c r="D17" s="714" t="str">
        <x:v>Ballottaggio</x:v>
      </x:c>
      <x:c r="E17" s="714" t="n">
        <x:v>4</x:v>
      </x:c>
      <x:c r="F17" s="714" t="n">
        <x:v>5</x:v>
      </x:c>
      <x:c r="G17" s="714" t="str">
        <x:v>Scommessa</x:v>
      </x:c>
      <x:c r="H17" s="714" t="str"/>
      <x:c r="I17" s="715" t="str">
        <x:v>Solo a pochi crediti: minutaggio non garantito.</x:v>
      </x:c>
    </x:row>
    <x:row r="18">
      <x:c r="A18" s="713" t="str">
        <x:v>Difensore</x:v>
      </x:c>
      <x:c r="B18" s="714" t="str">
        <x:f>IF((COUNTIF(Asta!$B$4:$B$47,"Puczka")+COUNTIF(Asta!$D$4:$D$47,"Puczka")+COUNTIF(Asta!$F$4:$F$47,"Puczka")+COUNTIF(Asta!$H$4:$H$47,"Puczka")+COUNTIF(Asta!$J$4:$J$47,"Puczka")+COUNTIF(Asta!$L$4:$L$47,"Puczka")+COUNTIF(Asta!$N$4:$N$47,"Puczka")+COUNTIF(Asta!$P$4:$P$47,"Puczka")+COUNTIF(Asta!$R$4:$R$47,"Puczka")+COUNTIF(Asta!$T$4:$T$47,"Puczka"))&gt;0,REGEXREPLACE("Puczka","(.)","$1"&amp;UNICHAR(822)),"Puczka")</x:f>
        <x:v>Puczka</x:v>
      </x:c>
      <x:c r="C18" s="714" t="str">
        <x:v>Ds;E</x:v>
      </x:c>
      <x:c r="D18" s="714" t="str">
        <x:v>Riserva / rotazione</x:v>
      </x:c>
      <x:c r="E18" s="714" t="n">
        <x:v>2</x:v>
      </x:c>
      <x:c r="F18" s="714" t="n">
        <x:v>4</x:v>
      </x:c>
      <x:c r="G18" s="714" t="str">
        <x:v>Copertura</x:v>
      </x:c>
      <x:c r="H18" s="714" t="str"/>
      <x:c r="I18" s="715" t="str">
        <x:v>Copertura/ultimo slot: da prendere a 1-2 crediti.</x:v>
      </x:c>
    </x:row>
    <x:row r="19">
      <x:c r="A19" s="713" t="str">
        <x:v>Difensore</x:v>
      </x:c>
      <x:c r="B19" s="714" t="str">
        <x:f>IF((COUNTIF(Asta!$B$4:$B$47,"Otoa")+COUNTIF(Asta!$D$4:$D$47,"Otoa")+COUNTIF(Asta!$F$4:$F$47,"Otoa")+COUNTIF(Asta!$H$4:$H$47,"Otoa")+COUNTIF(Asta!$J$4:$J$47,"Otoa")+COUNTIF(Asta!$L$4:$L$47,"Otoa")+COUNTIF(Asta!$N$4:$N$47,"Otoa")+COUNTIF(Asta!$P$4:$P$47,"Otoa")+COUNTIF(Asta!$R$4:$R$47,"Otoa")+COUNTIF(Asta!$T$4:$T$47,"Otoa"))&gt;0,REGEXREPLACE("Otoa","(.)","$1"&amp;UNICHAR(822)),"Otoa")</x:f>
        <x:v>Otoa</x:v>
      </x:c>
      <x:c r="C19" s="714" t="str">
        <x:v>Dc</x:v>
      </x:c>
      <x:c r="D19" s="714" t="str">
        <x:v>Riserva / rotazione</x:v>
      </x:c>
      <x:c r="E19" s="714" t="n">
        <x:v>2</x:v>
      </x:c>
      <x:c r="F19" s="714" t="n">
        <x:v>3</x:v>
      </x:c>
      <x:c r="G19" s="714" t="str">
        <x:v>Copertura</x:v>
      </x:c>
      <x:c r="H19" s="714" t="str"/>
      <x:c r="I19" s="715" t="str">
        <x:v>Copertura/ultimo slot: da prendere a 1-2 crediti.</x:v>
      </x:c>
    </x:row>
    <x:row r="20">
      <x:c r="A20" s="713" t="str">
        <x:v>Difensore</x:v>
      </x:c>
      <x:c r="B20" s="714" t="str">
        <x:f>IF((COUNTIF(Asta!$B$4:$B$47,"Sabelli")+COUNTIF(Asta!$D$4:$D$47,"Sabelli")+COUNTIF(Asta!$F$4:$F$47,"Sabelli")+COUNTIF(Asta!$H$4:$H$47,"Sabelli")+COUNTIF(Asta!$J$4:$J$47,"Sabelli")+COUNTIF(Asta!$L$4:$L$47,"Sabelli")+COUNTIF(Asta!$N$4:$N$47,"Sabelli")+COUNTIF(Asta!$P$4:$P$47,"Sabelli")+COUNTIF(Asta!$R$4:$R$47,"Sabelli")+COUNTIF(Asta!$T$4:$T$47,"Sabelli"))&gt;0,REGEXREPLACE("Sabelli","(.)","$1"&amp;UNICHAR(822)),"Sabelli")</x:f>
        <x:v>Sabelli</x:v>
      </x:c>
      <x:c r="C20" s="714" t="str">
        <x:v>Dd;Ds;E</x:v>
      </x:c>
      <x:c r="D20" s="714" t="str">
        <x:v>Riserva / rotazione</x:v>
      </x:c>
      <x:c r="E20" s="714" t="n">
        <x:v>2</x:v>
      </x:c>
      <x:c r="F20" s="714" t="n">
        <x:v>3</x:v>
      </x:c>
      <x:c r="G20" s="714" t="str">
        <x:v>Copertura</x:v>
      </x:c>
      <x:c r="H20" s="714" t="str"/>
      <x:c r="I20" s="715" t="str">
        <x:v>Copertura/ultimo slot: da prendere a 1-2 crediti.</x:v>
      </x:c>
    </x:row>
    <x:row r="21">
      <x:c r="A21" s="713" t="str">
        <x:v>Difensore</x:v>
      </x:c>
      <x:c r="B21" s="714" t="str">
        <x:f>IF((COUNTIF(Asta!$B$4:$B$47,"Matturro")+COUNTIF(Asta!$D$4:$D$47,"Matturro")+COUNTIF(Asta!$F$4:$F$47,"Matturro")+COUNTIF(Asta!$H$4:$H$47,"Matturro")+COUNTIF(Asta!$J$4:$J$47,"Matturro")+COUNTIF(Asta!$L$4:$L$47,"Matturro")+COUNTIF(Asta!$N$4:$N$47,"Matturro")+COUNTIF(Asta!$P$4:$P$47,"Matturro")+COUNTIF(Asta!$R$4:$R$47,"Matturro")+COUNTIF(Asta!$T$4:$T$47,"Matturro"))&gt;0,REGEXREPLACE("Matturro","(.)","$1"&amp;UNICHAR(822)),"Matturro")</x:f>
        <x:v>Matturro</x:v>
      </x:c>
      <x:c r="C21" s="714" t="str">
        <x:v>Ds;Dc</x:v>
      </x:c>
      <x:c r="D21" s="714" t="str">
        <x:v>Riserva / rotazione</x:v>
      </x:c>
      <x:c r="E21" s="714" t="n">
        <x:v>1</x:v>
      </x:c>
      <x:c r="F21" s="714" t="n">
        <x:v>1</x:v>
      </x:c>
      <x:c r="G21" s="714" t="str">
        <x:v>Copertura</x:v>
      </x:c>
      <x:c r="H21" s="714" t="str"/>
      <x:c r="I21" s="715" t="str">
        <x:v>Copertura/ultimo slot: da prendere a 1-2 crediti.</x:v>
      </x:c>
    </x:row>
    <x:row r="22">
      <x:c r="A22" s="713" t="str">
        <x:v>Difensore</x:v>
      </x:c>
      <x:c r="B22" s="714" t="str">
        <x:f>IF((COUNTIF(Asta!$B$4:$B$47,"Vogliacco")+COUNTIF(Asta!$D$4:$D$47,"Vogliacco")+COUNTIF(Asta!$F$4:$F$47,"Vogliacco")+COUNTIF(Asta!$H$4:$H$47,"Vogliacco")+COUNTIF(Asta!$J$4:$J$47,"Vogliacco")+COUNTIF(Asta!$L$4:$L$47,"Vogliacco")+COUNTIF(Asta!$N$4:$N$47,"Vogliacco")+COUNTIF(Asta!$P$4:$P$47,"Vogliacco")+COUNTIF(Asta!$R$4:$R$47,"Vogliacco")+COUNTIF(Asta!$T$4:$T$47,"Vogliacco"))&gt;0,REGEXREPLACE("Vogliacco","(.)","$1"&amp;UNICHAR(822)),"Vogliacco")</x:f>
        <x:v>Vogliacco</x:v>
      </x:c>
      <x:c r="C22" s="714" t="str">
        <x:v>Dd;Dc</x:v>
      </x:c>
      <x:c r="D22" s="714" t="str">
        <x:v>Riserva / rotazione</x:v>
      </x:c>
      <x:c r="E22" s="714" t="n">
        <x:v>1</x:v>
      </x:c>
      <x:c r="F22" s="714" t="n">
        <x:v>1</x:v>
      </x:c>
      <x:c r="G22" s="714" t="str">
        <x:v>Copertura</x:v>
      </x:c>
      <x:c r="H22" s="714" t="str"/>
      <x:c r="I22" s="715" t="str">
        <x:v>Copertura/ultimo slot: da prendere a 1-2 crediti.</x:v>
      </x:c>
    </x:row>
    <x:row r="23">
      <x:c r="A23" s="716" t="str">
        <x:v>Centrocampista</x:v>
      </x:c>
      <x:c r="B23" s="717" t="str">
        <x:f>IF((COUNTIF(Asta!$B$4:$B$47,"Baldanzi")+COUNTIF(Asta!$D$4:$D$47,"Baldanzi")+COUNTIF(Asta!$F$4:$F$47,"Baldanzi")+COUNTIF(Asta!$H$4:$H$47,"Baldanzi")+COUNTIF(Asta!$J$4:$J$47,"Baldanzi")+COUNTIF(Asta!$L$4:$L$47,"Baldanzi")+COUNTIF(Asta!$N$4:$N$47,"Baldanzi")+COUNTIF(Asta!$P$4:$P$47,"Baldanzi")+COUNTIF(Asta!$R$4:$R$47,"Baldanzi")+COUNTIF(Asta!$T$4:$T$47,"Baldanzi"))&gt;0,REGEXREPLACE("Baldanzi","(.)","$1"&amp;UNICHAR(822)),"Baldanzi")</x:f>
        <x:v>Baldanzi</x:v>
      </x:c>
      <x:c r="C23" s="717" t="str">
        <x:v>T</x:v>
      </x:c>
      <x:c r="D23" s="717" t="str">
        <x:v>Titolare</x:v>
      </x:c>
      <x:c r="E23" s="717" t="n">
        <x:v>11</x:v>
      </x:c>
      <x:c r="F23" s="717" t="n">
        <x:v>15</x:v>
      </x:c>
      <x:c r="G23" s="717" t="str">
        <x:v>Utile</x:v>
      </x:c>
      <x:c r="H23" s="717" t="str">
        <x:v>Piazzati</x:v>
      </x:c>
      <x:c r="I23" s="718" t="str">
        <x:v>Profilo utile per minutaggio e rotazioni; buon rapporto costo/titolarità. Buon plus: può battere calci piazzati.</x:v>
      </x:c>
    </x:row>
    <x:row r="24">
      <x:c r="A24" s="716" t="str">
        <x:v>Centrocampista</x:v>
      </x:c>
      <x:c r="B24" s="717" t="str">
        <x:f>IF((COUNTIF(Asta!$B$4:$B$47,"Frendrup")+COUNTIF(Asta!$D$4:$D$47,"Frendrup")+COUNTIF(Asta!$F$4:$F$47,"Frendrup")+COUNTIF(Asta!$H$4:$H$47,"Frendrup")+COUNTIF(Asta!$J$4:$J$47,"Frendrup")+COUNTIF(Asta!$L$4:$L$47,"Frendrup")+COUNTIF(Asta!$N$4:$N$47,"Frendrup")+COUNTIF(Asta!$P$4:$P$47,"Frendrup")+COUNTIF(Asta!$R$4:$R$47,"Frendrup")+COUNTIF(Asta!$T$4:$T$47,"Frendrup"))&gt;0,REGEXREPLACE("Frendrup","(.)","$1"&amp;UNICHAR(822)),"Frendrup")</x:f>
        <x:v>Frendrup</x:v>
      </x:c>
      <x:c r="C24" s="717" t="str">
        <x:v>M;C</x:v>
      </x:c>
      <x:c r="D24" s="717" t="str">
        <x:v>Titolare</x:v>
      </x:c>
      <x:c r="E24" s="717" t="n">
        <x:v>7</x:v>
      </x:c>
      <x:c r="F24" s="717" t="n">
        <x:v>10</x:v>
      </x:c>
      <x:c r="G24" s="717" t="str">
        <x:v>Scommessa</x:v>
      </x:c>
      <x:c r="H24" s="717" t="str"/>
      <x:c r="I24" s="718" t="str">
        <x:v>Titolare low cost: utile per completare il reparto.</x:v>
      </x:c>
    </x:row>
    <x:row r="25">
      <x:c r="A25" s="716" t="str">
        <x:v>Centrocampista</x:v>
      </x:c>
      <x:c r="B25" s="717" t="str">
        <x:f>IF((COUNTIF(Asta!$B$4:$B$47,"Ellertsson")+COUNTIF(Asta!$D$4:$D$47,"Ellertsson")+COUNTIF(Asta!$F$4:$F$47,"Ellertsson")+COUNTIF(Asta!$H$4:$H$47,"Ellertsson")+COUNTIF(Asta!$J$4:$J$47,"Ellertsson")+COUNTIF(Asta!$L$4:$L$47,"Ellertsson")+COUNTIF(Asta!$N$4:$N$47,"Ellertsson")+COUNTIF(Asta!$P$4:$P$47,"Ellertsson")+COUNTIF(Asta!$R$4:$R$47,"Ellertsson")+COUNTIF(Asta!$T$4:$T$47,"Ellertsson"))&gt;0,REGEXREPLACE("Ellertsson","(.)","$1"&amp;UNICHAR(822)),"Ellertsson")</x:f>
        <x:v>Ellertsson</x:v>
      </x:c>
      <x:c r="C25" s="717" t="str">
        <x:v>E;C</x:v>
      </x:c>
      <x:c r="D25" s="717" t="str">
        <x:v>Titolare</x:v>
      </x:c>
      <x:c r="E25" s="717" t="n">
        <x:v>6</x:v>
      </x:c>
      <x:c r="F25" s="717" t="n">
        <x:v>9</x:v>
      </x:c>
      <x:c r="G25" s="717" t="str">
        <x:v>Scommessa</x:v>
      </x:c>
      <x:c r="H25" s="717" t="str"/>
      <x:c r="I25" s="718" t="str">
        <x:v>Titolare low cost: utile per completare il reparto.</x:v>
      </x:c>
    </x:row>
    <x:row r="26">
      <x:c r="A26" s="716" t="str">
        <x:v>Centrocampista</x:v>
      </x:c>
      <x:c r="B26" s="717" t="str">
        <x:f>IF((COUNTIF(Asta!$B$4:$B$47,"Meichtry")+COUNTIF(Asta!$D$4:$D$47,"Meichtry")+COUNTIF(Asta!$F$4:$F$47,"Meichtry")+COUNTIF(Asta!$H$4:$H$47,"Meichtry")+COUNTIF(Asta!$J$4:$J$47,"Meichtry")+COUNTIF(Asta!$L$4:$L$47,"Meichtry")+COUNTIF(Asta!$N$4:$N$47,"Meichtry")+COUNTIF(Asta!$P$4:$P$47,"Meichtry")+COUNTIF(Asta!$R$4:$R$47,"Meichtry")+COUNTIF(Asta!$T$4:$T$47,"Meichtry"))&gt;0,REGEXREPLACE("Meichtry","(.)","$1"&amp;UNICHAR(822)),"Meichtry")</x:f>
        <x:v>Meichtry</x:v>
      </x:c>
      <x:c r="C26" s="717" t="str">
        <x:v>W;T</x:v>
      </x:c>
      <x:c r="D26" s="717" t="str">
        <x:v>Riserva / rotazione</x:v>
      </x:c>
      <x:c r="E26" s="717" t="n">
        <x:v>5</x:v>
      </x:c>
      <x:c r="F26" s="717" t="n">
        <x:v>7</x:v>
      </x:c>
      <x:c r="G26" s="717" t="str">
        <x:v>Scommessa</x:v>
      </x:c>
      <x:c r="H26" s="717" t="str"/>
      <x:c r="I26" s="718" t="str">
        <x:v>Copertura/ultimo slot: da prendere a 1-2 crediti.</x:v>
      </x:c>
    </x:row>
    <x:row r="27">
      <x:c r="A27" s="716" t="str">
        <x:v>Centrocampista</x:v>
      </x:c>
      <x:c r="B27" s="717" t="str">
        <x:f>IF((COUNTIF(Asta!$B$4:$B$47,"Amorim")+COUNTIF(Asta!$D$4:$D$47,"Amorim")+COUNTIF(Asta!$F$4:$F$47,"Amorim")+COUNTIF(Asta!$H$4:$H$47,"Amorim")+COUNTIF(Asta!$J$4:$J$47,"Amorim")+COUNTIF(Asta!$L$4:$L$47,"Amorim")+COUNTIF(Asta!$N$4:$N$47,"Amorim")+COUNTIF(Asta!$P$4:$P$47,"Amorim")+COUNTIF(Asta!$R$4:$R$47,"Amorim")+COUNTIF(Asta!$T$4:$T$47,"Amorim"))&gt;0,REGEXREPLACE("Amorim","(.)","$1"&amp;UNICHAR(822)),"Amorim")</x:f>
        <x:v>Amorim</x:v>
      </x:c>
      <x:c r="C27" s="717" t="str">
        <x:v>M;C</x:v>
      </x:c>
      <x:c r="D27" s="717" t="str">
        <x:v>Ballottaggio</x:v>
      </x:c>
      <x:c r="E27" s="717" t="n">
        <x:v>4</x:v>
      </x:c>
      <x:c r="F27" s="717" t="n">
        <x:v>6</x:v>
      </x:c>
      <x:c r="G27" s="717" t="str">
        <x:v>Scommessa</x:v>
      </x:c>
      <x:c r="H27" s="717" t="str"/>
      <x:c r="I27" s="718" t="str">
        <x:v>Solo a pochi crediti: minutaggio non garantito.</x:v>
      </x:c>
    </x:row>
    <x:row r="28">
      <x:c r="A28" s="716" t="str">
        <x:v>Centrocampista</x:v>
      </x:c>
      <x:c r="B28" s="717" t="str">
        <x:f>IF((COUNTIF(Asta!$B$4:$B$47,"Traorè Hj.")+COUNTIF(Asta!$D$4:$D$47,"Traorè Hj.")+COUNTIF(Asta!$F$4:$F$47,"Traorè Hj.")+COUNTIF(Asta!$H$4:$H$47,"Traorè Hj.")+COUNTIF(Asta!$J$4:$J$47,"Traorè Hj.")+COUNTIF(Asta!$L$4:$L$47,"Traorè Hj.")+COUNTIF(Asta!$N$4:$N$47,"Traorè Hj.")+COUNTIF(Asta!$P$4:$P$47,"Traorè Hj.")+COUNTIF(Asta!$R$4:$R$47,"Traorè Hj.")+COUNTIF(Asta!$T$4:$T$47,"Traorè Hj."))&gt;0,REGEXREPLACE("Traorè Hj.","(.)","$1"&amp;UNICHAR(822)),"Traorè Hj.")</x:f>
        <x:v>Traorè Hj.</x:v>
      </x:c>
      <x:c r="C28" s="717" t="str">
        <x:v>W;T</x:v>
      </x:c>
      <x:c r="D28" s="717" t="str">
        <x:v>Riserva / rotazione</x:v>
      </x:c>
      <x:c r="E28" s="717" t="n">
        <x:v>5</x:v>
      </x:c>
      <x:c r="F28" s="717" t="n">
        <x:v>6</x:v>
      </x:c>
      <x:c r="G28" s="717" t="str">
        <x:v>Scommessa</x:v>
      </x:c>
      <x:c r="H28" s="717" t="str"/>
      <x:c r="I28" s="718" t="str">
        <x:v>Copertura/ultimo slot: da prendere a 1-2 crediti.</x:v>
      </x:c>
    </x:row>
    <x:row r="29">
      <x:c r="A29" s="716" t="str">
        <x:v>Centrocampista</x:v>
      </x:c>
      <x:c r="B29" s="717" t="str">
        <x:f>IF((COUNTIF(Asta!$B$4:$B$47,"Messias")+COUNTIF(Asta!$D$4:$D$47,"Messias")+COUNTIF(Asta!$F$4:$F$47,"Messias")+COUNTIF(Asta!$H$4:$H$47,"Messias")+COUNTIF(Asta!$J$4:$J$47,"Messias")+COUNTIF(Asta!$L$4:$L$47,"Messias")+COUNTIF(Asta!$N$4:$N$47,"Messias")+COUNTIF(Asta!$P$4:$P$47,"Messias")+COUNTIF(Asta!$R$4:$R$47,"Messias")+COUNTIF(Asta!$T$4:$T$47,"Messias"))&gt;0,REGEXREPLACE("Messias","(.)","$1"&amp;UNICHAR(822)),"Messias")</x:f>
        <x:v>Messias</x:v>
      </x:c>
      <x:c r="C29" s="717" t="str">
        <x:v>W;T</x:v>
      </x:c>
      <x:c r="D29" s="717" t="str">
        <x:v>Riserva / rotazione</x:v>
      </x:c>
      <x:c r="E29" s="717" t="n">
        <x:v>3</x:v>
      </x:c>
      <x:c r="F29" s="717" t="n">
        <x:v>4</x:v>
      </x:c>
      <x:c r="G29" s="717" t="str">
        <x:v>Scommessa</x:v>
      </x:c>
      <x:c r="H29" s="717" t="str">
        <x:v>Piazzati</x:v>
      </x:c>
      <x:c r="I29" s="718" t="str">
        <x:v>Copertura/ultimo slot: da prendere a 1-2 crediti. Buon plus: può battere calci piazzati.</x:v>
      </x:c>
    </x:row>
    <x:row r="30">
      <x:c r="A30" s="716" t="str">
        <x:v>Centrocampista</x:v>
      </x:c>
      <x:c r="B30" s="717" t="str">
        <x:f>IF((COUNTIF(Asta!$B$4:$B$47,"Venturino")+COUNTIF(Asta!$D$4:$D$47,"Venturino")+COUNTIF(Asta!$F$4:$F$47,"Venturino")+COUNTIF(Asta!$H$4:$H$47,"Venturino")+COUNTIF(Asta!$J$4:$J$47,"Venturino")+COUNTIF(Asta!$L$4:$L$47,"Venturino")+COUNTIF(Asta!$N$4:$N$47,"Venturino")+COUNTIF(Asta!$P$4:$P$47,"Venturino")+COUNTIF(Asta!$R$4:$R$47,"Venturino")+COUNTIF(Asta!$T$4:$T$47,"Venturino"))&gt;0,REGEXREPLACE("Venturino","(.)","$1"&amp;UNICHAR(822)),"Venturino")</x:f>
        <x:v>Venturino</x:v>
      </x:c>
      <x:c r="C30" s="717" t="str">
        <x:v>W</x:v>
      </x:c>
      <x:c r="D30" s="717" t="str">
        <x:v>Riserva / rotazione</x:v>
      </x:c>
      <x:c r="E30" s="717" t="n">
        <x:v>2</x:v>
      </x:c>
      <x:c r="F30" s="717" t="n">
        <x:v>3</x:v>
      </x:c>
      <x:c r="G30" s="717" t="str">
        <x:v>Copertura</x:v>
      </x:c>
      <x:c r="H30" s="717" t="str"/>
      <x:c r="I30" s="718" t="str">
        <x:v>Copertura/ultimo slot: da prendere a 1-2 crediti.</x:v>
      </x:c>
    </x:row>
    <x:row r="31">
      <x:c r="A31" s="716" t="str">
        <x:v>Centrocampista</x:v>
      </x:c>
      <x:c r="B31" s="717" t="str">
        <x:f>IF((COUNTIF(Asta!$B$4:$B$47,"Masini")+COUNTIF(Asta!$D$4:$D$47,"Masini")+COUNTIF(Asta!$F$4:$F$47,"Masini")+COUNTIF(Asta!$H$4:$H$47,"Masini")+COUNTIF(Asta!$J$4:$J$47,"Masini")+COUNTIF(Asta!$L$4:$L$47,"Masini")+COUNTIF(Asta!$N$4:$N$47,"Masini")+COUNTIF(Asta!$P$4:$P$47,"Masini")+COUNTIF(Asta!$R$4:$R$47,"Masini")+COUNTIF(Asta!$T$4:$T$47,"Masini"))&gt;0,REGEXREPLACE("Masini","(.)","$1"&amp;UNICHAR(822)),"Masini")</x:f>
        <x:v>Masini</x:v>
      </x:c>
      <x:c r="C31" s="717" t="str">
        <x:v>M;C</x:v>
      </x:c>
      <x:c r="D31" s="717" t="str">
        <x:v>Riserva / rotazione</x:v>
      </x:c>
      <x:c r="E31" s="717" t="n">
        <x:v>2</x:v>
      </x:c>
      <x:c r="F31" s="717" t="n">
        <x:v>2</x:v>
      </x:c>
      <x:c r="G31" s="717" t="str">
        <x:v>Copertura</x:v>
      </x:c>
      <x:c r="H31" s="717" t="str"/>
      <x:c r="I31" s="718" t="str">
        <x:v>Copertura/ultimo slot: da prendere a 1-2 crediti.</x:v>
      </x:c>
    </x:row>
    <x:row r="32">
      <x:c r="A32" s="719" t="str">
        <x:v>Attaccante</x:v>
      </x:c>
      <x:c r="B32" s="720" t="str">
        <x:f>IF((COUNTIF(Asta!$B$4:$B$47,"Colombo")+COUNTIF(Asta!$D$4:$D$47,"Colombo")+COUNTIF(Asta!$F$4:$F$47,"Colombo")+COUNTIF(Asta!$H$4:$H$47,"Colombo")+COUNTIF(Asta!$J$4:$J$47,"Colombo")+COUNTIF(Asta!$L$4:$L$47,"Colombo")+COUNTIF(Asta!$N$4:$N$47,"Colombo")+COUNTIF(Asta!$P$4:$P$47,"Colombo")+COUNTIF(Asta!$R$4:$R$47,"Colombo")+COUNTIF(Asta!$T$4:$T$47,"Colombo"))&gt;0,REGEXREPLACE("Colombo","(.)","$1"&amp;UNICHAR(822)),"Colombo")</x:f>
        <x:v>Colombo</x:v>
      </x:c>
      <x:c r="C32" s="720" t="str">
        <x:v>Pc</x:v>
      </x:c>
      <x:c r="D32" s="720" t="str">
        <x:v>Titolare</x:v>
      </x:c>
      <x:c r="E32" s="720" t="n">
        <x:v>11</x:v>
      </x:c>
      <x:c r="F32" s="720" t="n">
        <x:v>32</x:v>
      </x:c>
      <x:c r="G32" s="720" t="str">
        <x:v>Buon titolare</x:v>
      </x:c>
      <x:c r="H32" s="720" t="str">
        <x:v>Rigorista</x:v>
      </x:c>
      <x:c r="I32" s="721" t="str">
        <x:v>Buon titolare di rosa, da prendere senza inseguire troppo il prezzo. Plus importante: è indicato tra i rigoristi.</x:v>
      </x:c>
    </x:row>
    <x:row r="33">
      <x:c r="A33" s="719" t="str">
        <x:v>Attaccante</x:v>
      </x:c>
      <x:c r="B33" s="720" t="str">
        <x:f>IF((COUNTIF(Asta!$B$4:$B$47,"Vitinha O.")+COUNTIF(Asta!$D$4:$D$47,"Vitinha O.")+COUNTIF(Asta!$F$4:$F$47,"Vitinha O.")+COUNTIF(Asta!$H$4:$H$47,"Vitinha O.")+COUNTIF(Asta!$J$4:$J$47,"Vitinha O.")+COUNTIF(Asta!$L$4:$L$47,"Vitinha O.")+COUNTIF(Asta!$N$4:$N$47,"Vitinha O.")+COUNTIF(Asta!$P$4:$P$47,"Vitinha O.")+COUNTIF(Asta!$R$4:$R$47,"Vitinha O.")+COUNTIF(Asta!$T$4:$T$47,"Vitinha O."))&gt;0,REGEXREPLACE("Vitinha O.","(.)","$1"&amp;UNICHAR(822)),"Vitinha O.")</x:f>
        <x:v>Vitinha O.</x:v>
      </x:c>
      <x:c r="C33" s="720" t="str">
        <x:v>A</x:v>
      </x:c>
      <x:c r="D33" s="720" t="str">
        <x:v>Ballottaggio</x:v>
      </x:c>
      <x:c r="E33" s="720" t="n">
        <x:v>8</x:v>
      </x:c>
      <x:c r="F33" s="720" t="n">
        <x:v>10</x:v>
      </x:c>
      <x:c r="G33" s="720" t="str">
        <x:v>Utile</x:v>
      </x:c>
      <x:c r="H33" s="720" t="str">
        <x:v>Rigorista · Piazzati</x:v>
      </x:c>
      <x:c r="I33" s="721" t="str">
        <x:v>Scommessa con upside: prendilo a prezzo controllato. Plus importante: è indicato tra i rigoristi.</x:v>
      </x:c>
    </x:row>
    <x:row r="34">
      <x:c r="A34" s="722" t="str">
        <x:v>Attaccante</x:v>
      </x:c>
      <x:c r="B34" s="723" t="str">
        <x:f>IF((COUNTIF(Asta!$B$4:$B$47,"Havel")+COUNTIF(Asta!$D$4:$D$47,"Havel")+COUNTIF(Asta!$F$4:$F$47,"Havel")+COUNTIF(Asta!$H$4:$H$47,"Havel")+COUNTIF(Asta!$J$4:$J$47,"Havel")+COUNTIF(Asta!$L$4:$L$47,"Havel")+COUNTIF(Asta!$N$4:$N$47,"Havel")+COUNTIF(Asta!$P$4:$P$47,"Havel")+COUNTIF(Asta!$R$4:$R$47,"Havel")+COUNTIF(Asta!$T$4:$T$47,"Havel"))&gt;0,REGEXREPLACE("Havel","(.)","$1"&amp;UNICHAR(822)),"Havel")</x:f>
        <x:v>Havel</x:v>
      </x:c>
      <x:c r="C34" s="723" t="str">
        <x:v>Pc</x:v>
      </x:c>
      <x:c r="D34" s="723" t="str">
        <x:v>Riserva / rotazione</x:v>
      </x:c>
      <x:c r="E34" s="723" t="n">
        <x:v>4</x:v>
      </x:c>
      <x:c r="F34" s="723" t="n">
        <x:v>5</x:v>
      </x:c>
      <x:c r="G34" s="723" t="str">
        <x:v>Scommessa</x:v>
      </x:c>
      <x:c r="H34" s="723" t="str"/>
      <x:c r="I34" s="724" t="str">
        <x:v>Copertura/ultimo slot: da prendere a 1-2 crediti.</x:v>
      </x:c>
    </x:row>
    <x:row r="36">
      <x:c r="A36" s="630" t="str">
        <x:v>Fonte formazione/ballottaggi/rigoristi: Fantacalcio.it, aggiornamento 09/09/2026 — https://www.fantacalcio.it/news/calcio-italia/06_08_2026/asta-fantacalcio-le-probabili-formazioni-della-serie-a-enilive-2026-27-495558</x:v>
      </x:c>
      <x:c r="B36" s="630"/>
      <x:c r="C36" s="630"/>
      <x:c r="D36" s="630"/>
      <x:c r="E36" s="630"/>
      <x:c r="F36" s="630"/>
      <x:c r="G36" s="630"/>
      <x:c r="H36" s="630"/>
      <x:c r="I36" s="630"/>
    </x:row>
  </x:sheetData>
  <x:mergeCells>
    <x:mergeCell ref="A1:I1"/>
    <x:mergeCell ref="B4:I4"/>
    <x:mergeCell ref="B5:I5"/>
    <x:mergeCell ref="D3:I3"/>
    <x:mergeCell ref="D6:I6"/>
    <x:mergeCell ref="A36:I36"/>
  </x:mergeCells>
  <x:conditionalFormatting sqref="D9:D34">
    <x:cfRule type="expression" dxfId="16" priority="1">
      <x:formula>D9="Titolare"</x:formula>
    </x:cfRule>
    <x:cfRule type="expression" dxfId="17" priority="2">
      <x:formula>ISNUMBER(SEARCH("Ballottaggio",D9))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1" hidden="0" customWidth="1"/>
    <x:col min="3" max="3" width="18" hidden="0" customWidth="1"/>
    <x:col min="4" max="4" width="23" hidden="0" customWidth="1"/>
    <x:col min="5" max="5" width="11" hidden="0" customWidth="1"/>
    <x:col min="6" max="6" width="12" hidden="0" customWidth="1"/>
    <x:col min="7" max="7" width="24" hidden="0" customWidth="1"/>
    <x:col min="8" max="8" width="20" hidden="0" customWidth="1"/>
    <x:col min="9" max="9" width="48" hidden="0" customWidth="1"/>
  </x:cols>
  <x:sheetData>
    <x:row r="1" ht="30" customHeight="1">
      <x:c r="A1" s="642" t="str">
        <x:v>INTER — GUIDA ASTA 2026/27</x:v>
      </x:c>
      <x:c r="B1" s="643"/>
      <x:c r="C1" s="643"/>
      <x:c r="D1" s="643"/>
      <x:c r="E1" s="643"/>
      <x:c r="F1" s="643"/>
      <x:c r="G1" s="643"/>
      <x:c r="H1" s="643"/>
      <x:c r="I1" s="644"/>
    </x:row>
    <x:row r="3">
      <x:c r="A3" s="663" t="str">
        <x:v>Allenatore</x:v>
      </x:c>
      <x:c r="B3" s="681" t="str">
        <x:v>Cristian Chivu</x:v>
      </x:c>
      <x:c r="C3" s="673" t="str">
        <x:v>Modulo</x:v>
      </x:c>
      <x:c r="D3" s="681" t="str">
        <x:v>3-5-2</x:v>
      </x:c>
      <x:c r="E3" s="681"/>
      <x:c r="F3" s="681"/>
      <x:c r="G3" s="681"/>
      <x:c r="H3" s="681"/>
      <x:c r="I3" s="682"/>
    </x:row>
    <x:row r="4" ht="38" customHeight="1">
      <x:c r="A4" s="664" t="str">
        <x:v>Formazione titolare</x:v>
      </x:c>
      <x:c r="B4" s="683" t="str">
        <x:v>Martinez; Bisseck, Akanji, Bastoni; Diouf, Barella, Calhanoglu, Jones, Dimarco; Thuram, Lautaro</x:v>
      </x:c>
      <x:c r="C4" s="676" t="str"/>
      <x:c r="D4" s="683" t="str"/>
      <x:c r="E4" s="683"/>
      <x:c r="F4" s="683"/>
      <x:c r="G4" s="683"/>
      <x:c r="H4" s="683"/>
      <x:c r="I4" s="684"/>
    </x:row>
    <x:row r="5" ht="38" customHeight="1">
      <x:c r="A5" s="664" t="str">
        <x:v>Ballottaggi</x:v>
      </x:c>
      <x:c r="B5" s="683" t="str">
        <x:v>Bisseck/Stones; Diouf/Spence; Jones/Zielinski; Thuram/Pio Esposito</x:v>
      </x:c>
      <x:c r="C5" s="676" t="str"/>
      <x:c r="D5" s="683" t="str"/>
      <x:c r="E5" s="683"/>
      <x:c r="F5" s="683"/>
      <x:c r="G5" s="683"/>
      <x:c r="H5" s="683"/>
      <x:c r="I5" s="684"/>
    </x:row>
    <x:row r="6">
      <x:c r="A6" s="665" t="str">
        <x:v>Rigoristi</x:v>
      </x:c>
      <x:c r="B6" s="685" t="str">
        <x:v>Calhanoglu, Zielinski, Lautaro Martinez</x:v>
      </x:c>
      <x:c r="C6" s="679" t="str">
        <x:v>Calci piazzati</x:v>
      </x:c>
      <x:c r="D6" s="685" t="str">
        <x:v>Calhanoglu, Dimarco, Zielinski</x:v>
      </x:c>
      <x:c r="E6" s="685"/>
      <x:c r="F6" s="685"/>
      <x:c r="G6" s="685"/>
      <x:c r="H6" s="685"/>
      <x:c r="I6" s="686"/>
    </x:row>
    <x:row r="8" ht="30" customHeight="1">
      <x:c r="A8" s="698" t="str">
        <x:v>Ruolo</x:v>
      </x:c>
      <x:c r="B8" s="699" t="str">
        <x:v>Calciatore</x:v>
      </x:c>
      <x:c r="C8" s="699" t="str">
        <x:v>Posizione</x:v>
      </x:c>
      <x:c r="D8" s="699" t="str">
        <x:v>Status</x:v>
      </x:c>
      <x:c r="E8" s="699" t="str">
        <x:v>Quotazione</x:v>
      </x:c>
      <x:c r="F8" s="699" t="str">
        <x:v>FVM su 504</x:v>
      </x:c>
      <x:c r="G8" s="699" t="str">
        <x:v>Fascia asta</x:v>
      </x:c>
      <x:c r="H8" s="699" t="str">
        <x:v>Specialità</x:v>
      </x:c>
      <x:c r="I8" s="700" t="str">
        <x:v>Consiglio Fantacalcio</x:v>
      </x:c>
    </x:row>
    <x:row r="9">
      <x:c r="A9" s="707" t="str">
        <x:v>Portiere</x:v>
      </x:c>
      <x:c r="B9" s="708" t="str">
        <x:f>IF((COUNTIF(Asta!$B$4:$B$47,"Martinez Jo.")+COUNTIF(Asta!$D$4:$D$47,"Martinez Jo.")+COUNTIF(Asta!$F$4:$F$47,"Martinez Jo.")+COUNTIF(Asta!$H$4:$H$47,"Martinez Jo.")+COUNTIF(Asta!$J$4:$J$47,"Martinez Jo.")+COUNTIF(Asta!$L$4:$L$47,"Martinez Jo.")+COUNTIF(Asta!$N$4:$N$47,"Martinez Jo.")+COUNTIF(Asta!$P$4:$P$47,"Martinez Jo.")+COUNTIF(Asta!$R$4:$R$47,"Martinez Jo.")+COUNTIF(Asta!$T$4:$T$47,"Martinez Jo."))&gt;0,REGEXREPLACE("Martinez Jo.","(.)","$1"&amp;UNICHAR(822)),"Martinez Jo.")</x:f>
        <x:v>Martinez Jo.</x:v>
      </x:c>
      <x:c r="C9" s="708" t="str">
        <x:v>Por</x:v>
      </x:c>
      <x:c r="D9" s="708" t="str">
        <x:v>Titolare</x:v>
      </x:c>
      <x:c r="E9" s="708" t="n">
        <x:v>17</x:v>
      </x:c>
      <x:c r="F9" s="708" t="n">
        <x:v>32</x:v>
      </x:c>
      <x:c r="G9" s="708" t="str">
        <x:v>Buon titolare</x:v>
      </x:c>
      <x:c r="H9" s="708" t="str">
        <x:v>Rigorista</x:v>
      </x:c>
      <x:c r="I9" s="709" t="str">
        <x:v>Portiere da prendere come titolare di reparto; profilo affidabile per continuità. Plus importante: è indicato tra i rigoristi.</x:v>
      </x:c>
    </x:row>
    <x:row r="10">
      <x:c r="A10" s="710" t="str">
        <x:v>Portiere</x:v>
      </x:c>
      <x:c r="B10" s="711" t="str">
        <x:f>IF((COUNTIF(Asta!$B$4:$B$47,"Provedel")+COUNTIF(Asta!$D$4:$D$47,"Provedel")+COUNTIF(Asta!$F$4:$F$47,"Provedel")+COUNTIF(Asta!$H$4:$H$47,"Provedel")+COUNTIF(Asta!$J$4:$J$47,"Provedel")+COUNTIF(Asta!$L$4:$L$47,"Provedel")+COUNTIF(Asta!$N$4:$N$47,"Provedel")+COUNTIF(Asta!$P$4:$P$47,"Provedel")+COUNTIF(Asta!$R$4:$R$47,"Provedel")+COUNTIF(Asta!$T$4:$T$47,"Provedel"))&gt;0,REGEXREPLACE("Provedel","(.)","$1"&amp;UNICHAR(822)),"Provedel")</x:f>
        <x:v>Provedel</x:v>
      </x:c>
      <x:c r="C10" s="711" t="str">
        <x:v>Por</x:v>
      </x:c>
      <x:c r="D10" s="711" t="str">
        <x:v>Riserva / rotazione</x:v>
      </x:c>
      <x:c r="E10" s="711" t="n">
        <x:v>2</x:v>
      </x:c>
      <x:c r="F10" s="711" t="n">
        <x:v>3</x:v>
      </x:c>
      <x:c r="G10" s="711" t="str">
        <x:v>Copertura</x:v>
      </x:c>
      <x:c r="H10" s="711" t="str"/>
      <x:c r="I10" s="712" t="str">
        <x:v>Solo come secondo/terzo portiere o copertura del titolare.</x:v>
      </x:c>
    </x:row>
    <x:row r="11">
      <x:c r="A11" s="710" t="str">
        <x:v>Portiere</x:v>
      </x:c>
      <x:c r="B11" s="711" t="str">
        <x:f>IF((COUNTIF(Asta!$B$4:$B$47,"Di Gennaro")+COUNTIF(Asta!$D$4:$D$47,"Di Gennaro")+COUNTIF(Asta!$F$4:$F$47,"Di Gennaro")+COUNTIF(Asta!$H$4:$H$47,"Di Gennaro")+COUNTIF(Asta!$J$4:$J$47,"Di Gennaro")+COUNTIF(Asta!$L$4:$L$47,"Di Gennaro")+COUNTIF(Asta!$N$4:$N$47,"Di Gennaro")+COUNTIF(Asta!$P$4:$P$47,"Di Gennaro")+COUNTIF(Asta!$R$4:$R$47,"Di Gennaro")+COUNTIF(Asta!$T$4:$T$47,"Di Gennaro"))&gt;0,REGEXREPLACE("Di Gennaro","(.)","$1"&amp;UNICHAR(822)),"Di Gennaro")</x:f>
        <x:v>Di Gennaro</x:v>
      </x:c>
      <x:c r="C11" s="711" t="str">
        <x:v>Por</x:v>
      </x:c>
      <x:c r="D11" s="711" t="str">
        <x:v>Riserva / rotazione</x:v>
      </x:c>
      <x:c r="E11" s="711" t="n">
        <x:v>1</x:v>
      </x:c>
      <x:c r="F11" s="711" t="n">
        <x:v>1</x:v>
      </x:c>
      <x:c r="G11" s="711" t="str">
        <x:v>Copertura</x:v>
      </x:c>
      <x:c r="H11" s="711" t="str"/>
      <x:c r="I11" s="712" t="str">
        <x:v>Solo come secondo/terzo portiere o copertura del titolare.</x:v>
      </x:c>
    </x:row>
    <x:row r="12">
      <x:c r="A12" s="713" t="str">
        <x:v>Difensore</x:v>
      </x:c>
      <x:c r="B12" s="714" t="str">
        <x:f>IF((COUNTIF(Asta!$B$4:$B$47,"Dimarco")+COUNTIF(Asta!$D$4:$D$47,"Dimarco")+COUNTIF(Asta!$F$4:$F$47,"Dimarco")+COUNTIF(Asta!$H$4:$H$47,"Dimarco")+COUNTIF(Asta!$J$4:$J$47,"Dimarco")+COUNTIF(Asta!$L$4:$L$47,"Dimarco")+COUNTIF(Asta!$N$4:$N$47,"Dimarco")+COUNTIF(Asta!$P$4:$P$47,"Dimarco")+COUNTIF(Asta!$R$4:$R$47,"Dimarco")+COUNTIF(Asta!$T$4:$T$47,"Dimarco"))&gt;0,REGEXREPLACE("Dimarco","(.)","$1"&amp;UNICHAR(822)),"Dimarco")</x:f>
        <x:v>Dimarco</x:v>
      </x:c>
      <x:c r="C12" s="714" t="str">
        <x:v>E;W</x:v>
      </x:c>
      <x:c r="D12" s="714" t="str">
        <x:v>Titolare</x:v>
      </x:c>
      <x:c r="E12" s="714" t="n">
        <x:v>32</x:v>
      </x:c>
      <x:c r="F12" s="714" t="n">
        <x:v>134</x:v>
      </x:c>
      <x:c r="G12" s="714" t="str">
        <x:v>Top</x:v>
      </x:c>
      <x:c r="H12" s="714" t="str">
        <x:v>Piazzati</x:v>
      </x:c>
      <x:c r="I12" s="715" t="str">
        <x:v>Da puntare: titolarità e alto potenziale fantacalcistico. Buon plus: può battere calci piazzati.</x:v>
      </x:c>
    </x:row>
    <x:row r="13">
      <x:c r="A13" s="713" t="str">
        <x:v>Difensore</x:v>
      </x:c>
      <x:c r="B13" s="714" t="str">
        <x:f>IF((COUNTIF(Asta!$B$4:$B$47,"Akanji")+COUNTIF(Asta!$D$4:$D$47,"Akanji")+COUNTIF(Asta!$F$4:$F$47,"Akanji")+COUNTIF(Asta!$H$4:$H$47,"Akanji")+COUNTIF(Asta!$J$4:$J$47,"Akanji")+COUNTIF(Asta!$L$4:$L$47,"Akanji")+COUNTIF(Asta!$N$4:$N$47,"Akanji")+COUNTIF(Asta!$P$4:$P$47,"Akanji")+COUNTIF(Asta!$R$4:$R$47,"Akanji")+COUNTIF(Asta!$T$4:$T$47,"Akanji"))&gt;0,REGEXREPLACE("Akanji","(.)","$1"&amp;UNICHAR(822)),"Akanji")</x:f>
        <x:v>Akanji</x:v>
      </x:c>
      <x:c r="C13" s="714" t="str">
        <x:v>Dc</x:v>
      </x:c>
      <x:c r="D13" s="714" t="str">
        <x:v>Titolare</x:v>
      </x:c>
      <x:c r="E13" s="714" t="n">
        <x:v>16</x:v>
      </x:c>
      <x:c r="F13" s="714" t="n">
        <x:v>28</x:v>
      </x:c>
      <x:c r="G13" s="714" t="str">
        <x:v>Buon titolare</x:v>
      </x:c>
      <x:c r="H13" s="714" t="str"/>
      <x:c r="I13" s="715" t="str">
        <x:v>Buon titolare di rosa, da prendere senza inseguire troppo il prezzo.</x:v>
      </x:c>
    </x:row>
    <x:row r="14">
      <x:c r="A14" s="713" t="str">
        <x:v>Difensore</x:v>
      </x:c>
      <x:c r="B14" s="714" t="str">
        <x:f>IF((COUNTIF(Asta!$B$4:$B$47,"Bastoni")+COUNTIF(Asta!$D$4:$D$47,"Bastoni")+COUNTIF(Asta!$F$4:$F$47,"Bastoni")+COUNTIF(Asta!$H$4:$H$47,"Bastoni")+COUNTIF(Asta!$J$4:$J$47,"Bastoni")+COUNTIF(Asta!$L$4:$L$47,"Bastoni")+COUNTIF(Asta!$N$4:$N$47,"Bastoni")+COUNTIF(Asta!$P$4:$P$47,"Bastoni")+COUNTIF(Asta!$R$4:$R$47,"Bastoni")+COUNTIF(Asta!$T$4:$T$47,"Bastoni"))&gt;0,REGEXREPLACE("Bastoni","(.)","$1"&amp;UNICHAR(822)),"Bastoni")</x:f>
        <x:v>Bastoni</x:v>
      </x:c>
      <x:c r="C14" s="714" t="str">
        <x:v>Dc</x:v>
      </x:c>
      <x:c r="D14" s="714" t="str">
        <x:v>Titolare</x:v>
      </x:c>
      <x:c r="E14" s="714" t="n">
        <x:v>14</x:v>
      </x:c>
      <x:c r="F14" s="714" t="n">
        <x:v>22</x:v>
      </x:c>
      <x:c r="G14" s="714" t="str">
        <x:v>Utile</x:v>
      </x:c>
      <x:c r="H14" s="714" t="str"/>
      <x:c r="I14" s="715" t="str">
        <x:v>Profilo utile per minutaggio e rotazioni; buon rapporto costo/titolarità.</x:v>
      </x:c>
    </x:row>
    <x:row r="15">
      <x:c r="A15" s="713" t="str">
        <x:v>Difensore</x:v>
      </x:c>
      <x:c r="B15" s="714" t="str">
        <x:f>IF((COUNTIF(Asta!$B$4:$B$47,"Stones")+COUNTIF(Asta!$D$4:$D$47,"Stones")+COUNTIF(Asta!$F$4:$F$47,"Stones")+COUNTIF(Asta!$H$4:$H$47,"Stones")+COUNTIF(Asta!$J$4:$J$47,"Stones")+COUNTIF(Asta!$L$4:$L$47,"Stones")+COUNTIF(Asta!$N$4:$N$47,"Stones")+COUNTIF(Asta!$P$4:$P$47,"Stones")+COUNTIF(Asta!$R$4:$R$47,"Stones")+COUNTIF(Asta!$T$4:$T$47,"Stones"))&gt;0,REGEXREPLACE("Stones","(.)","$1"&amp;UNICHAR(822)),"Stones")</x:f>
        <x:v>Stones</x:v>
      </x:c>
      <x:c r="C15" s="714" t="str">
        <x:v>Dc</x:v>
      </x:c>
      <x:c r="D15" s="714" t="str">
        <x:v>Ballottaggio</x:v>
      </x:c>
      <x:c r="E15" s="714" t="n">
        <x:v>12</x:v>
      </x:c>
      <x:c r="F15" s="714" t="n">
        <x:v>19</x:v>
      </x:c>
      <x:c r="G15" s="714" t="str">
        <x:v>Utile</x:v>
      </x:c>
      <x:c r="H15" s="714" t="str"/>
      <x:c r="I15" s="715" t="str">
        <x:v>Scommessa con upside: prendilo a prezzo controllato.</x:v>
      </x:c>
    </x:row>
    <x:row r="16">
      <x:c r="A16" s="713" t="str">
        <x:v>Difensore</x:v>
      </x:c>
      <x:c r="B16" s="714" t="str">
        <x:f>IF((COUNTIF(Asta!$B$4:$B$47,"Bisseck")+COUNTIF(Asta!$D$4:$D$47,"Bisseck")+COUNTIF(Asta!$F$4:$F$47,"Bisseck")+COUNTIF(Asta!$H$4:$H$47,"Bisseck")+COUNTIF(Asta!$J$4:$J$47,"Bisseck")+COUNTIF(Asta!$L$4:$L$47,"Bisseck")+COUNTIF(Asta!$N$4:$N$47,"Bisseck")+COUNTIF(Asta!$P$4:$P$47,"Bisseck")+COUNTIF(Asta!$R$4:$R$47,"Bisseck")+COUNTIF(Asta!$T$4:$T$47,"Bisseck"))&gt;0,REGEXREPLACE("Bisseck","(.)","$1"&amp;UNICHAR(822)),"Bisseck")</x:f>
        <x:v>Bisseck</x:v>
      </x:c>
      <x:c r="C16" s="714" t="str">
        <x:v>Dc</x:v>
      </x:c>
      <x:c r="D16" s="714" t="str">
        <x:v>Titolare / ballottaggio</x:v>
      </x:c>
      <x:c r="E16" s="714" t="n">
        <x:v>11</x:v>
      </x:c>
      <x:c r="F16" s="714" t="n">
        <x:v>17</x:v>
      </x:c>
      <x:c r="G16" s="714" t="str">
        <x:v>Utile</x:v>
      </x:c>
      <x:c r="H16" s="714" t="str"/>
      <x:c r="I16" s="715" t="str">
        <x:v>Scommessa con upside: prendilo a prezzo controllato.</x:v>
      </x:c>
    </x:row>
    <x:row r="17">
      <x:c r="A17" s="713" t="str">
        <x:v>Difensore</x:v>
      </x:c>
      <x:c r="B17" s="714" t="str">
        <x:f>IF((COUNTIF(Asta!$B$4:$B$47,"Carlos Augusto")+COUNTIF(Asta!$D$4:$D$47,"Carlos Augusto")+COUNTIF(Asta!$F$4:$F$47,"Carlos Augusto")+COUNTIF(Asta!$H$4:$H$47,"Carlos Augusto")+COUNTIF(Asta!$J$4:$J$47,"Carlos Augusto")+COUNTIF(Asta!$L$4:$L$47,"Carlos Augusto")+COUNTIF(Asta!$N$4:$N$47,"Carlos Augusto")+COUNTIF(Asta!$P$4:$P$47,"Carlos Augusto")+COUNTIF(Asta!$R$4:$R$47,"Carlos Augusto")+COUNTIF(Asta!$T$4:$T$47,"Carlos Augusto"))&gt;0,REGEXREPLACE("Carlos Augusto","(.)","$1"&amp;UNICHAR(822)),"Carlos Augusto")</x:f>
        <x:v>Carlos Augusto</x:v>
      </x:c>
      <x:c r="C17" s="714" t="str">
        <x:v>B;Ds;E</x:v>
      </x:c>
      <x:c r="D17" s="714" t="str">
        <x:v>Riserva / rotazione</x:v>
      </x:c>
      <x:c r="E17" s="714" t="n">
        <x:v>7</x:v>
      </x:c>
      <x:c r="F17" s="714" t="n">
        <x:v>14</x:v>
      </x:c>
      <x:c r="G17" s="714" t="str">
        <x:v>Utile</x:v>
      </x:c>
      <x:c r="H17" s="714" t="str"/>
      <x:c r="I17" s="715" t="str">
        <x:v>Scommessa da ultimi slot, senza sovrapprezzo.</x:v>
      </x:c>
    </x:row>
    <x:row r="18">
      <x:c r="A18" s="713" t="str">
        <x:v>Difensore</x:v>
      </x:c>
      <x:c r="B18" s="714" t="str">
        <x:f>IF((COUNTIF(Asta!$B$4:$B$47,"Pavard")+COUNTIF(Asta!$D$4:$D$47,"Pavard")+COUNTIF(Asta!$F$4:$F$47,"Pavard")+COUNTIF(Asta!$H$4:$H$47,"Pavard")+COUNTIF(Asta!$J$4:$J$47,"Pavard")+COUNTIF(Asta!$L$4:$L$47,"Pavard")+COUNTIF(Asta!$N$4:$N$47,"Pavard")+COUNTIF(Asta!$P$4:$P$47,"Pavard")+COUNTIF(Asta!$R$4:$R$47,"Pavard")+COUNTIF(Asta!$T$4:$T$47,"Pavard"))&gt;0,REGEXREPLACE("Pavard","(.)","$1"&amp;UNICHAR(822)),"Pavard")</x:f>
        <x:v>Pavard</x:v>
      </x:c>
      <x:c r="C18" s="714" t="str">
        <x:v>Dd;Dc</x:v>
      </x:c>
      <x:c r="D18" s="714" t="str">
        <x:v>Riserva / rotazione</x:v>
      </x:c>
      <x:c r="E18" s="714" t="n">
        <x:v>6</x:v>
      </x:c>
      <x:c r="F18" s="714" t="n">
        <x:v>9</x:v>
      </x:c>
      <x:c r="G18" s="714" t="str">
        <x:v>Scommessa</x:v>
      </x:c>
      <x:c r="H18" s="714" t="str"/>
      <x:c r="I18" s="715" t="str">
        <x:v>Scommessa da ultimi slot, senza sovrapprezzo.</x:v>
      </x:c>
    </x:row>
    <x:row r="19">
      <x:c r="A19" s="716" t="str">
        <x:v>Centrocampista</x:v>
      </x:c>
      <x:c r="B19" s="717" t="str">
        <x:f>IF((COUNTIF(Asta!$B$4:$B$47,"Calhanoglu")+COUNTIF(Asta!$D$4:$D$47,"Calhanoglu")+COUNTIF(Asta!$F$4:$F$47,"Calhanoglu")+COUNTIF(Asta!$H$4:$H$47,"Calhanoglu")+COUNTIF(Asta!$J$4:$J$47,"Calhanoglu")+COUNTIF(Asta!$L$4:$L$47,"Calhanoglu")+COUNTIF(Asta!$N$4:$N$47,"Calhanoglu")+COUNTIF(Asta!$P$4:$P$47,"Calhanoglu")+COUNTIF(Asta!$R$4:$R$47,"Calhanoglu")+COUNTIF(Asta!$T$4:$T$47,"Calhanoglu"))&gt;0,REGEXREPLACE("Calhanoglu","(.)","$1"&amp;UNICHAR(822)),"Calhanoglu")</x:f>
        <x:v>Calhanoglu</x:v>
      </x:c>
      <x:c r="C19" s="717" t="str">
        <x:v>M;C</x:v>
      </x:c>
      <x:c r="D19" s="717" t="str">
        <x:v>Titolare</x:v>
      </x:c>
      <x:c r="E19" s="717" t="n">
        <x:v>27</x:v>
      </x:c>
      <x:c r="F19" s="717" t="n">
        <x:v>116</x:v>
      </x:c>
      <x:c r="G19" s="717" t="str">
        <x:v>Top</x:v>
      </x:c>
      <x:c r="H19" s="717" t="str">
        <x:v>Rigorista · Piazzati</x:v>
      </x:c>
      <x:c r="I19" s="718" t="str">
        <x:v>Da puntare: titolarità e alto potenziale fantacalcistico. Plus importante: è indicato tra i rigoristi.</x:v>
      </x:c>
    </x:row>
    <x:row r="20">
      <x:c r="A20" s="716" t="str">
        <x:v>Centrocampista</x:v>
      </x:c>
      <x:c r="B20" s="717" t="str">
        <x:f>IF((COUNTIF(Asta!$B$4:$B$47,"Barella")+COUNTIF(Asta!$D$4:$D$47,"Barella")+COUNTIF(Asta!$F$4:$F$47,"Barella")+COUNTIF(Asta!$H$4:$H$47,"Barella")+COUNTIF(Asta!$J$4:$J$47,"Barella")+COUNTIF(Asta!$L$4:$L$47,"Barella")+COUNTIF(Asta!$N$4:$N$47,"Barella")+COUNTIF(Asta!$P$4:$P$47,"Barella")+COUNTIF(Asta!$R$4:$R$47,"Barella")+COUNTIF(Asta!$T$4:$T$47,"Barella"))&gt;0,REGEXREPLACE("Barella","(.)","$1"&amp;UNICHAR(822)),"Barella")</x:f>
        <x:v>Barella</x:v>
      </x:c>
      <x:c r="C20" s="717" t="str">
        <x:v>C</x:v>
      </x:c>
      <x:c r="D20" s="717" t="str">
        <x:v>Titolare</x:v>
      </x:c>
      <x:c r="E20" s="717" t="n">
        <x:v>17</x:v>
      </x:c>
      <x:c r="F20" s="717" t="n">
        <x:v>41</x:v>
      </x:c>
      <x:c r="G20" s="717" t="str">
        <x:v>Buon titolare</x:v>
      </x:c>
      <x:c r="H20" s="717" t="str"/>
      <x:c r="I20" s="718" t="str">
        <x:v>Buon titolare di rosa, da prendere senza inseguire troppo il prezzo.</x:v>
      </x:c>
    </x:row>
    <x:row r="21">
      <x:c r="A21" s="716" t="str">
        <x:v>Centrocampista</x:v>
      </x:c>
      <x:c r="B21" s="717" t="str">
        <x:f>IF((COUNTIF(Asta!$B$4:$B$47,"Zielinski")+COUNTIF(Asta!$D$4:$D$47,"Zielinski")+COUNTIF(Asta!$F$4:$F$47,"Zielinski")+COUNTIF(Asta!$H$4:$H$47,"Zielinski")+COUNTIF(Asta!$J$4:$J$47,"Zielinski")+COUNTIF(Asta!$L$4:$L$47,"Zielinski")+COUNTIF(Asta!$N$4:$N$47,"Zielinski")+COUNTIF(Asta!$P$4:$P$47,"Zielinski")+COUNTIF(Asta!$R$4:$R$47,"Zielinski")+COUNTIF(Asta!$T$4:$T$47,"Zielinski"))&gt;0,REGEXREPLACE("Zielinski","(.)","$1"&amp;UNICHAR(822)),"Zielinski")</x:f>
        <x:v>Zielinski</x:v>
      </x:c>
      <x:c r="C21" s="717" t="str">
        <x:v>C</x:v>
      </x:c>
      <x:c r="D21" s="717" t="str">
        <x:v>Ballottaggio</x:v>
      </x:c>
      <x:c r="E21" s="717" t="n">
        <x:v>10</x:v>
      </x:c>
      <x:c r="F21" s="717" t="n">
        <x:v>21</x:v>
      </x:c>
      <x:c r="G21" s="717" t="str">
        <x:v>Utile</x:v>
      </x:c>
      <x:c r="H21" s="717" t="str">
        <x:v>Rigorista · Piazzati</x:v>
      </x:c>
      <x:c r="I21" s="718" t="str">
        <x:v>Scommessa con upside: prendilo a prezzo controllato. Plus importante: è indicato tra i rigoristi.</x:v>
      </x:c>
    </x:row>
    <x:row r="22">
      <x:c r="A22" s="716" t="str">
        <x:v>Centrocampista</x:v>
      </x:c>
      <x:c r="B22" s="717" t="str">
        <x:f>IF((COUNTIF(Asta!$B$4:$B$47,"Diouf")+COUNTIF(Asta!$D$4:$D$47,"Diouf")+COUNTIF(Asta!$F$4:$F$47,"Diouf")+COUNTIF(Asta!$H$4:$H$47,"Diouf")+COUNTIF(Asta!$J$4:$J$47,"Diouf")+COUNTIF(Asta!$L$4:$L$47,"Diouf")+COUNTIF(Asta!$N$4:$N$47,"Diouf")+COUNTIF(Asta!$P$4:$P$47,"Diouf")+COUNTIF(Asta!$R$4:$R$47,"Diouf")+COUNTIF(Asta!$T$4:$T$47,"Diouf"))&gt;0,REGEXREPLACE("Diouf","(.)","$1"&amp;UNICHAR(822)),"Diouf")</x:f>
        <x:v>Diouf</x:v>
      </x:c>
      <x:c r="C22" s="717" t="str">
        <x:v>E;C</x:v>
      </x:c>
      <x:c r="D22" s="717" t="str">
        <x:v>Titolare / ballottaggio</x:v>
      </x:c>
      <x:c r="E22" s="717" t="n">
        <x:v>8</x:v>
      </x:c>
      <x:c r="F22" s="717" t="n">
        <x:v>19</x:v>
      </x:c>
      <x:c r="G22" s="717" t="str">
        <x:v>Utile</x:v>
      </x:c>
      <x:c r="H22" s="717" t="str"/>
      <x:c r="I22" s="718" t="str">
        <x:v>Scommessa con upside: prendilo a prezzo controllato.</x:v>
      </x:c>
    </x:row>
    <x:row r="23">
      <x:c r="A23" s="716" t="str">
        <x:v>Centrocampista</x:v>
      </x:c>
      <x:c r="B23" s="717" t="str">
        <x:f>IF((COUNTIF(Asta!$B$4:$B$47,"Sucic P.")+COUNTIF(Asta!$D$4:$D$47,"Sucic P.")+COUNTIF(Asta!$F$4:$F$47,"Sucic P.")+COUNTIF(Asta!$H$4:$H$47,"Sucic P.")+COUNTIF(Asta!$J$4:$J$47,"Sucic P.")+COUNTIF(Asta!$L$4:$L$47,"Sucic P.")+COUNTIF(Asta!$N$4:$N$47,"Sucic P.")+COUNTIF(Asta!$P$4:$P$47,"Sucic P.")+COUNTIF(Asta!$R$4:$R$47,"Sucic P.")+COUNTIF(Asta!$T$4:$T$47,"Sucic P."))&gt;0,REGEXREPLACE("Sucic P.","(.)","$1"&amp;UNICHAR(822)),"Sucic P.")</x:f>
        <x:v>Sucic P.</x:v>
      </x:c>
      <x:c r="C23" s="717" t="str">
        <x:v>C</x:v>
      </x:c>
      <x:c r="D23" s="717" t="str">
        <x:v>Riserva / rotazione</x:v>
      </x:c>
      <x:c r="E23" s="717" t="n">
        <x:v>8</x:v>
      </x:c>
      <x:c r="F23" s="717" t="n">
        <x:v>13</x:v>
      </x:c>
      <x:c r="G23" s="717" t="str">
        <x:v>Utile</x:v>
      </x:c>
      <x:c r="H23" s="717" t="str"/>
      <x:c r="I23" s="718" t="str">
        <x:v>Scommessa da ultimi slot, senza sovrapprezzo.</x:v>
      </x:c>
    </x:row>
    <x:row r="24">
      <x:c r="A24" s="716" t="str">
        <x:v>Centrocampista</x:v>
      </x:c>
      <x:c r="B24" s="717" t="str">
        <x:f>IF((COUNTIF(Asta!$B$4:$B$47,"Mkhitaryan")+COUNTIF(Asta!$D$4:$D$47,"Mkhitaryan")+COUNTIF(Asta!$F$4:$F$47,"Mkhitaryan")+COUNTIF(Asta!$H$4:$H$47,"Mkhitaryan")+COUNTIF(Asta!$J$4:$J$47,"Mkhitaryan")+COUNTIF(Asta!$L$4:$L$47,"Mkhitaryan")+COUNTIF(Asta!$N$4:$N$47,"Mkhitaryan")+COUNTIF(Asta!$P$4:$P$47,"Mkhitaryan")+COUNTIF(Asta!$R$4:$R$47,"Mkhitaryan")+COUNTIF(Asta!$T$4:$T$47,"Mkhitaryan"))&gt;0,REGEXREPLACE("Mkhitaryan","(.)","$1"&amp;UNICHAR(822)),"Mkhitaryan")</x:f>
        <x:v>Mkhitaryan</x:v>
      </x:c>
      <x:c r="C24" s="717" t="str">
        <x:v>C</x:v>
      </x:c>
      <x:c r="D24" s="717" t="str">
        <x:v>Riserva / rotazione</x:v>
      </x:c>
      <x:c r="E24" s="717" t="n">
        <x:v>5</x:v>
      </x:c>
      <x:c r="F24" s="717" t="n">
        <x:v>10</x:v>
      </x:c>
      <x:c r="G24" s="717" t="str">
        <x:v>Scommessa</x:v>
      </x:c>
      <x:c r="H24" s="717" t="str"/>
      <x:c r="I24" s="718" t="str">
        <x:v>Scommessa da ultimi slot, senza sovrapprezzo.</x:v>
      </x:c>
    </x:row>
    <x:row r="25">
      <x:c r="A25" s="716" t="str">
        <x:v>Centrocampista</x:v>
      </x:c>
      <x:c r="B25" s="717" t="str">
        <x:f>IF((COUNTIF(Asta!$B$4:$B$47,"Frattesi")+COUNTIF(Asta!$D$4:$D$47,"Frattesi")+COUNTIF(Asta!$F$4:$F$47,"Frattesi")+COUNTIF(Asta!$H$4:$H$47,"Frattesi")+COUNTIF(Asta!$J$4:$J$47,"Frattesi")+COUNTIF(Asta!$L$4:$L$47,"Frattesi")+COUNTIF(Asta!$N$4:$N$47,"Frattesi")+COUNTIF(Asta!$P$4:$P$47,"Frattesi")+COUNTIF(Asta!$R$4:$R$47,"Frattesi")+COUNTIF(Asta!$T$4:$T$47,"Frattesi"))&gt;0,REGEXREPLACE("Frattesi","(.)","$1"&amp;UNICHAR(822)),"Frattesi")</x:f>
        <x:v>Frattesi</x:v>
      </x:c>
      <x:c r="C25" s="717" t="str">
        <x:v>C;T</x:v>
      </x:c>
      <x:c r="D25" s="717" t="str">
        <x:v>Riserva / rotazione</x:v>
      </x:c>
      <x:c r="E25" s="717" t="n">
        <x:v>7</x:v>
      </x:c>
      <x:c r="F25" s="717" t="n">
        <x:v>7</x:v>
      </x:c>
      <x:c r="G25" s="717" t="str">
        <x:v>Scommessa</x:v>
      </x:c>
      <x:c r="H25" s="717" t="str"/>
      <x:c r="I25" s="718" t="str">
        <x:v>Copertura/ultimo slot: da prendere a 1-2 crediti.</x:v>
      </x:c>
    </x:row>
    <x:row r="26">
      <x:c r="A26" s="716" t="str">
        <x:v>Centrocampista</x:v>
      </x:c>
      <x:c r="B26" s="717" t="str">
        <x:f>IF((COUNTIF(Asta!$B$4:$B$47,"Luis Henrique")+COUNTIF(Asta!$D$4:$D$47,"Luis Henrique")+COUNTIF(Asta!$F$4:$F$47,"Luis Henrique")+COUNTIF(Asta!$H$4:$H$47,"Luis Henrique")+COUNTIF(Asta!$J$4:$J$47,"Luis Henrique")+COUNTIF(Asta!$L$4:$L$47,"Luis Henrique")+COUNTIF(Asta!$N$4:$N$47,"Luis Henrique")+COUNTIF(Asta!$P$4:$P$47,"Luis Henrique")+COUNTIF(Asta!$R$4:$R$47,"Luis Henrique")+COUNTIF(Asta!$T$4:$T$47,"Luis Henrique"))&gt;0,REGEXREPLACE("Luis Henrique","(.)","$1"&amp;UNICHAR(822)),"Luis Henrique")</x:f>
        <x:v>Luis Henrique</x:v>
      </x:c>
      <x:c r="C26" s="717" t="str">
        <x:v>E;W</x:v>
      </x:c>
      <x:c r="D26" s="717" t="str">
        <x:v>Riserva / rotazione</x:v>
      </x:c>
      <x:c r="E26" s="717" t="n">
        <x:v>4</x:v>
      </x:c>
      <x:c r="F26" s="717" t="n">
        <x:v>7</x:v>
      </x:c>
      <x:c r="G26" s="717" t="str">
        <x:v>Scommessa</x:v>
      </x:c>
      <x:c r="H26" s="717" t="str"/>
      <x:c r="I26" s="718" t="str">
        <x:v>Copertura/ultimo slot: da prendere a 1-2 crediti.</x:v>
      </x:c>
    </x:row>
    <x:row r="27">
      <x:c r="A27" s="716" t="str">
        <x:v>Centrocampista</x:v>
      </x:c>
      <x:c r="B27" s="717" t="str">
        <x:f>IF((COUNTIF(Asta!$B$4:$B$47,"Stankovic A.")+COUNTIF(Asta!$D$4:$D$47,"Stankovic A.")+COUNTIF(Asta!$F$4:$F$47,"Stankovic A.")+COUNTIF(Asta!$H$4:$H$47,"Stankovic A.")+COUNTIF(Asta!$J$4:$J$47,"Stankovic A.")+COUNTIF(Asta!$L$4:$L$47,"Stankovic A.")+COUNTIF(Asta!$N$4:$N$47,"Stankovic A.")+COUNTIF(Asta!$P$4:$P$47,"Stankovic A.")+COUNTIF(Asta!$R$4:$R$47,"Stankovic A.")+COUNTIF(Asta!$T$4:$T$47,"Stankovic A."))&gt;0,REGEXREPLACE("Stankovic A.","(.)","$1"&amp;UNICHAR(822)),"Stankovic A.")</x:f>
        <x:v>Stankovic A.</x:v>
      </x:c>
      <x:c r="C27" s="717" t="str">
        <x:v>M;C</x:v>
      </x:c>
      <x:c r="D27" s="717" t="str">
        <x:v>Riserva / rotazione</x:v>
      </x:c>
      <x:c r="E27" s="717" t="n">
        <x:v>3</x:v>
      </x:c>
      <x:c r="F27" s="717" t="n">
        <x:v>5</x:v>
      </x:c>
      <x:c r="G27" s="717" t="str">
        <x:v>Scommessa</x:v>
      </x:c>
      <x:c r="H27" s="717" t="str"/>
      <x:c r="I27" s="718" t="str">
        <x:v>Copertura/ultimo slot: da prendere a 1-2 crediti.</x:v>
      </x:c>
    </x:row>
    <x:row r="28">
      <x:c r="A28" s="719" t="str">
        <x:v>Attaccante</x:v>
      </x:c>
      <x:c r="B28" s="720" t="str">
        <x:f>IF((COUNTIF(Asta!$B$4:$B$47,"Martinez L.")+COUNTIF(Asta!$D$4:$D$47,"Martinez L.")+COUNTIF(Asta!$F$4:$F$47,"Martinez L.")+COUNTIF(Asta!$H$4:$H$47,"Martinez L.")+COUNTIF(Asta!$J$4:$J$47,"Martinez L.")+COUNTIF(Asta!$L$4:$L$47,"Martinez L.")+COUNTIF(Asta!$N$4:$N$47,"Martinez L.")+COUNTIF(Asta!$P$4:$P$47,"Martinez L.")+COUNTIF(Asta!$R$4:$R$47,"Martinez L.")+COUNTIF(Asta!$T$4:$T$47,"Martinez L."))&gt;0,REGEXREPLACE("Martinez L.","(.)","$1"&amp;UNICHAR(822)),"Martinez L.")</x:f>
        <x:v>Martinez L.</x:v>
      </x:c>
      <x:c r="C28" s="720" t="str">
        <x:v>Pc</x:v>
      </x:c>
      <x:c r="D28" s="720" t="str">
        <x:v>Titolare</x:v>
      </x:c>
      <x:c r="E28" s="720" t="n">
        <x:v>35</x:v>
      </x:c>
      <x:c r="F28" s="720" t="n">
        <x:v>186</x:v>
      </x:c>
      <x:c r="G28" s="720" t="str">
        <x:v>Top</x:v>
      </x:c>
      <x:c r="H28" s="720" t="str">
        <x:v>Rigorista</x:v>
      </x:c>
      <x:c r="I28" s="721" t="str">
        <x:v>Da puntare: titolarità e alto potenziale fantacalcistico. Plus importante: è indicato tra i rigoristi.</x:v>
      </x:c>
    </x:row>
    <x:row r="29">
      <x:c r="A29" s="719" t="str">
        <x:v>Attaccante</x:v>
      </x:c>
      <x:c r="B29" s="720" t="str">
        <x:f>IF((COUNTIF(Asta!$B$4:$B$47,"Thuram")+COUNTIF(Asta!$D$4:$D$47,"Thuram")+COUNTIF(Asta!$F$4:$F$47,"Thuram")+COUNTIF(Asta!$H$4:$H$47,"Thuram")+COUNTIF(Asta!$J$4:$J$47,"Thuram")+COUNTIF(Asta!$L$4:$L$47,"Thuram")+COUNTIF(Asta!$N$4:$N$47,"Thuram")+COUNTIF(Asta!$P$4:$P$47,"Thuram")+COUNTIF(Asta!$R$4:$R$47,"Thuram")+COUNTIF(Asta!$T$4:$T$47,"Thuram"))&gt;0,REGEXREPLACE("Thuram","(.)","$1"&amp;UNICHAR(822)),"Thuram")</x:f>
        <x:v>Thuram</x:v>
      </x:c>
      <x:c r="C29" s="720" t="str">
        <x:v>Pc</x:v>
      </x:c>
      <x:c r="D29" s="720" t="str">
        <x:v>Titolare / ballottaggio</x:v>
      </x:c>
      <x:c r="E29" s="720" t="n">
        <x:v>29</x:v>
      </x:c>
      <x:c r="F29" s="720" t="n">
        <x:v>141</x:v>
      </x:c>
      <x:c r="G29" s="720" t="str">
        <x:v>Top</x:v>
      </x:c>
      <x:c r="H29" s="720" t="str"/>
      <x:c r="I29" s="721" t="str">
        <x:v>Interessante per bonus, ma non pagarlo come titolare fisso.</x:v>
      </x:c>
    </x:row>
    <x:row r="30">
      <x:c r="A30" s="719" t="str">
        <x:v>Attaccante</x:v>
      </x:c>
      <x:c r="B30" s="720" t="str">
        <x:f>IF((COUNTIF(Asta!$B$4:$B$47,"Esposito F.P.")+COUNTIF(Asta!$D$4:$D$47,"Esposito F.P.")+COUNTIF(Asta!$F$4:$F$47,"Esposito F.P.")+COUNTIF(Asta!$H$4:$H$47,"Esposito F.P.")+COUNTIF(Asta!$J$4:$J$47,"Esposito F.P.")+COUNTIF(Asta!$L$4:$L$47,"Esposito F.P.")+COUNTIF(Asta!$N$4:$N$47,"Esposito F.P.")+COUNTIF(Asta!$P$4:$P$47,"Esposito F.P.")+COUNTIF(Asta!$R$4:$R$47,"Esposito F.P.")+COUNTIF(Asta!$T$4:$T$47,"Esposito F.P."))&gt;0,REGEXREPLACE("Esposito F.P.","(.)","$1"&amp;UNICHAR(822)),"Esposito F.P.")</x:f>
        <x:v>Esposito F.P.</x:v>
      </x:c>
      <x:c r="C30" s="720" t="str">
        <x:v>Pc</x:v>
      </x:c>
      <x:c r="D30" s="720" t="str">
        <x:v>Ballottaggio</x:v>
      </x:c>
      <x:c r="E30" s="720" t="n">
        <x:v>16</x:v>
      </x:c>
      <x:c r="F30" s="720" t="n">
        <x:v>47</x:v>
      </x:c>
      <x:c r="G30" s="720" t="str">
        <x:v>Premium</x:v>
      </x:c>
      <x:c r="H30" s="720" t="str"/>
      <x:c r="I30" s="721" t="str">
        <x:v>Interessante per bonus, ma non pagarlo come titolare fisso.</x:v>
      </x:c>
    </x:row>
    <x:row r="31">
      <x:c r="A31" s="722" t="str">
        <x:v>Attaccante</x:v>
      </x:c>
      <x:c r="B31" s="723" t="str">
        <x:f>IF((COUNTIF(Asta!$B$4:$B$47,"Bonny")+COUNTIF(Asta!$D$4:$D$47,"Bonny")+COUNTIF(Asta!$F$4:$F$47,"Bonny")+COUNTIF(Asta!$H$4:$H$47,"Bonny")+COUNTIF(Asta!$J$4:$J$47,"Bonny")+COUNTIF(Asta!$L$4:$L$47,"Bonny")+COUNTIF(Asta!$N$4:$N$47,"Bonny")+COUNTIF(Asta!$P$4:$P$47,"Bonny")+COUNTIF(Asta!$R$4:$R$47,"Bonny")+COUNTIF(Asta!$T$4:$T$47,"Bonny"))&gt;0,REGEXREPLACE("Bonny","(.)","$1"&amp;UNICHAR(822)),"Bonny")</x:f>
        <x:v>Bonny</x:v>
      </x:c>
      <x:c r="C31" s="723" t="str">
        <x:v>Pc</x:v>
      </x:c>
      <x:c r="D31" s="723" t="str">
        <x:v>Riserva / rotazione</x:v>
      </x:c>
      <x:c r="E31" s="723" t="n">
        <x:v>7</x:v>
      </x:c>
      <x:c r="F31" s="723" t="n">
        <x:v>11</x:v>
      </x:c>
      <x:c r="G31" s="723" t="str">
        <x:v>Utile</x:v>
      </x:c>
      <x:c r="H31" s="723" t="str"/>
      <x:c r="I31" s="724" t="str">
        <x:v>Scommessa da ultimi slot, senza sovrapprezzo.</x:v>
      </x:c>
    </x:row>
    <x:row r="33">
      <x:c r="A33" s="630" t="str">
        <x:v>Fonte formazione/ballottaggi/rigoristi: Fantacalcio.it, aggiornamento 09/09/2026 — https://www.fantacalcio.it/news/calcio-italia/06_08_2026/asta-fantacalcio-le-probabili-formazioni-della-serie-a-enilive-2026-27-495558</x:v>
      </x:c>
      <x:c r="B33" s="630"/>
      <x:c r="C33" s="630"/>
      <x:c r="D33" s="630"/>
      <x:c r="E33" s="630"/>
      <x:c r="F33" s="630"/>
      <x:c r="G33" s="630"/>
      <x:c r="H33" s="630"/>
      <x:c r="I33" s="630"/>
    </x:row>
  </x:sheetData>
  <x:mergeCells>
    <x:mergeCell ref="A1:I1"/>
    <x:mergeCell ref="B4:I4"/>
    <x:mergeCell ref="B5:I5"/>
    <x:mergeCell ref="D3:I3"/>
    <x:mergeCell ref="D6:I6"/>
    <x:mergeCell ref="A33:I33"/>
  </x:mergeCells>
  <x:conditionalFormatting sqref="D9:D31">
    <x:cfRule type="expression" dxfId="18" priority="1">
      <x:formula>D9="Titolare"</x:formula>
    </x:cfRule>
    <x:cfRule type="expression" dxfId="19" priority="2">
      <x:formula>ISNUMBER(SEARCH("Ballottaggio",D9))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1" hidden="0" customWidth="1"/>
    <x:col min="3" max="3" width="18" hidden="0" customWidth="1"/>
    <x:col min="4" max="4" width="23" hidden="0" customWidth="1"/>
    <x:col min="5" max="5" width="11" hidden="0" customWidth="1"/>
    <x:col min="6" max="6" width="12" hidden="0" customWidth="1"/>
    <x:col min="7" max="7" width="24" hidden="0" customWidth="1"/>
    <x:col min="8" max="8" width="20" hidden="0" customWidth="1"/>
    <x:col min="9" max="9" width="48" hidden="0" customWidth="1"/>
  </x:cols>
  <x:sheetData>
    <x:row r="1" ht="30" customHeight="1">
      <x:c r="A1" s="642" t="str">
        <x:v>JUVENTUS — GUIDA ASTA 2026/27</x:v>
      </x:c>
      <x:c r="B1" s="643"/>
      <x:c r="C1" s="643"/>
      <x:c r="D1" s="643"/>
      <x:c r="E1" s="643"/>
      <x:c r="F1" s="643"/>
      <x:c r="G1" s="643"/>
      <x:c r="H1" s="643"/>
      <x:c r="I1" s="644"/>
    </x:row>
    <x:row r="3">
      <x:c r="A3" s="663" t="str">
        <x:v>Allenatore</x:v>
      </x:c>
      <x:c r="B3" s="681" t="str">
        <x:v>Luciano Spalletti</x:v>
      </x:c>
      <x:c r="C3" s="673" t="str">
        <x:v>Modulo</x:v>
      </x:c>
      <x:c r="D3" s="681" t="str">
        <x:v>4-2-3-1</x:v>
      </x:c>
      <x:c r="E3" s="681"/>
      <x:c r="F3" s="681"/>
      <x:c r="G3" s="681"/>
      <x:c r="H3" s="681"/>
      <x:c r="I3" s="682"/>
    </x:row>
    <x:row r="4" ht="38" customHeight="1">
      <x:c r="A4" s="664" t="str">
        <x:v>Formazione titolare</x:v>
      </x:c>
      <x:c r="B4" s="683" t="str">
        <x:v>Vicario; Kalulu, Bremer, Lucumì, Celik; Douglas Luiz, Sarr; Conceicao, McKennie, Gonzalez; Kolo Muani</x:v>
      </x:c>
      <x:c r="C4" s="676" t="str"/>
      <x:c r="D4" s="683" t="str"/>
      <x:c r="E4" s="683"/>
      <x:c r="F4" s="683"/>
      <x:c r="G4" s="683"/>
      <x:c r="H4" s="683"/>
      <x:c r="I4" s="684"/>
    </x:row>
    <x:row r="5" ht="38" customHeight="1">
      <x:c r="A5" s="664" t="str">
        <x:v>Ballottaggi</x:v>
      </x:c>
      <x:c r="B5" s="683" t="str">
        <x:v>Lucumì/Kelly; Celik/Cambiaso; Sarr/Koopmeiners; Gonzalez/Alajbegovic; Kolo Muani/Woltemade</x:v>
      </x:c>
      <x:c r="C5" s="676" t="str"/>
      <x:c r="D5" s="683" t="str"/>
      <x:c r="E5" s="683"/>
      <x:c r="F5" s="683"/>
      <x:c r="G5" s="683"/>
      <x:c r="H5" s="683"/>
      <x:c r="I5" s="684"/>
    </x:row>
    <x:row r="6">
      <x:c r="A6" s="665" t="str">
        <x:v>Rigoristi</x:v>
      </x:c>
      <x:c r="B6" s="685" t="str">
        <x:v>Kolo Muani, Woltemade, Gonzalez</x:v>
      </x:c>
      <x:c r="C6" s="679" t="str">
        <x:v>Calci piazzati</x:v>
      </x:c>
      <x:c r="D6" s="685" t="str">
        <x:v>Yildiz, Locatelli, Douglas Luiz</x:v>
      </x:c>
      <x:c r="E6" s="685"/>
      <x:c r="F6" s="685"/>
      <x:c r="G6" s="685"/>
      <x:c r="H6" s="685"/>
      <x:c r="I6" s="686"/>
    </x:row>
    <x:row r="8" ht="30" customHeight="1">
      <x:c r="A8" s="698" t="str">
        <x:v>Ruolo</x:v>
      </x:c>
      <x:c r="B8" s="699" t="str">
        <x:v>Calciatore</x:v>
      </x:c>
      <x:c r="C8" s="699" t="str">
        <x:v>Posizione</x:v>
      </x:c>
      <x:c r="D8" s="699" t="str">
        <x:v>Status</x:v>
      </x:c>
      <x:c r="E8" s="699" t="str">
        <x:v>Quotazione</x:v>
      </x:c>
      <x:c r="F8" s="699" t="str">
        <x:v>FVM su 504</x:v>
      </x:c>
      <x:c r="G8" s="699" t="str">
        <x:v>Fascia asta</x:v>
      </x:c>
      <x:c r="H8" s="699" t="str">
        <x:v>Specialità</x:v>
      </x:c>
      <x:c r="I8" s="700" t="str">
        <x:v>Consiglio Fantacalcio</x:v>
      </x:c>
    </x:row>
    <x:row r="9">
      <x:c r="A9" s="707" t="str">
        <x:v>Portiere</x:v>
      </x:c>
      <x:c r="B9" s="708" t="str">
        <x:f>IF((COUNTIF(Asta!$B$4:$B$47,"Di Gregorio")+COUNTIF(Asta!$D$4:$D$47,"Di Gregorio")+COUNTIF(Asta!$F$4:$F$47,"Di Gregorio")+COUNTIF(Asta!$H$4:$H$47,"Di Gregorio")+COUNTIF(Asta!$J$4:$J$47,"Di Gregorio")+COUNTIF(Asta!$L$4:$L$47,"Di Gregorio")+COUNTIF(Asta!$N$4:$N$47,"Di Gregorio")+COUNTIF(Asta!$P$4:$P$47,"Di Gregorio")+COUNTIF(Asta!$R$4:$R$47,"Di Gregorio")+COUNTIF(Asta!$T$4:$T$47,"Di Gregorio"))&gt;0,REGEXREPLACE("Di Gregorio","(.)","$1"&amp;UNICHAR(822)),"Di Gregorio")</x:f>
        <x:v>Di Gregorio</x:v>
      </x:c>
      <x:c r="C9" s="708" t="str">
        <x:v>Por</x:v>
      </x:c>
      <x:c r="D9" s="708" t="str">
        <x:v>Riserva / rotazione</x:v>
      </x:c>
      <x:c r="E9" s="708" t="n">
        <x:v>9</x:v>
      </x:c>
      <x:c r="F9" s="708" t="n">
        <x:v>20</x:v>
      </x:c>
      <x:c r="G9" s="708" t="str">
        <x:v>Utile</x:v>
      </x:c>
      <x:c r="H9" s="708" t="str"/>
      <x:c r="I9" s="709" t="str">
        <x:v>Solo come secondo/terzo portiere o copertura del titolare.</x:v>
      </x:c>
    </x:row>
    <x:row r="10">
      <x:c r="A10" s="710" t="str">
        <x:v>Portiere</x:v>
      </x:c>
      <x:c r="B10" s="711" t="str">
        <x:f>IF((COUNTIF(Asta!$B$4:$B$47,"Perin")+COUNTIF(Asta!$D$4:$D$47,"Perin")+COUNTIF(Asta!$F$4:$F$47,"Perin")+COUNTIF(Asta!$H$4:$H$47,"Perin")+COUNTIF(Asta!$J$4:$J$47,"Perin")+COUNTIF(Asta!$L$4:$L$47,"Perin")+COUNTIF(Asta!$N$4:$N$47,"Perin")+COUNTIF(Asta!$P$4:$P$47,"Perin")+COUNTIF(Asta!$R$4:$R$47,"Perin")+COUNTIF(Asta!$T$4:$T$47,"Perin"))&gt;0,REGEXREPLACE("Perin","(.)","$1"&amp;UNICHAR(822)),"Perin")</x:f>
        <x:v>Perin</x:v>
      </x:c>
      <x:c r="C10" s="711" t="str">
        <x:v>Por</x:v>
      </x:c>
      <x:c r="D10" s="711" t="str">
        <x:v>Riserva / rotazione</x:v>
      </x:c>
      <x:c r="E10" s="711" t="n">
        <x:v>6</x:v>
      </x:c>
      <x:c r="F10" s="711" t="n">
        <x:v>5</x:v>
      </x:c>
      <x:c r="G10" s="711" t="str">
        <x:v>Scommessa</x:v>
      </x:c>
      <x:c r="H10" s="711" t="str"/>
      <x:c r="I10" s="712" t="str">
        <x:v>Solo come secondo/terzo portiere o copertura del titolare.</x:v>
      </x:c>
    </x:row>
    <x:row r="11">
      <x:c r="A11" s="710" t="str">
        <x:v>Portiere</x:v>
      </x:c>
      <x:c r="B11" s="711" t="str">
        <x:f>IF((COUNTIF(Asta!$B$4:$B$47,"Pinsoglio")+COUNTIF(Asta!$D$4:$D$47,"Pinsoglio")+COUNTIF(Asta!$F$4:$F$47,"Pinsoglio")+COUNTIF(Asta!$H$4:$H$47,"Pinsoglio")+COUNTIF(Asta!$J$4:$J$47,"Pinsoglio")+COUNTIF(Asta!$L$4:$L$47,"Pinsoglio")+COUNTIF(Asta!$N$4:$N$47,"Pinsoglio")+COUNTIF(Asta!$P$4:$P$47,"Pinsoglio")+COUNTIF(Asta!$R$4:$R$47,"Pinsoglio")+COUNTIF(Asta!$T$4:$T$47,"Pinsoglio"))&gt;0,REGEXREPLACE("Pinsoglio","(.)","$1"&amp;UNICHAR(822)),"Pinsoglio")</x:f>
        <x:v>Pinsoglio</x:v>
      </x:c>
      <x:c r="C11" s="711" t="str">
        <x:v>Por</x:v>
      </x:c>
      <x:c r="D11" s="711" t="str">
        <x:v>Riserva / rotazione</x:v>
      </x:c>
      <x:c r="E11" s="711" t="n">
        <x:v>1</x:v>
      </x:c>
      <x:c r="F11" s="711" t="n">
        <x:v>1</x:v>
      </x:c>
      <x:c r="G11" s="711" t="str">
        <x:v>Copertura</x:v>
      </x:c>
      <x:c r="H11" s="711" t="str"/>
      <x:c r="I11" s="712" t="str">
        <x:v>Solo come secondo/terzo portiere o copertura del titolare.</x:v>
      </x:c>
    </x:row>
    <x:row r="12">
      <x:c r="A12" s="713" t="str">
        <x:v>Difensore</x:v>
      </x:c>
      <x:c r="B12" s="714" t="str">
        <x:f>IF((COUNTIF(Asta!$B$4:$B$47,"Bremer")+COUNTIF(Asta!$D$4:$D$47,"Bremer")+COUNTIF(Asta!$F$4:$F$47,"Bremer")+COUNTIF(Asta!$H$4:$H$47,"Bremer")+COUNTIF(Asta!$J$4:$J$47,"Bremer")+COUNTIF(Asta!$L$4:$L$47,"Bremer")+COUNTIF(Asta!$N$4:$N$47,"Bremer")+COUNTIF(Asta!$P$4:$P$47,"Bremer")+COUNTIF(Asta!$R$4:$R$47,"Bremer")+COUNTIF(Asta!$T$4:$T$47,"Bremer"))&gt;0,REGEXREPLACE("Bremer","(.)","$1"&amp;UNICHAR(822)),"Bremer")</x:f>
        <x:v>Bremer</x:v>
      </x:c>
      <x:c r="C12" s="714" t="str">
        <x:v>Dc</x:v>
      </x:c>
      <x:c r="D12" s="714" t="str">
        <x:v>Titolare</x:v>
      </x:c>
      <x:c r="E12" s="714" t="n">
        <x:v>15</x:v>
      </x:c>
      <x:c r="F12" s="714" t="n">
        <x:v>25</x:v>
      </x:c>
      <x:c r="G12" s="714" t="str">
        <x:v>Buon titolare</x:v>
      </x:c>
      <x:c r="H12" s="714" t="str"/>
      <x:c r="I12" s="715" t="str">
        <x:v>Buon titolare di rosa, da prendere senza inseguire troppo il prezzo.</x:v>
      </x:c>
    </x:row>
    <x:row r="13">
      <x:c r="A13" s="713" t="str">
        <x:v>Difensore</x:v>
      </x:c>
      <x:c r="B13" s="714" t="str">
        <x:f>IF((COUNTIF(Asta!$B$4:$B$47,"Kalulu")+COUNTIF(Asta!$D$4:$D$47,"Kalulu")+COUNTIF(Asta!$F$4:$F$47,"Kalulu")+COUNTIF(Asta!$H$4:$H$47,"Kalulu")+COUNTIF(Asta!$J$4:$J$47,"Kalulu")+COUNTIF(Asta!$L$4:$L$47,"Kalulu")+COUNTIF(Asta!$N$4:$N$47,"Kalulu")+COUNTIF(Asta!$P$4:$P$47,"Kalulu")+COUNTIF(Asta!$R$4:$R$47,"Kalulu")+COUNTIF(Asta!$T$4:$T$47,"Kalulu"))&gt;0,REGEXREPLACE("Kalulu","(.)","$1"&amp;UNICHAR(822)),"Kalulu")</x:f>
        <x:v>Kalulu</x:v>
      </x:c>
      <x:c r="C13" s="714" t="str">
        <x:v>Dd;Dc</x:v>
      </x:c>
      <x:c r="D13" s="714" t="str">
        <x:v>Titolare</x:v>
      </x:c>
      <x:c r="E13" s="714" t="n">
        <x:v>13</x:v>
      </x:c>
      <x:c r="F13" s="714" t="n">
        <x:v>23</x:v>
      </x:c>
      <x:c r="G13" s="714" t="str">
        <x:v>Buon titolare</x:v>
      </x:c>
      <x:c r="H13" s="714" t="str"/>
      <x:c r="I13" s="715" t="str">
        <x:v>Buon titolare di rosa, da prendere senza inseguire troppo il prezzo.</x:v>
      </x:c>
    </x:row>
    <x:row r="14">
      <x:c r="A14" s="713" t="str">
        <x:v>Difensore</x:v>
      </x:c>
      <x:c r="B14" s="714" t="str">
        <x:f>IF((COUNTIF(Asta!$B$4:$B$47,"Cambiaso")+COUNTIF(Asta!$D$4:$D$47,"Cambiaso")+COUNTIF(Asta!$F$4:$F$47,"Cambiaso")+COUNTIF(Asta!$H$4:$H$47,"Cambiaso")+COUNTIF(Asta!$J$4:$J$47,"Cambiaso")+COUNTIF(Asta!$L$4:$L$47,"Cambiaso")+COUNTIF(Asta!$N$4:$N$47,"Cambiaso")+COUNTIF(Asta!$P$4:$P$47,"Cambiaso")+COUNTIF(Asta!$R$4:$R$47,"Cambiaso")+COUNTIF(Asta!$T$4:$T$47,"Cambiaso"))&gt;0,REGEXREPLACE("Cambiaso","(.)","$1"&amp;UNICHAR(822)),"Cambiaso")</x:f>
        <x:v>Cambiaso</x:v>
      </x:c>
      <x:c r="C14" s="714" t="str">
        <x:v>Dd;Ds;E</x:v>
      </x:c>
      <x:c r="D14" s="714" t="str">
        <x:v>Ballottaggio</x:v>
      </x:c>
      <x:c r="E14" s="714" t="n">
        <x:v>9</x:v>
      </x:c>
      <x:c r="F14" s="714" t="n">
        <x:v>14</x:v>
      </x:c>
      <x:c r="G14" s="714" t="str">
        <x:v>Utile</x:v>
      </x:c>
      <x:c r="H14" s="714" t="str"/>
      <x:c r="I14" s="715" t="str">
        <x:v>Scommessa con upside: prendilo a prezzo controllato.</x:v>
      </x:c>
    </x:row>
    <x:row r="15">
      <x:c r="A15" s="713" t="str">
        <x:v>Difensore</x:v>
      </x:c>
      <x:c r="B15" s="714" t="str">
        <x:f>IF((COUNTIF(Asta!$B$4:$B$47,"Celik")+COUNTIF(Asta!$D$4:$D$47,"Celik")+COUNTIF(Asta!$F$4:$F$47,"Celik")+COUNTIF(Asta!$H$4:$H$47,"Celik")+COUNTIF(Asta!$J$4:$J$47,"Celik")+COUNTIF(Asta!$L$4:$L$47,"Celik")+COUNTIF(Asta!$N$4:$N$47,"Celik")+COUNTIF(Asta!$P$4:$P$47,"Celik")+COUNTIF(Asta!$R$4:$R$47,"Celik")+COUNTIF(Asta!$T$4:$T$47,"Celik"))&gt;0,REGEXREPLACE("Celik","(.)","$1"&amp;UNICHAR(822)),"Celik")</x:f>
        <x:v>Celik</x:v>
      </x:c>
      <x:c r="C15" s="714" t="str">
        <x:v>B;Dd;E</x:v>
      </x:c>
      <x:c r="D15" s="714" t="str">
        <x:v>Titolare / ballottaggio</x:v>
      </x:c>
      <x:c r="E15" s="714" t="n">
        <x:v>8</x:v>
      </x:c>
      <x:c r="F15" s="714" t="n">
        <x:v>11</x:v>
      </x:c>
      <x:c r="G15" s="714" t="str">
        <x:v>Utile</x:v>
      </x:c>
      <x:c r="H15" s="714" t="str"/>
      <x:c r="I15" s="715" t="str">
        <x:v>Scommessa con upside: prendilo a prezzo controllato.</x:v>
      </x:c>
    </x:row>
    <x:row r="16">
      <x:c r="A16" s="713" t="str">
        <x:v>Difensore</x:v>
      </x:c>
      <x:c r="B16" s="714" t="str">
        <x:f>IF((COUNTIF(Asta!$B$4:$B$47,"Kelly L.")+COUNTIF(Asta!$D$4:$D$47,"Kelly L.")+COUNTIF(Asta!$F$4:$F$47,"Kelly L.")+COUNTIF(Asta!$H$4:$H$47,"Kelly L.")+COUNTIF(Asta!$J$4:$J$47,"Kelly L.")+COUNTIF(Asta!$L$4:$L$47,"Kelly L.")+COUNTIF(Asta!$N$4:$N$47,"Kelly L.")+COUNTIF(Asta!$P$4:$P$47,"Kelly L.")+COUNTIF(Asta!$R$4:$R$47,"Kelly L.")+COUNTIF(Asta!$T$4:$T$47,"Kelly L."))&gt;0,REGEXREPLACE("Kelly L.","(.)","$1"&amp;UNICHAR(822)),"Kelly L.")</x:f>
        <x:v>Kelly L.</x:v>
      </x:c>
      <x:c r="C16" s="714" t="str">
        <x:v>Ds;Dc</x:v>
      </x:c>
      <x:c r="D16" s="714" t="str">
        <x:v>Ballottaggio</x:v>
      </x:c>
      <x:c r="E16" s="714" t="n">
        <x:v>5</x:v>
      </x:c>
      <x:c r="F16" s="714" t="n">
        <x:v>7</x:v>
      </x:c>
      <x:c r="G16" s="714" t="str">
        <x:v>Scommessa</x:v>
      </x:c>
      <x:c r="H16" s="714" t="str"/>
      <x:c r="I16" s="715" t="str">
        <x:v>Solo a pochi crediti: minutaggio non garantito.</x:v>
      </x:c>
    </x:row>
    <x:row r="17">
      <x:c r="A17" s="713" t="str">
        <x:v>Difensore</x:v>
      </x:c>
      <x:c r="B17" s="714" t="str">
        <x:f>IF((COUNTIF(Asta!$B$4:$B$47,"Gatti")+COUNTIF(Asta!$D$4:$D$47,"Gatti")+COUNTIF(Asta!$F$4:$F$47,"Gatti")+COUNTIF(Asta!$H$4:$H$47,"Gatti")+COUNTIF(Asta!$J$4:$J$47,"Gatti")+COUNTIF(Asta!$L$4:$L$47,"Gatti")+COUNTIF(Asta!$N$4:$N$47,"Gatti")+COUNTIF(Asta!$P$4:$P$47,"Gatti")+COUNTIF(Asta!$R$4:$R$47,"Gatti")+COUNTIF(Asta!$T$4:$T$47,"Gatti"))&gt;0,REGEXREPLACE("Gatti","(.)","$1"&amp;UNICHAR(822)),"Gatti")</x:f>
        <x:v>Gatti</x:v>
      </x:c>
      <x:c r="C17" s="714" t="str">
        <x:v>Dc</x:v>
      </x:c>
      <x:c r="D17" s="714" t="str">
        <x:v>Riserva / rotazione</x:v>
      </x:c>
      <x:c r="E17" s="714" t="n">
        <x:v>4</x:v>
      </x:c>
      <x:c r="F17" s="714" t="n">
        <x:v>5</x:v>
      </x:c>
      <x:c r="G17" s="714" t="str">
        <x:v>Scommessa</x:v>
      </x:c>
      <x:c r="H17" s="714" t="str"/>
      <x:c r="I17" s="715" t="str">
        <x:v>Copertura/ultimo slot: da prendere a 1-2 crediti.</x:v>
      </x:c>
    </x:row>
    <x:row r="18">
      <x:c r="A18" s="713" t="str">
        <x:v>Difensore</x:v>
      </x:c>
      <x:c r="B18" s="714" t="str">
        <x:f>IF((COUNTIF(Asta!$B$4:$B$47,"Cabal")+COUNTIF(Asta!$D$4:$D$47,"Cabal")+COUNTIF(Asta!$F$4:$F$47,"Cabal")+COUNTIF(Asta!$H$4:$H$47,"Cabal")+COUNTIF(Asta!$J$4:$J$47,"Cabal")+COUNTIF(Asta!$L$4:$L$47,"Cabal")+COUNTIF(Asta!$N$4:$N$47,"Cabal")+COUNTIF(Asta!$P$4:$P$47,"Cabal")+COUNTIF(Asta!$R$4:$R$47,"Cabal")+COUNTIF(Asta!$T$4:$T$47,"Cabal"))&gt;0,REGEXREPLACE("Cabal","(.)","$1"&amp;UNICHAR(822)),"Cabal")</x:f>
        <x:v>Cabal</x:v>
      </x:c>
      <x:c r="C18" s="714" t="str">
        <x:v>B;Ds;E</x:v>
      </x:c>
      <x:c r="D18" s="714" t="str">
        <x:v>Riserva / rotazione</x:v>
      </x:c>
      <x:c r="E18" s="714" t="n">
        <x:v>1</x:v>
      </x:c>
      <x:c r="F18" s="714" t="n">
        <x:v>2</x:v>
      </x:c>
      <x:c r="G18" s="714" t="str">
        <x:v>Copertura</x:v>
      </x:c>
      <x:c r="H18" s="714" t="str"/>
      <x:c r="I18" s="715" t="str">
        <x:v>Copertura/ultimo slot: da prendere a 1-2 crediti.</x:v>
      </x:c>
    </x:row>
    <x:row r="19">
      <x:c r="A19" s="713" t="str">
        <x:v>Difensore</x:v>
      </x:c>
      <x:c r="B19" s="714" t="str">
        <x:f>IF((COUNTIF(Asta!$B$4:$B$47,"Rugani")+COUNTIF(Asta!$D$4:$D$47,"Rugani")+COUNTIF(Asta!$F$4:$F$47,"Rugani")+COUNTIF(Asta!$H$4:$H$47,"Rugani")+COUNTIF(Asta!$J$4:$J$47,"Rugani")+COUNTIF(Asta!$L$4:$L$47,"Rugani")+COUNTIF(Asta!$N$4:$N$47,"Rugani")+COUNTIF(Asta!$P$4:$P$47,"Rugani")+COUNTIF(Asta!$R$4:$R$47,"Rugani")+COUNTIF(Asta!$T$4:$T$47,"Rugani"))&gt;0,REGEXREPLACE("Rugani","(.)","$1"&amp;UNICHAR(822)),"Rugani")</x:f>
        <x:v>Rugani</x:v>
      </x:c>
      <x:c r="C19" s="714" t="str">
        <x:v>Dc</x:v>
      </x:c>
      <x:c r="D19" s="714" t="str">
        <x:v>Riserva / rotazione</x:v>
      </x:c>
      <x:c r="E19" s="714" t="n">
        <x:v>1</x:v>
      </x:c>
      <x:c r="F19" s="714" t="n">
        <x:v>2</x:v>
      </x:c>
      <x:c r="G19" s="714" t="str">
        <x:v>Copertura</x:v>
      </x:c>
      <x:c r="H19" s="714" t="str"/>
      <x:c r="I19" s="715" t="str">
        <x:v>Copertura/ultimo slot: da prendere a 1-2 crediti.</x:v>
      </x:c>
    </x:row>
    <x:row r="20">
      <x:c r="A20" s="716" t="str">
        <x:v>Centrocampista</x:v>
      </x:c>
      <x:c r="B20" s="717" t="str">
        <x:f>IF((COUNTIF(Asta!$B$4:$B$47,"McKennie")+COUNTIF(Asta!$D$4:$D$47,"McKennie")+COUNTIF(Asta!$F$4:$F$47,"McKennie")+COUNTIF(Asta!$H$4:$H$47,"McKennie")+COUNTIF(Asta!$J$4:$J$47,"McKennie")+COUNTIF(Asta!$L$4:$L$47,"McKennie")+COUNTIF(Asta!$N$4:$N$47,"McKennie")+COUNTIF(Asta!$P$4:$P$47,"McKennie")+COUNTIF(Asta!$R$4:$R$47,"McKennie")+COUNTIF(Asta!$T$4:$T$47,"McKennie"))&gt;0,REGEXREPLACE("McKennie","(.)","$1"&amp;UNICHAR(822)),"McKennie")</x:f>
        <x:v>McKennie</x:v>
      </x:c>
      <x:c r="C20" s="717" t="str">
        <x:v>C</x:v>
      </x:c>
      <x:c r="D20" s="717" t="str">
        <x:v>Titolare</x:v>
      </x:c>
      <x:c r="E20" s="717" t="n">
        <x:v>17</x:v>
      </x:c>
      <x:c r="F20" s="717" t="n">
        <x:v>34</x:v>
      </x:c>
      <x:c r="G20" s="717" t="str">
        <x:v>Buon titolare</x:v>
      </x:c>
      <x:c r="H20" s="717" t="str"/>
      <x:c r="I20" s="718" t="str">
        <x:v>Buon titolare di rosa, da prendere senza inseguire troppo il prezzo.</x:v>
      </x:c>
    </x:row>
    <x:row r="21">
      <x:c r="A21" s="716" t="str">
        <x:v>Centrocampista</x:v>
      </x:c>
      <x:c r="B21" s="717" t="str">
        <x:f>IF((COUNTIF(Asta!$B$4:$B$47,"Conceicao")+COUNTIF(Asta!$D$4:$D$47,"Conceicao")+COUNTIF(Asta!$F$4:$F$47,"Conceicao")+COUNTIF(Asta!$H$4:$H$47,"Conceicao")+COUNTIF(Asta!$J$4:$J$47,"Conceicao")+COUNTIF(Asta!$L$4:$L$47,"Conceicao")+COUNTIF(Asta!$N$4:$N$47,"Conceicao")+COUNTIF(Asta!$P$4:$P$47,"Conceicao")+COUNTIF(Asta!$R$4:$R$47,"Conceicao")+COUNTIF(Asta!$T$4:$T$47,"Conceicao"))&gt;0,REGEXREPLACE("Conceicao","(.)","$1"&amp;UNICHAR(822)),"Conceicao")</x:f>
        <x:v>Conceicao</x:v>
      </x:c>
      <x:c r="C21" s="717" t="str">
        <x:v>W;A</x:v>
      </x:c>
      <x:c r="D21" s="717" t="str">
        <x:v>Titolare</x:v>
      </x:c>
      <x:c r="E21" s="717" t="n">
        <x:v>12</x:v>
      </x:c>
      <x:c r="F21" s="717" t="n">
        <x:v>30</x:v>
      </x:c>
      <x:c r="G21" s="717" t="str">
        <x:v>Buon titolare</x:v>
      </x:c>
      <x:c r="H21" s="717" t="str"/>
      <x:c r="I21" s="718" t="str">
        <x:v>Buon titolare di rosa, da prendere senza inseguire troppo il prezzo.</x:v>
      </x:c>
    </x:row>
    <x:row r="22">
      <x:c r="A22" s="716" t="str">
        <x:v>Centrocampista</x:v>
      </x:c>
      <x:c r="B22" s="717" t="str">
        <x:f>IF((COUNTIF(Asta!$B$4:$B$47,"Alajbegovic")+COUNTIF(Asta!$D$4:$D$47,"Alajbegovic")+COUNTIF(Asta!$F$4:$F$47,"Alajbegovic")+COUNTIF(Asta!$H$4:$H$47,"Alajbegovic")+COUNTIF(Asta!$J$4:$J$47,"Alajbegovic")+COUNTIF(Asta!$L$4:$L$47,"Alajbegovic")+COUNTIF(Asta!$N$4:$N$47,"Alajbegovic")+COUNTIF(Asta!$P$4:$P$47,"Alajbegovic")+COUNTIF(Asta!$R$4:$R$47,"Alajbegovic")+COUNTIF(Asta!$T$4:$T$47,"Alajbegovic"))&gt;0,REGEXREPLACE("Alajbegovic","(.)","$1"&amp;UNICHAR(822)),"Alajbegovic")</x:f>
        <x:v>Alajbegovic</x:v>
      </x:c>
      <x:c r="C22" s="717" t="str">
        <x:v>W;T</x:v>
      </x:c>
      <x:c r="D22" s="717" t="str">
        <x:v>Ballottaggio</x:v>
      </x:c>
      <x:c r="E22" s="717" t="n">
        <x:v>12</x:v>
      </x:c>
      <x:c r="F22" s="717" t="n">
        <x:v>29</x:v>
      </x:c>
      <x:c r="G22" s="717" t="str">
        <x:v>Buon titolare</x:v>
      </x:c>
      <x:c r="H22" s="717" t="str"/>
      <x:c r="I22" s="718" t="str">
        <x:v>Interessante per bonus, ma non pagarlo come titolare fisso.</x:v>
      </x:c>
    </x:row>
    <x:row r="23">
      <x:c r="A23" s="716" t="str">
        <x:v>Centrocampista</x:v>
      </x:c>
      <x:c r="B23" s="717" t="str">
        <x:f>IF((COUNTIF(Asta!$B$4:$B$47,"Thuram K.")+COUNTIF(Asta!$D$4:$D$47,"Thuram K.")+COUNTIF(Asta!$F$4:$F$47,"Thuram K.")+COUNTIF(Asta!$H$4:$H$47,"Thuram K.")+COUNTIF(Asta!$J$4:$J$47,"Thuram K.")+COUNTIF(Asta!$L$4:$L$47,"Thuram K.")+COUNTIF(Asta!$N$4:$N$47,"Thuram K.")+COUNTIF(Asta!$P$4:$P$47,"Thuram K.")+COUNTIF(Asta!$R$4:$R$47,"Thuram K.")+COUNTIF(Asta!$T$4:$T$47,"Thuram K."))&gt;0,REGEXREPLACE("Thuram K.","(.)","$1"&amp;UNICHAR(822)),"Thuram K.")</x:f>
        <x:v>Thuram K.</x:v>
      </x:c>
      <x:c r="C23" s="717" t="str">
        <x:v>C</x:v>
      </x:c>
      <x:c r="D23" s="717" t="str">
        <x:v>Riserva / rotazione</x:v>
      </x:c>
      <x:c r="E23" s="717" t="n">
        <x:v>10</x:v>
      </x:c>
      <x:c r="F23" s="717" t="n">
        <x:v>21</x:v>
      </x:c>
      <x:c r="G23" s="717" t="str">
        <x:v>Utile</x:v>
      </x:c>
      <x:c r="H23" s="717" t="str"/>
      <x:c r="I23" s="718" t="str">
        <x:v>Scommessa da ultimi slot, senza sovrapprezzo.</x:v>
      </x:c>
    </x:row>
    <x:row r="24">
      <x:c r="A24" s="716" t="str">
        <x:v>Centrocampista</x:v>
      </x:c>
      <x:c r="B24" s="717" t="str">
        <x:f>IF((COUNTIF(Asta!$B$4:$B$47,"Locatelli")+COUNTIF(Asta!$D$4:$D$47,"Locatelli")+COUNTIF(Asta!$F$4:$F$47,"Locatelli")+COUNTIF(Asta!$H$4:$H$47,"Locatelli")+COUNTIF(Asta!$J$4:$J$47,"Locatelli")+COUNTIF(Asta!$L$4:$L$47,"Locatelli")+COUNTIF(Asta!$N$4:$N$47,"Locatelli")+COUNTIF(Asta!$P$4:$P$47,"Locatelli")+COUNTIF(Asta!$R$4:$R$47,"Locatelli")+COUNTIF(Asta!$T$4:$T$47,"Locatelli"))&gt;0,REGEXREPLACE("Locatelli","(.)","$1"&amp;UNICHAR(822)),"Locatelli")</x:f>
        <x:v>Locatelli</x:v>
      </x:c>
      <x:c r="C24" s="717" t="str">
        <x:v>M;C</x:v>
      </x:c>
      <x:c r="D24" s="717" t="str">
        <x:v>Riserva / rotazione</x:v>
      </x:c>
      <x:c r="E24" s="717" t="n">
        <x:v>8</x:v>
      </x:c>
      <x:c r="F24" s="717" t="n">
        <x:v>16</x:v>
      </x:c>
      <x:c r="G24" s="717" t="str">
        <x:v>Utile</x:v>
      </x:c>
      <x:c r="H24" s="717" t="str">
        <x:v>Piazzati</x:v>
      </x:c>
      <x:c r="I24" s="718" t="str">
        <x:v>Scommessa da ultimi slot, senza sovrapprezzo. Buon plus: può battere calci piazzati.</x:v>
      </x:c>
    </x:row>
    <x:row r="25">
      <x:c r="A25" s="716" t="str">
        <x:v>Centrocampista</x:v>
      </x:c>
      <x:c r="B25" s="717" t="str">
        <x:f>IF((COUNTIF(Asta!$B$4:$B$47,"Zhegrova")+COUNTIF(Asta!$D$4:$D$47,"Zhegrova")+COUNTIF(Asta!$F$4:$F$47,"Zhegrova")+COUNTIF(Asta!$H$4:$H$47,"Zhegrova")+COUNTIF(Asta!$J$4:$J$47,"Zhegrova")+COUNTIF(Asta!$L$4:$L$47,"Zhegrova")+COUNTIF(Asta!$N$4:$N$47,"Zhegrova")+COUNTIF(Asta!$P$4:$P$47,"Zhegrova")+COUNTIF(Asta!$R$4:$R$47,"Zhegrova")+COUNTIF(Asta!$T$4:$T$47,"Zhegrova"))&gt;0,REGEXREPLACE("Zhegrova","(.)","$1"&amp;UNICHAR(822)),"Zhegrova")</x:f>
        <x:v>Zhegrova</x:v>
      </x:c>
      <x:c r="C25" s="717" t="str">
        <x:v>W</x:v>
      </x:c>
      <x:c r="D25" s="717" t="str">
        <x:v>Riserva / rotazione</x:v>
      </x:c>
      <x:c r="E25" s="717" t="n">
        <x:v>6</x:v>
      </x:c>
      <x:c r="F25" s="717" t="n">
        <x:v>9</x:v>
      </x:c>
      <x:c r="G25" s="717" t="str">
        <x:v>Scommessa</x:v>
      </x:c>
      <x:c r="H25" s="717" t="str"/>
      <x:c r="I25" s="718" t="str">
        <x:v>Scommessa da ultimi slot, senza sovrapprezzo.</x:v>
      </x:c>
    </x:row>
    <x:row r="26">
      <x:c r="A26" s="716" t="str">
        <x:v>Centrocampista</x:v>
      </x:c>
      <x:c r="B26" s="717" t="str">
        <x:f>IF((COUNTIF(Asta!$B$4:$B$47,"Koopmeiners")+COUNTIF(Asta!$D$4:$D$47,"Koopmeiners")+COUNTIF(Asta!$F$4:$F$47,"Koopmeiners")+COUNTIF(Asta!$H$4:$H$47,"Koopmeiners")+COUNTIF(Asta!$J$4:$J$47,"Koopmeiners")+COUNTIF(Asta!$L$4:$L$47,"Koopmeiners")+COUNTIF(Asta!$N$4:$N$47,"Koopmeiners")+COUNTIF(Asta!$P$4:$P$47,"Koopmeiners")+COUNTIF(Asta!$R$4:$R$47,"Koopmeiners")+COUNTIF(Asta!$T$4:$T$47,"Koopmeiners"))&gt;0,REGEXREPLACE("Koopmeiners","(.)","$1"&amp;UNICHAR(822)),"Koopmeiners")</x:f>
        <x:v>Koopmeiners</x:v>
      </x:c>
      <x:c r="C26" s="717" t="str">
        <x:v>C;T</x:v>
      </x:c>
      <x:c r="D26" s="717" t="str">
        <x:v>Ballottaggio</x:v>
      </x:c>
      <x:c r="E26" s="717" t="n">
        <x:v>5</x:v>
      </x:c>
      <x:c r="F26" s="717" t="n">
        <x:v>7</x:v>
      </x:c>
      <x:c r="G26" s="717" t="str">
        <x:v>Scommessa</x:v>
      </x:c>
      <x:c r="H26" s="717" t="str"/>
      <x:c r="I26" s="718" t="str">
        <x:v>Solo a pochi crediti: minutaggio non garantito.</x:v>
      </x:c>
    </x:row>
    <x:row r="27">
      <x:c r="A27" s="716" t="str">
        <x:v>Centrocampista</x:v>
      </x:c>
      <x:c r="B27" s="717" t="str">
        <x:f>IF((COUNTIF(Asta!$B$4:$B$47,"Douglas Luiz")+COUNTIF(Asta!$D$4:$D$47,"Douglas Luiz")+COUNTIF(Asta!$F$4:$F$47,"Douglas Luiz")+COUNTIF(Asta!$H$4:$H$47,"Douglas Luiz")+COUNTIF(Asta!$J$4:$J$47,"Douglas Luiz")+COUNTIF(Asta!$L$4:$L$47,"Douglas Luiz")+COUNTIF(Asta!$N$4:$N$47,"Douglas Luiz")+COUNTIF(Asta!$P$4:$P$47,"Douglas Luiz")+COUNTIF(Asta!$R$4:$R$47,"Douglas Luiz")+COUNTIF(Asta!$T$4:$T$47,"Douglas Luiz"))&gt;0,REGEXREPLACE("Douglas Luiz","(.)","$1"&amp;UNICHAR(822)),"Douglas Luiz")</x:f>
        <x:v>Douglas Luiz</x:v>
      </x:c>
      <x:c r="C27" s="717" t="str">
        <x:v>C</x:v>
      </x:c>
      <x:c r="D27" s="717" t="str">
        <x:v>Titolare</x:v>
      </x:c>
      <x:c r="E27" s="717" t="n">
        <x:v>4</x:v>
      </x:c>
      <x:c r="F27" s="717" t="n">
        <x:v>6</x:v>
      </x:c>
      <x:c r="G27" s="717" t="str">
        <x:v>Scommessa</x:v>
      </x:c>
      <x:c r="H27" s="717" t="str">
        <x:v>Piazzati</x:v>
      </x:c>
      <x:c r="I27" s="718" t="str">
        <x:v>Titolare low cost: utile per completare il reparto. Buon plus: può battere calci piazzati.</x:v>
      </x:c>
    </x:row>
    <x:row r="28">
      <x:c r="A28" s="716" t="str">
        <x:v>Centrocampista</x:v>
      </x:c>
      <x:c r="B28" s="717" t="str">
        <x:f>IF((COUNTIF(Asta!$B$4:$B$47,"Miretti")+COUNTIF(Asta!$D$4:$D$47,"Miretti")+COUNTIF(Asta!$F$4:$F$47,"Miretti")+COUNTIF(Asta!$H$4:$H$47,"Miretti")+COUNTIF(Asta!$J$4:$J$47,"Miretti")+COUNTIF(Asta!$L$4:$L$47,"Miretti")+COUNTIF(Asta!$N$4:$N$47,"Miretti")+COUNTIF(Asta!$P$4:$P$47,"Miretti")+COUNTIF(Asta!$R$4:$R$47,"Miretti")+COUNTIF(Asta!$T$4:$T$47,"Miretti"))&gt;0,REGEXREPLACE("Miretti","(.)","$1"&amp;UNICHAR(822)),"Miretti")</x:f>
        <x:v>Miretti</x:v>
      </x:c>
      <x:c r="C28" s="717" t="str">
        <x:v>C;T</x:v>
      </x:c>
      <x:c r="D28" s="717" t="str">
        <x:v>Riserva / rotazione</x:v>
      </x:c>
      <x:c r="E28" s="717" t="n">
        <x:v>3</x:v>
      </x:c>
      <x:c r="F28" s="717" t="n">
        <x:v>6</x:v>
      </x:c>
      <x:c r="G28" s="717" t="str">
        <x:v>Scommessa</x:v>
      </x:c>
      <x:c r="H28" s="717" t="str"/>
      <x:c r="I28" s="718" t="str">
        <x:v>Copertura/ultimo slot: da prendere a 1-2 crediti.</x:v>
      </x:c>
    </x:row>
    <x:row r="29">
      <x:c r="A29" s="719" t="str">
        <x:v>Attaccante</x:v>
      </x:c>
      <x:c r="B29" s="720" t="str">
        <x:f>IF((COUNTIF(Asta!$B$4:$B$47,"Kolo Muani")+COUNTIF(Asta!$D$4:$D$47,"Kolo Muani")+COUNTIF(Asta!$F$4:$F$47,"Kolo Muani")+COUNTIF(Asta!$H$4:$H$47,"Kolo Muani")+COUNTIF(Asta!$J$4:$J$47,"Kolo Muani")+COUNTIF(Asta!$L$4:$L$47,"Kolo Muani")+COUNTIF(Asta!$N$4:$N$47,"Kolo Muani")+COUNTIF(Asta!$P$4:$P$47,"Kolo Muani")+COUNTIF(Asta!$R$4:$R$47,"Kolo Muani")+COUNTIF(Asta!$T$4:$T$47,"Kolo Muani"))&gt;0,REGEXREPLACE("Kolo Muani","(.)","$1"&amp;UNICHAR(822)),"Kolo Muani")</x:f>
        <x:v>Kolo Muani</x:v>
      </x:c>
      <x:c r="C29" s="720" t="str">
        <x:v>Pc</x:v>
      </x:c>
      <x:c r="D29" s="720" t="str">
        <x:v>Titolare / ballottaggio</x:v>
      </x:c>
      <x:c r="E29" s="720" t="n">
        <x:v>26</x:v>
      </x:c>
      <x:c r="F29" s="720" t="n">
        <x:v>113</x:v>
      </x:c>
      <x:c r="G29" s="720" t="str">
        <x:v>Top</x:v>
      </x:c>
      <x:c r="H29" s="720" t="str">
        <x:v>Rigorista</x:v>
      </x:c>
      <x:c r="I29" s="721" t="str">
        <x:v>Interessante per bonus, ma non pagarlo come titolare fisso. Plus importante: è indicato tra i rigoristi.</x:v>
      </x:c>
    </x:row>
    <x:row r="30">
      <x:c r="A30" s="719" t="str">
        <x:v>Attaccante</x:v>
      </x:c>
      <x:c r="B30" s="720" t="str">
        <x:f>IF((COUNTIF(Asta!$B$4:$B$47,"Yildiz")+COUNTIF(Asta!$D$4:$D$47,"Yildiz")+COUNTIF(Asta!$F$4:$F$47,"Yildiz")+COUNTIF(Asta!$H$4:$H$47,"Yildiz")+COUNTIF(Asta!$J$4:$J$47,"Yildiz")+COUNTIF(Asta!$L$4:$L$47,"Yildiz")+COUNTIF(Asta!$N$4:$N$47,"Yildiz")+COUNTIF(Asta!$P$4:$P$47,"Yildiz")+COUNTIF(Asta!$R$4:$R$47,"Yildiz")+COUNTIF(Asta!$T$4:$T$47,"Yildiz"))&gt;0,REGEXREPLACE("Yildiz","(.)","$1"&amp;UNICHAR(822)),"Yildiz")</x:f>
        <x:v>Yildiz</x:v>
      </x:c>
      <x:c r="C30" s="720" t="str">
        <x:v>A</x:v>
      </x:c>
      <x:c r="D30" s="720" t="str">
        <x:v>Riserva / rotazione</x:v>
      </x:c>
      <x:c r="E30" s="720" t="n">
        <x:v>23</x:v>
      </x:c>
      <x:c r="F30" s="720" t="n">
        <x:v>101</x:v>
      </x:c>
      <x:c r="G30" s="720" t="str">
        <x:v>Top con rischio minutaggio</x:v>
      </x:c>
      <x:c r="H30" s="720" t="str">
        <x:v>Piazzati</x:v>
      </x:c>
      <x:c r="I30" s="721" t="str">
        <x:v>Qualità interessante ma minutaggio incerto: occasione solo se il prezzo scende. Buon plus: può battere calci piazzati.</x:v>
      </x:c>
    </x:row>
    <x:row r="31">
      <x:c r="A31" s="719" t="str">
        <x:v>Attaccante</x:v>
      </x:c>
      <x:c r="B31" s="720" t="str">
        <x:f>IF((COUNTIF(Asta!$B$4:$B$47,"David")+COUNTIF(Asta!$D$4:$D$47,"David")+COUNTIF(Asta!$F$4:$F$47,"David")+COUNTIF(Asta!$H$4:$H$47,"David")+COUNTIF(Asta!$J$4:$J$47,"David")+COUNTIF(Asta!$L$4:$L$47,"David")+COUNTIF(Asta!$N$4:$N$47,"David")+COUNTIF(Asta!$P$4:$P$47,"David")+COUNTIF(Asta!$R$4:$R$47,"David")+COUNTIF(Asta!$T$4:$T$47,"David"))&gt;0,REGEXREPLACE("David","(.)","$1"&amp;UNICHAR(822)),"David")</x:f>
        <x:v>David</x:v>
      </x:c>
      <x:c r="C31" s="720" t="str">
        <x:v>Pc</x:v>
      </x:c>
      <x:c r="D31" s="720" t="str">
        <x:v>Riserva / rotazione</x:v>
      </x:c>
      <x:c r="E31" s="720" t="n">
        <x:v>9</x:v>
      </x:c>
      <x:c r="F31" s="720" t="n">
        <x:v>20</x:v>
      </x:c>
      <x:c r="G31" s="720" t="str">
        <x:v>Utile</x:v>
      </x:c>
      <x:c r="H31" s="720" t="str"/>
      <x:c r="I31" s="721" t="str">
        <x:v>Scommessa da ultimi slot, senza sovrapprezzo.</x:v>
      </x:c>
    </x:row>
    <x:row r="32">
      <x:c r="A32" s="719" t="str">
        <x:v>Attaccante</x:v>
      </x:c>
      <x:c r="B32" s="720" t="str">
        <x:f>IF((COUNTIF(Asta!$B$4:$B$47,"Boga")+COUNTIF(Asta!$D$4:$D$47,"Boga")+COUNTIF(Asta!$F$4:$F$47,"Boga")+COUNTIF(Asta!$H$4:$H$47,"Boga")+COUNTIF(Asta!$J$4:$J$47,"Boga")+COUNTIF(Asta!$L$4:$L$47,"Boga")+COUNTIF(Asta!$N$4:$N$47,"Boga")+COUNTIF(Asta!$P$4:$P$47,"Boga")+COUNTIF(Asta!$R$4:$R$47,"Boga")+COUNTIF(Asta!$T$4:$T$47,"Boga"))&gt;0,REGEXREPLACE("Boga","(.)","$1"&amp;UNICHAR(822)),"Boga")</x:f>
        <x:v>Boga</x:v>
      </x:c>
      <x:c r="C32" s="720" t="str">
        <x:v>W;A</x:v>
      </x:c>
      <x:c r="D32" s="720" t="str">
        <x:v>Riserva / rotazione</x:v>
      </x:c>
      <x:c r="E32" s="720" t="n">
        <x:v>6</x:v>
      </x:c>
      <x:c r="F32" s="720" t="n">
        <x:v>13</x:v>
      </x:c>
      <x:c r="G32" s="720" t="str">
        <x:v>Utile</x:v>
      </x:c>
      <x:c r="H32" s="720" t="str"/>
      <x:c r="I32" s="721" t="str">
        <x:v>Scommessa da ultimi slot, senza sovrapprezzo.</x:v>
      </x:c>
    </x:row>
    <x:row r="33">
      <x:c r="A33" s="722" t="str">
        <x:v>Attaccante</x:v>
      </x:c>
      <x:c r="B33" s="723" t="str">
        <x:f>IF((COUNTIF(Asta!$B$4:$B$47,"Ekhator")+COUNTIF(Asta!$D$4:$D$47,"Ekhator")+COUNTIF(Asta!$F$4:$F$47,"Ekhator")+COUNTIF(Asta!$H$4:$H$47,"Ekhator")+COUNTIF(Asta!$J$4:$J$47,"Ekhator")+COUNTIF(Asta!$L$4:$L$47,"Ekhator")+COUNTIF(Asta!$N$4:$N$47,"Ekhator")+COUNTIF(Asta!$P$4:$P$47,"Ekhator")+COUNTIF(Asta!$R$4:$R$47,"Ekhator")+COUNTIF(Asta!$T$4:$T$47,"Ekhator"))&gt;0,REGEXREPLACE("Ekhator","(.)","$1"&amp;UNICHAR(822)),"Ekhator")</x:f>
        <x:v>Ekhator</x:v>
      </x:c>
      <x:c r="C33" s="723" t="str">
        <x:v>A</x:v>
      </x:c>
      <x:c r="D33" s="723" t="str">
        <x:v>Riserva / rotazione</x:v>
      </x:c>
      <x:c r="E33" s="723" t="n">
        <x:v>3</x:v>
      </x:c>
      <x:c r="F33" s="723" t="n">
        <x:v>5</x:v>
      </x:c>
      <x:c r="G33" s="723" t="str">
        <x:v>Scommessa</x:v>
      </x:c>
      <x:c r="H33" s="723" t="str"/>
      <x:c r="I33" s="724" t="str">
        <x:v>Copertura/ultimo slot: da prendere a 1-2 crediti.</x:v>
      </x:c>
    </x:row>
    <x:row r="35">
      <x:c r="A35" s="630" t="str">
        <x:v>Fonte formazione/ballottaggi/rigoristi: Fantacalcio.it, aggiornamento 09/09/2026 — https://www.fantacalcio.it/news/calcio-italia/06_08_2026/asta-fantacalcio-le-probabili-formazioni-della-serie-a-enilive-2026-27-495558</x:v>
      </x:c>
      <x:c r="B35" s="630"/>
      <x:c r="C35" s="630"/>
      <x:c r="D35" s="630"/>
      <x:c r="E35" s="630"/>
      <x:c r="F35" s="630"/>
      <x:c r="G35" s="630"/>
      <x:c r="H35" s="630"/>
      <x:c r="I35" s="630"/>
    </x:row>
  </x:sheetData>
  <x:mergeCells>
    <x:mergeCell ref="A1:I1"/>
    <x:mergeCell ref="B4:I4"/>
    <x:mergeCell ref="B5:I5"/>
    <x:mergeCell ref="D3:I3"/>
    <x:mergeCell ref="D6:I6"/>
    <x:mergeCell ref="A35:I35"/>
  </x:mergeCells>
  <x:conditionalFormatting sqref="D9:D33">
    <x:cfRule type="expression" dxfId="20" priority="1">
      <x:formula>D9="Titolare"</x:formula>
    </x:cfRule>
    <x:cfRule type="expression" dxfId="21" priority="2">
      <x:formula>ISNUMBER(SEARCH("Ballottaggio",D9))</x:formula>
    </x:cfRule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1" hidden="0" customWidth="1"/>
    <x:col min="3" max="3" width="18" hidden="0" customWidth="1"/>
    <x:col min="4" max="4" width="23" hidden="0" customWidth="1"/>
    <x:col min="5" max="5" width="11" hidden="0" customWidth="1"/>
    <x:col min="6" max="6" width="12" hidden="0" customWidth="1"/>
    <x:col min="7" max="7" width="24" hidden="0" customWidth="1"/>
    <x:col min="8" max="8" width="20" hidden="0" customWidth="1"/>
    <x:col min="9" max="9" width="48" hidden="0" customWidth="1"/>
  </x:cols>
  <x:sheetData>
    <x:row r="1" ht="30" customHeight="1">
      <x:c r="A1" s="642" t="str">
        <x:v>LAZIO — GUIDA ASTA 2026/27</x:v>
      </x:c>
      <x:c r="B1" s="643"/>
      <x:c r="C1" s="643"/>
      <x:c r="D1" s="643"/>
      <x:c r="E1" s="643"/>
      <x:c r="F1" s="643"/>
      <x:c r="G1" s="643"/>
      <x:c r="H1" s="643"/>
      <x:c r="I1" s="644"/>
    </x:row>
    <x:row r="3">
      <x:c r="A3" s="663" t="str">
        <x:v>Allenatore</x:v>
      </x:c>
      <x:c r="B3" s="681" t="str">
        <x:v>Gennaro Gattuso</x:v>
      </x:c>
      <x:c r="C3" s="673" t="str">
        <x:v>Modulo</x:v>
      </x:c>
      <x:c r="D3" s="681" t="str">
        <x:v>4-3-3</x:v>
      </x:c>
      <x:c r="E3" s="681"/>
      <x:c r="F3" s="681"/>
      <x:c r="G3" s="681"/>
      <x:c r="H3" s="681"/>
      <x:c r="I3" s="682"/>
    </x:row>
    <x:row r="4" ht="38" customHeight="1">
      <x:c r="A4" s="664" t="str">
        <x:v>Formazione titolare</x:v>
      </x:c>
      <x:c r="B4" s="683" t="str">
        <x:v>Mandas; Marusic, Doekhi, Provstgaard, Tavares; Frattesi, Rovella, Taylor; Gudmundsson, Pinamonti, Zaccagni</x:v>
      </x:c>
      <x:c r="C4" s="676" t="str"/>
      <x:c r="D4" s="683" t="str"/>
      <x:c r="E4" s="683"/>
      <x:c r="F4" s="683"/>
      <x:c r="G4" s="683"/>
      <x:c r="H4" s="683"/>
      <x:c r="I4" s="684"/>
    </x:row>
    <x:row r="5" ht="38" customHeight="1">
      <x:c r="A5" s="664" t="str">
        <x:v>Ballottaggi</x:v>
      </x:c>
      <x:c r="B5" s="683" t="str">
        <x:v>Marusic/Floriani; Doekhi/Sutalo; Tavares/Pedraza; Gudmundsson/Isaksen</x:v>
      </x:c>
      <x:c r="C5" s="676" t="str"/>
      <x:c r="D5" s="683" t="str"/>
      <x:c r="E5" s="683"/>
      <x:c r="F5" s="683"/>
      <x:c r="G5" s="683"/>
      <x:c r="H5" s="683"/>
      <x:c r="I5" s="684"/>
    </x:row>
    <x:row r="6">
      <x:c r="A6" s="665" t="str">
        <x:v>Rigoristi</x:v>
      </x:c>
      <x:c r="B6" s="685" t="str">
        <x:v>Zaccagni, Pinamonti, Gudmundsson</x:v>
      </x:c>
      <x:c r="C6" s="679" t="str">
        <x:v>Calci piazzati</x:v>
      </x:c>
      <x:c r="D6" s="685" t="str">
        <x:v>Rovella, Zaccagni, Gudmundsson</x:v>
      </x:c>
      <x:c r="E6" s="685"/>
      <x:c r="F6" s="685"/>
      <x:c r="G6" s="685"/>
      <x:c r="H6" s="685"/>
      <x:c r="I6" s="686"/>
    </x:row>
    <x:row r="8" ht="30" customHeight="1">
      <x:c r="A8" s="698" t="str">
        <x:v>Ruolo</x:v>
      </x:c>
      <x:c r="B8" s="699" t="str">
        <x:v>Calciatore</x:v>
      </x:c>
      <x:c r="C8" s="699" t="str">
        <x:v>Posizione</x:v>
      </x:c>
      <x:c r="D8" s="699" t="str">
        <x:v>Status</x:v>
      </x:c>
      <x:c r="E8" s="699" t="str">
        <x:v>Quotazione</x:v>
      </x:c>
      <x:c r="F8" s="699" t="str">
        <x:v>FVM su 504</x:v>
      </x:c>
      <x:c r="G8" s="699" t="str">
        <x:v>Fascia asta</x:v>
      </x:c>
      <x:c r="H8" s="699" t="str">
        <x:v>Specialità</x:v>
      </x:c>
      <x:c r="I8" s="700" t="str">
        <x:v>Consiglio Fantacalcio</x:v>
      </x:c>
    </x:row>
    <x:row r="9">
      <x:c r="A9" s="707" t="str">
        <x:v>Portiere</x:v>
      </x:c>
      <x:c r="B9" s="708" t="str">
        <x:f>IF((COUNTIF(Asta!$B$4:$B$47,"Mandas")+COUNTIF(Asta!$D$4:$D$47,"Mandas")+COUNTIF(Asta!$F$4:$F$47,"Mandas")+COUNTIF(Asta!$H$4:$H$47,"Mandas")+COUNTIF(Asta!$J$4:$J$47,"Mandas")+COUNTIF(Asta!$L$4:$L$47,"Mandas")+COUNTIF(Asta!$N$4:$N$47,"Mandas")+COUNTIF(Asta!$P$4:$P$47,"Mandas")+COUNTIF(Asta!$R$4:$R$47,"Mandas")+COUNTIF(Asta!$T$4:$T$47,"Mandas"))&gt;0,REGEXREPLACE("Mandas","(.)","$1"&amp;UNICHAR(822)),"Mandas")</x:f>
        <x:v>Mandas</x:v>
      </x:c>
      <x:c r="C9" s="708" t="str">
        <x:v>Por</x:v>
      </x:c>
      <x:c r="D9" s="708" t="str">
        <x:v>Titolare</x:v>
      </x:c>
      <x:c r="E9" s="708" t="n">
        <x:v>9</x:v>
      </x:c>
      <x:c r="F9" s="708" t="n">
        <x:v>15</x:v>
      </x:c>
      <x:c r="G9" s="708" t="str">
        <x:v>Utile</x:v>
      </x:c>
      <x:c r="H9" s="708" t="str"/>
      <x:c r="I9" s="709" t="str">
        <x:v>Portiere da prendere come titolare di reparto; profilo affidabile per continuità.</x:v>
      </x:c>
    </x:row>
    <x:row r="10">
      <x:c r="A10" s="710" t="str">
        <x:v>Portiere</x:v>
      </x:c>
      <x:c r="B10" s="711" t="str">
        <x:f>IF((COUNTIF(Asta!$B$4:$B$47,"Motta")+COUNTIF(Asta!$D$4:$D$47,"Motta")+COUNTIF(Asta!$F$4:$F$47,"Motta")+COUNTIF(Asta!$H$4:$H$47,"Motta")+COUNTIF(Asta!$J$4:$J$47,"Motta")+COUNTIF(Asta!$L$4:$L$47,"Motta")+COUNTIF(Asta!$N$4:$N$47,"Motta")+COUNTIF(Asta!$P$4:$P$47,"Motta")+COUNTIF(Asta!$R$4:$R$47,"Motta")+COUNTIF(Asta!$T$4:$T$47,"Motta"))&gt;0,REGEXREPLACE("Motta","(.)","$1"&amp;UNICHAR(822)),"Motta")</x:f>
        <x:v>Motta</x:v>
      </x:c>
      <x:c r="C10" s="711" t="str">
        <x:v>Por</x:v>
      </x:c>
      <x:c r="D10" s="711" t="str">
        <x:v>Riserva / rotazione</x:v>
      </x:c>
      <x:c r="E10" s="711" t="n">
        <x:v>1</x:v>
      </x:c>
      <x:c r="F10" s="711" t="n">
        <x:v>1</x:v>
      </x:c>
      <x:c r="G10" s="711" t="str">
        <x:v>Copertura</x:v>
      </x:c>
      <x:c r="H10" s="711" t="str"/>
      <x:c r="I10" s="712" t="str">
        <x:v>Solo come secondo/terzo portiere o copertura del titolare.</x:v>
      </x:c>
    </x:row>
    <x:row r="11">
      <x:c r="A11" s="710" t="str">
        <x:v>Portiere</x:v>
      </x:c>
      <x:c r="B11" s="711" t="str">
        <x:f>IF((COUNTIF(Asta!$B$4:$B$47,"Renzetti")+COUNTIF(Asta!$D$4:$D$47,"Renzetti")+COUNTIF(Asta!$F$4:$F$47,"Renzetti")+COUNTIF(Asta!$H$4:$H$47,"Renzetti")+COUNTIF(Asta!$J$4:$J$47,"Renzetti")+COUNTIF(Asta!$L$4:$L$47,"Renzetti")+COUNTIF(Asta!$N$4:$N$47,"Renzetti")+COUNTIF(Asta!$P$4:$P$47,"Renzetti")+COUNTIF(Asta!$R$4:$R$47,"Renzetti")+COUNTIF(Asta!$T$4:$T$47,"Renzetti"))&gt;0,REGEXREPLACE("Renzetti","(.)","$1"&amp;UNICHAR(822)),"Renzetti")</x:f>
        <x:v>Renzetti</x:v>
      </x:c>
      <x:c r="C11" s="711" t="str">
        <x:v>Por</x:v>
      </x:c>
      <x:c r="D11" s="711" t="str">
        <x:v>Riserva / rotazione</x:v>
      </x:c>
      <x:c r="E11" s="711" t="n">
        <x:v>1</x:v>
      </x:c>
      <x:c r="F11" s="711" t="n">
        <x:v>1</x:v>
      </x:c>
      <x:c r="G11" s="711" t="str">
        <x:v>Copertura</x:v>
      </x:c>
      <x:c r="H11" s="711" t="str"/>
      <x:c r="I11" s="712" t="str">
        <x:v>Solo come secondo/terzo portiere o copertura del titolare.</x:v>
      </x:c>
    </x:row>
    <x:row r="12">
      <x:c r="A12" s="713" t="str">
        <x:v>Difensore</x:v>
      </x:c>
      <x:c r="B12" s="714" t="str">
        <x:f>IF((COUNTIF(Asta!$B$4:$B$47,"Romagnoli")+COUNTIF(Asta!$D$4:$D$47,"Romagnoli")+COUNTIF(Asta!$F$4:$F$47,"Romagnoli")+COUNTIF(Asta!$H$4:$H$47,"Romagnoli")+COUNTIF(Asta!$J$4:$J$47,"Romagnoli")+COUNTIF(Asta!$L$4:$L$47,"Romagnoli")+COUNTIF(Asta!$N$4:$N$47,"Romagnoli")+COUNTIF(Asta!$P$4:$P$47,"Romagnoli")+COUNTIF(Asta!$R$4:$R$47,"Romagnoli")+COUNTIF(Asta!$T$4:$T$47,"Romagnoli"))&gt;0,REGEXREPLACE("Romagnoli","(.)","$1"&amp;UNICHAR(822)),"Romagnoli")</x:f>
        <x:v>Romagnoli</x:v>
      </x:c>
      <x:c r="C12" s="714" t="str">
        <x:v>Dc</x:v>
      </x:c>
      <x:c r="D12" s="714" t="str">
        <x:v>Riserva / rotazione</x:v>
      </x:c>
      <x:c r="E12" s="714" t="n">
        <x:v>7</x:v>
      </x:c>
      <x:c r="F12" s="714" t="n">
        <x:v>12</x:v>
      </x:c>
      <x:c r="G12" s="714" t="str">
        <x:v>Utile</x:v>
      </x:c>
      <x:c r="H12" s="714" t="str"/>
      <x:c r="I12" s="715" t="str">
        <x:v>Scommessa da ultimi slot, senza sovrapprezzo.</x:v>
      </x:c>
    </x:row>
    <x:row r="13">
      <x:c r="A13" s="713" t="str">
        <x:v>Difensore</x:v>
      </x:c>
      <x:c r="B13" s="714" t="str">
        <x:f>IF((COUNTIF(Asta!$B$4:$B$47,"Doekhi")+COUNTIF(Asta!$D$4:$D$47,"Doekhi")+COUNTIF(Asta!$F$4:$F$47,"Doekhi")+COUNTIF(Asta!$H$4:$H$47,"Doekhi")+COUNTIF(Asta!$J$4:$J$47,"Doekhi")+COUNTIF(Asta!$L$4:$L$47,"Doekhi")+COUNTIF(Asta!$N$4:$N$47,"Doekhi")+COUNTIF(Asta!$P$4:$P$47,"Doekhi")+COUNTIF(Asta!$R$4:$R$47,"Doekhi")+COUNTIF(Asta!$T$4:$T$47,"Doekhi"))&gt;0,REGEXREPLACE("Doekhi","(.)","$1"&amp;UNICHAR(822)),"Doekhi")</x:f>
        <x:v>Doekhi</x:v>
      </x:c>
      <x:c r="C13" s="714" t="str">
        <x:v>Dc</x:v>
      </x:c>
      <x:c r="D13" s="714" t="str">
        <x:v>Titolare / ballottaggio</x:v>
      </x:c>
      <x:c r="E13" s="714" t="n">
        <x:v>7</x:v>
      </x:c>
      <x:c r="F13" s="714" t="n">
        <x:v>11</x:v>
      </x:c>
      <x:c r="G13" s="714" t="str">
        <x:v>Utile</x:v>
      </x:c>
      <x:c r="H13" s="714" t="str"/>
      <x:c r="I13" s="715" t="str">
        <x:v>Scommessa con upside: prendilo a prezzo controllato.</x:v>
      </x:c>
    </x:row>
    <x:row r="14">
      <x:c r="A14" s="713" t="str">
        <x:v>Difensore</x:v>
      </x:c>
      <x:c r="B14" s="714" t="str">
        <x:f>IF((COUNTIF(Asta!$B$4:$B$47,"Marusic")+COUNTIF(Asta!$D$4:$D$47,"Marusic")+COUNTIF(Asta!$F$4:$F$47,"Marusic")+COUNTIF(Asta!$H$4:$H$47,"Marusic")+COUNTIF(Asta!$J$4:$J$47,"Marusic")+COUNTIF(Asta!$L$4:$L$47,"Marusic")+COUNTIF(Asta!$N$4:$N$47,"Marusic")+COUNTIF(Asta!$P$4:$P$47,"Marusic")+COUNTIF(Asta!$R$4:$R$47,"Marusic")+COUNTIF(Asta!$T$4:$T$47,"Marusic"))&gt;0,REGEXREPLACE("Marusic","(.)","$1"&amp;UNICHAR(822)),"Marusic")</x:f>
        <x:v>Marusic</x:v>
      </x:c>
      <x:c r="C14" s="714" t="str">
        <x:v>Dd;Ds;E</x:v>
      </x:c>
      <x:c r="D14" s="714" t="str">
        <x:v>Titolare / ballottaggio</x:v>
      </x:c>
      <x:c r="E14" s="714" t="n">
        <x:v>6</x:v>
      </x:c>
      <x:c r="F14" s="714" t="n">
        <x:v>10</x:v>
      </x:c>
      <x:c r="G14" s="714" t="str">
        <x:v>Utile</x:v>
      </x:c>
      <x:c r="H14" s="714" t="str"/>
      <x:c r="I14" s="715" t="str">
        <x:v>Scommessa con upside: prendilo a prezzo controllato.</x:v>
      </x:c>
    </x:row>
    <x:row r="15">
      <x:c r="A15" s="713" t="str">
        <x:v>Difensore</x:v>
      </x:c>
      <x:c r="B15" s="714" t="str">
        <x:f>IF((COUNTIF(Asta!$B$4:$B$47,"Tavares N.")+COUNTIF(Asta!$D$4:$D$47,"Tavares N.")+COUNTIF(Asta!$F$4:$F$47,"Tavares N.")+COUNTIF(Asta!$H$4:$H$47,"Tavares N.")+COUNTIF(Asta!$J$4:$J$47,"Tavares N.")+COUNTIF(Asta!$L$4:$L$47,"Tavares N.")+COUNTIF(Asta!$N$4:$N$47,"Tavares N.")+COUNTIF(Asta!$P$4:$P$47,"Tavares N.")+COUNTIF(Asta!$R$4:$R$47,"Tavares N.")+COUNTIF(Asta!$T$4:$T$47,"Tavares N."))&gt;0,REGEXREPLACE("Tavares N.","(.)","$1"&amp;UNICHAR(822)),"Tavares N.")</x:f>
        <x:v>Tavares N.</x:v>
      </x:c>
      <x:c r="C15" s="714" t="str">
        <x:v>Ds;E</x:v>
      </x:c>
      <x:c r="D15" s="714" t="str">
        <x:v>Titolare / ballottaggio</x:v>
      </x:c>
      <x:c r="E15" s="714" t="n">
        <x:v>6</x:v>
      </x:c>
      <x:c r="F15" s="714" t="n">
        <x:v>9</x:v>
      </x:c>
      <x:c r="G15" s="714" t="str">
        <x:v>Scommessa</x:v>
      </x:c>
      <x:c r="H15" s="714" t="str"/>
      <x:c r="I15" s="715" t="str">
        <x:v>Solo a pochi crediti: minutaggio non garantito.</x:v>
      </x:c>
    </x:row>
    <x:row r="16">
      <x:c r="A16" s="713" t="str">
        <x:v>Difensore</x:v>
      </x:c>
      <x:c r="B16" s="714" t="str">
        <x:f>IF((COUNTIF(Asta!$B$4:$B$47,"Pedraza")+COUNTIF(Asta!$D$4:$D$47,"Pedraza")+COUNTIF(Asta!$F$4:$F$47,"Pedraza")+COUNTIF(Asta!$H$4:$H$47,"Pedraza")+COUNTIF(Asta!$J$4:$J$47,"Pedraza")+COUNTIF(Asta!$L$4:$L$47,"Pedraza")+COUNTIF(Asta!$N$4:$N$47,"Pedraza")+COUNTIF(Asta!$P$4:$P$47,"Pedraza")+COUNTIF(Asta!$R$4:$R$47,"Pedraza")+COUNTIF(Asta!$T$4:$T$47,"Pedraza"))&gt;0,REGEXREPLACE("Pedraza","(.)","$1"&amp;UNICHAR(822)),"Pedraza")</x:f>
        <x:v>Pedraza</x:v>
      </x:c>
      <x:c r="C16" s="714" t="str">
        <x:v>Ds;E</x:v>
      </x:c>
      <x:c r="D16" s="714" t="str">
        <x:v>Ballottaggio</x:v>
      </x:c>
      <x:c r="E16" s="714" t="n">
        <x:v>5</x:v>
      </x:c>
      <x:c r="F16" s="714" t="n">
        <x:v>8</x:v>
      </x:c>
      <x:c r="G16" s="714" t="str">
        <x:v>Scommessa</x:v>
      </x:c>
      <x:c r="H16" s="714" t="str"/>
      <x:c r="I16" s="715" t="str">
        <x:v>Solo a pochi crediti: minutaggio non garantito.</x:v>
      </x:c>
    </x:row>
    <x:row r="17">
      <x:c r="A17" s="713" t="str">
        <x:v>Difensore</x:v>
      </x:c>
      <x:c r="B17" s="714" t="str">
        <x:f>IF((COUNTIF(Asta!$B$4:$B$47,"Floriani Mussolini")+COUNTIF(Asta!$D$4:$D$47,"Floriani Mussolini")+COUNTIF(Asta!$F$4:$F$47,"Floriani Mussolini")+COUNTIF(Asta!$H$4:$H$47,"Floriani Mussolini")+COUNTIF(Asta!$J$4:$J$47,"Floriani Mussolini")+COUNTIF(Asta!$L$4:$L$47,"Floriani Mussolini")+COUNTIF(Asta!$N$4:$N$47,"Floriani Mussolini")+COUNTIF(Asta!$P$4:$P$47,"Floriani Mussolini")+COUNTIF(Asta!$R$4:$R$47,"Floriani Mussolini")+COUNTIF(Asta!$T$4:$T$47,"Floriani Mussolini"))&gt;0,REGEXREPLACE("Floriani Mussolini","(.)","$1"&amp;UNICHAR(822)),"Floriani Mussolini")</x:f>
        <x:v>Floriani Mussolini</x:v>
      </x:c>
      <x:c r="C17" s="714" t="str">
        <x:v>Dd;E</x:v>
      </x:c>
      <x:c r="D17" s="714" t="str">
        <x:v>Ballottaggio</x:v>
      </x:c>
      <x:c r="E17" s="714" t="n">
        <x:v>3</x:v>
      </x:c>
      <x:c r="F17" s="714" t="n">
        <x:v>6</x:v>
      </x:c>
      <x:c r="G17" s="714" t="str">
        <x:v>Scommessa</x:v>
      </x:c>
      <x:c r="H17" s="714" t="str"/>
      <x:c r="I17" s="715" t="str">
        <x:v>Solo a pochi crediti: minutaggio non garantito.</x:v>
      </x:c>
    </x:row>
    <x:row r="18">
      <x:c r="A18" s="713" t="str">
        <x:v>Difensore</x:v>
      </x:c>
      <x:c r="B18" s="714" t="str">
        <x:f>IF((COUNTIF(Asta!$B$4:$B$47,"Provstgaard")+COUNTIF(Asta!$D$4:$D$47,"Provstgaard")+COUNTIF(Asta!$F$4:$F$47,"Provstgaard")+COUNTIF(Asta!$H$4:$H$47,"Provstgaard")+COUNTIF(Asta!$J$4:$J$47,"Provstgaard")+COUNTIF(Asta!$L$4:$L$47,"Provstgaard")+COUNTIF(Asta!$N$4:$N$47,"Provstgaard")+COUNTIF(Asta!$P$4:$P$47,"Provstgaard")+COUNTIF(Asta!$R$4:$R$47,"Provstgaard")+COUNTIF(Asta!$T$4:$T$47,"Provstgaard"))&gt;0,REGEXREPLACE("Provstgaard","(.)","$1"&amp;UNICHAR(822)),"Provstgaard")</x:f>
        <x:v>Provstgaard</x:v>
      </x:c>
      <x:c r="C18" s="714" t="str">
        <x:v>Dc</x:v>
      </x:c>
      <x:c r="D18" s="714" t="str">
        <x:v>Titolare</x:v>
      </x:c>
      <x:c r="E18" s="714" t="n">
        <x:v>3</x:v>
      </x:c>
      <x:c r="F18" s="714" t="n">
        <x:v>5</x:v>
      </x:c>
      <x:c r="G18" s="714" t="str">
        <x:v>Scommessa</x:v>
      </x:c>
      <x:c r="H18" s="714" t="str"/>
      <x:c r="I18" s="715" t="str">
        <x:v>Titolare low cost: utile per completare il reparto.</x:v>
      </x:c>
    </x:row>
    <x:row r="19">
      <x:c r="A19" s="713" t="str">
        <x:v>Difensore</x:v>
      </x:c>
      <x:c r="B19" s="714" t="str">
        <x:f>IF((COUNTIF(Asta!$B$4:$B$47,"Lazzari")+COUNTIF(Asta!$D$4:$D$47,"Lazzari")+COUNTIF(Asta!$F$4:$F$47,"Lazzari")+COUNTIF(Asta!$H$4:$H$47,"Lazzari")+COUNTIF(Asta!$J$4:$J$47,"Lazzari")+COUNTIF(Asta!$L$4:$L$47,"Lazzari")+COUNTIF(Asta!$N$4:$N$47,"Lazzari")+COUNTIF(Asta!$P$4:$P$47,"Lazzari")+COUNTIF(Asta!$R$4:$R$47,"Lazzari")+COUNTIF(Asta!$T$4:$T$47,"Lazzari"))&gt;0,REGEXREPLACE("Lazzari","(.)","$1"&amp;UNICHAR(822)),"Lazzari")</x:f>
        <x:v>Lazzari</x:v>
      </x:c>
      <x:c r="C19" s="714" t="str">
        <x:v>Dd;E</x:v>
      </x:c>
      <x:c r="D19" s="714" t="str">
        <x:v>Riserva / rotazione</x:v>
      </x:c>
      <x:c r="E19" s="714" t="n">
        <x:v>2</x:v>
      </x:c>
      <x:c r="F19" s="714" t="n">
        <x:v>4</x:v>
      </x:c>
      <x:c r="G19" s="714" t="str">
        <x:v>Scommessa</x:v>
      </x:c>
      <x:c r="H19" s="714" t="str"/>
      <x:c r="I19" s="715" t="str">
        <x:v>Copertura/ultimo slot: da prendere a 1-2 crediti.</x:v>
      </x:c>
    </x:row>
    <x:row r="20">
      <x:c r="A20" s="713" t="str">
        <x:v>Difensore</x:v>
      </x:c>
      <x:c r="B20" s="714" t="str">
        <x:f>IF((COUNTIF(Asta!$B$4:$B$47,"Pellegrini Lu.")+COUNTIF(Asta!$D$4:$D$47,"Pellegrini Lu.")+COUNTIF(Asta!$F$4:$F$47,"Pellegrini Lu.")+COUNTIF(Asta!$H$4:$H$47,"Pellegrini Lu.")+COUNTIF(Asta!$J$4:$J$47,"Pellegrini Lu.")+COUNTIF(Asta!$L$4:$L$47,"Pellegrini Lu.")+COUNTIF(Asta!$N$4:$N$47,"Pellegrini Lu.")+COUNTIF(Asta!$P$4:$P$47,"Pellegrini Lu.")+COUNTIF(Asta!$R$4:$R$47,"Pellegrini Lu.")+COUNTIF(Asta!$T$4:$T$47,"Pellegrini Lu."))&gt;0,REGEXREPLACE("Pellegrini Lu.","(.)","$1"&amp;UNICHAR(822)),"Pellegrini Lu.")</x:f>
        <x:v>Pellegrini Lu.</x:v>
      </x:c>
      <x:c r="C20" s="714" t="str">
        <x:v>Ds;E</x:v>
      </x:c>
      <x:c r="D20" s="714" t="str">
        <x:v>Riserva / rotazione</x:v>
      </x:c>
      <x:c r="E20" s="714" t="n">
        <x:v>2</x:v>
      </x:c>
      <x:c r="F20" s="714" t="n">
        <x:v>3</x:v>
      </x:c>
      <x:c r="G20" s="714" t="str">
        <x:v>Copertura</x:v>
      </x:c>
      <x:c r="H20" s="714" t="str"/>
      <x:c r="I20" s="715" t="str">
        <x:v>Copertura/ultimo slot: da prendere a 1-2 crediti.</x:v>
      </x:c>
    </x:row>
    <x:row r="21">
      <x:c r="A21" s="713" t="str">
        <x:v>Difensore</x:v>
      </x:c>
      <x:c r="B21" s="714" t="str">
        <x:f>IF((COUNTIF(Asta!$B$4:$B$47,"Patric")+COUNTIF(Asta!$D$4:$D$47,"Patric")+COUNTIF(Asta!$F$4:$F$47,"Patric")+COUNTIF(Asta!$H$4:$H$47,"Patric")+COUNTIF(Asta!$J$4:$J$47,"Patric")+COUNTIF(Asta!$L$4:$L$47,"Patric")+COUNTIF(Asta!$N$4:$N$47,"Patric")+COUNTIF(Asta!$P$4:$P$47,"Patric")+COUNTIF(Asta!$R$4:$R$47,"Patric")+COUNTIF(Asta!$T$4:$T$47,"Patric"))&gt;0,REGEXREPLACE("Patric","(.)","$1"&amp;UNICHAR(822)),"Patric")</x:f>
        <x:v>Patric</x:v>
      </x:c>
      <x:c r="C21" s="714" t="str">
        <x:v>Dd;Dc</x:v>
      </x:c>
      <x:c r="D21" s="714" t="str">
        <x:v>Riserva / rotazione</x:v>
      </x:c>
      <x:c r="E21" s="714" t="n">
        <x:v>1</x:v>
      </x:c>
      <x:c r="F21" s="714" t="n">
        <x:v>2</x:v>
      </x:c>
      <x:c r="G21" s="714" t="str">
        <x:v>Copertura</x:v>
      </x:c>
      <x:c r="H21" s="714" t="str"/>
      <x:c r="I21" s="715" t="str">
        <x:v>Copertura/ultimo slot: da prendere a 1-2 crediti.</x:v>
      </x:c>
    </x:row>
    <x:row r="22">
      <x:c r="A22" s="716" t="str">
        <x:v>Centrocampista</x:v>
      </x:c>
      <x:c r="B22" s="717" t="str">
        <x:f>IF((COUNTIF(Asta!$B$4:$B$47,"Zaccagni")+COUNTIF(Asta!$D$4:$D$47,"Zaccagni")+COUNTIF(Asta!$F$4:$F$47,"Zaccagni")+COUNTIF(Asta!$H$4:$H$47,"Zaccagni")+COUNTIF(Asta!$J$4:$J$47,"Zaccagni")+COUNTIF(Asta!$L$4:$L$47,"Zaccagni")+COUNTIF(Asta!$N$4:$N$47,"Zaccagni")+COUNTIF(Asta!$P$4:$P$47,"Zaccagni")+COUNTIF(Asta!$R$4:$R$47,"Zaccagni")+COUNTIF(Asta!$T$4:$T$47,"Zaccagni"))&gt;0,REGEXREPLACE("Zaccagni","(.)","$1"&amp;UNICHAR(822)),"Zaccagni")</x:f>
        <x:v>Zaccagni</x:v>
      </x:c>
      <x:c r="C22" s="717" t="str">
        <x:v>W;A</x:v>
      </x:c>
      <x:c r="D22" s="717" t="str">
        <x:v>Titolare</x:v>
      </x:c>
      <x:c r="E22" s="717" t="n">
        <x:v>16</x:v>
      </x:c>
      <x:c r="F22" s="717" t="n">
        <x:v>46</x:v>
      </x:c>
      <x:c r="G22" s="717" t="str">
        <x:v>Premium</x:v>
      </x:c>
      <x:c r="H22" s="717" t="str">
        <x:v>Rigorista · Piazzati</x:v>
      </x:c>
      <x:c r="I22" s="718" t="str">
        <x:v>Da puntare: titolarità e alto potenziale fantacalcistico. Plus importante: è indicato tra i rigoristi.</x:v>
      </x:c>
    </x:row>
    <x:row r="23">
      <x:c r="A23" s="716" t="str">
        <x:v>Centrocampista</x:v>
      </x:c>
      <x:c r="B23" s="717" t="str">
        <x:f>IF((COUNTIF(Asta!$B$4:$B$47,"Taylor K.")+COUNTIF(Asta!$D$4:$D$47,"Taylor K.")+COUNTIF(Asta!$F$4:$F$47,"Taylor K.")+COUNTIF(Asta!$H$4:$H$47,"Taylor K.")+COUNTIF(Asta!$J$4:$J$47,"Taylor K.")+COUNTIF(Asta!$L$4:$L$47,"Taylor K.")+COUNTIF(Asta!$N$4:$N$47,"Taylor K.")+COUNTIF(Asta!$P$4:$P$47,"Taylor K.")+COUNTIF(Asta!$R$4:$R$47,"Taylor K.")+COUNTIF(Asta!$T$4:$T$47,"Taylor K."))&gt;0,REGEXREPLACE("Taylor K.","(.)","$1"&amp;UNICHAR(822)),"Taylor K.")</x:f>
        <x:v>Taylor K.</x:v>
      </x:c>
      <x:c r="C23" s="717" t="str">
        <x:v>C;T</x:v>
      </x:c>
      <x:c r="D23" s="717" t="str">
        <x:v>Titolare</x:v>
      </x:c>
      <x:c r="E23" s="717" t="n">
        <x:v>13</x:v>
      </x:c>
      <x:c r="F23" s="717" t="n">
        <x:v>32</x:v>
      </x:c>
      <x:c r="G23" s="717" t="str">
        <x:v>Buon titolare</x:v>
      </x:c>
      <x:c r="H23" s="717" t="str"/>
      <x:c r="I23" s="718" t="str">
        <x:v>Buon titolare di rosa, da prendere senza inseguire troppo il prezzo.</x:v>
      </x:c>
    </x:row>
    <x:row r="24">
      <x:c r="A24" s="716" t="str">
        <x:v>Centrocampista</x:v>
      </x:c>
      <x:c r="B24" s="717" t="str">
        <x:f>IF((COUNTIF(Asta!$B$4:$B$47,"Cancellieri")+COUNTIF(Asta!$D$4:$D$47,"Cancellieri")+COUNTIF(Asta!$F$4:$F$47,"Cancellieri")+COUNTIF(Asta!$H$4:$H$47,"Cancellieri")+COUNTIF(Asta!$J$4:$J$47,"Cancellieri")+COUNTIF(Asta!$L$4:$L$47,"Cancellieri")+COUNTIF(Asta!$N$4:$N$47,"Cancellieri")+COUNTIF(Asta!$P$4:$P$47,"Cancellieri")+COUNTIF(Asta!$R$4:$R$47,"Cancellieri")+COUNTIF(Asta!$T$4:$T$47,"Cancellieri"))&gt;0,REGEXREPLACE("Cancellieri","(.)","$1"&amp;UNICHAR(822)),"Cancellieri")</x:f>
        <x:v>Cancellieri</x:v>
      </x:c>
      <x:c r="C24" s="717" t="str">
        <x:v>W;A</x:v>
      </x:c>
      <x:c r="D24" s="717" t="str">
        <x:v>Riserva / rotazione</x:v>
      </x:c>
      <x:c r="E24" s="717" t="n">
        <x:v>9</x:v>
      </x:c>
      <x:c r="F24" s="717" t="n">
        <x:v>14</x:v>
      </x:c>
      <x:c r="G24" s="717" t="str">
        <x:v>Utile</x:v>
      </x:c>
      <x:c r="H24" s="717" t="str"/>
      <x:c r="I24" s="718" t="str">
        <x:v>Scommessa da ultimi slot, senza sovrapprezzo.</x:v>
      </x:c>
    </x:row>
    <x:row r="25">
      <x:c r="A25" s="716" t="str">
        <x:v>Centrocampista</x:v>
      </x:c>
      <x:c r="B25" s="717" t="str">
        <x:f>IF((COUNTIF(Asta!$B$4:$B$47,"Isaksen")+COUNTIF(Asta!$D$4:$D$47,"Isaksen")+COUNTIF(Asta!$F$4:$F$47,"Isaksen")+COUNTIF(Asta!$H$4:$H$47,"Isaksen")+COUNTIF(Asta!$J$4:$J$47,"Isaksen")+COUNTIF(Asta!$L$4:$L$47,"Isaksen")+COUNTIF(Asta!$N$4:$N$47,"Isaksen")+COUNTIF(Asta!$P$4:$P$47,"Isaksen")+COUNTIF(Asta!$R$4:$R$47,"Isaksen")+COUNTIF(Asta!$T$4:$T$47,"Isaksen"))&gt;0,REGEXREPLACE("Isaksen","(.)","$1"&amp;UNICHAR(822)),"Isaksen")</x:f>
        <x:v>Isaksen</x:v>
      </x:c>
      <x:c r="C25" s="717" t="str">
        <x:v>W;A</x:v>
      </x:c>
      <x:c r="D25" s="717" t="str">
        <x:v>Ballottaggio</x:v>
      </x:c>
      <x:c r="E25" s="717" t="n">
        <x:v>9</x:v>
      </x:c>
      <x:c r="F25" s="717" t="n">
        <x:v>13</x:v>
      </x:c>
      <x:c r="G25" s="717" t="str">
        <x:v>Utile</x:v>
      </x:c>
      <x:c r="H25" s="717" t="str"/>
      <x:c r="I25" s="718" t="str">
        <x:v>Scommessa con upside: prendilo a prezzo controllato.</x:v>
      </x:c>
    </x:row>
    <x:row r="26">
      <x:c r="A26" s="716" t="str">
        <x:v>Centrocampista</x:v>
      </x:c>
      <x:c r="B26" s="717" t="str">
        <x:f>IF((COUNTIF(Asta!$B$4:$B$47,"Rovella")+COUNTIF(Asta!$D$4:$D$47,"Rovella")+COUNTIF(Asta!$F$4:$F$47,"Rovella")+COUNTIF(Asta!$H$4:$H$47,"Rovella")+COUNTIF(Asta!$J$4:$J$47,"Rovella")+COUNTIF(Asta!$L$4:$L$47,"Rovella")+COUNTIF(Asta!$N$4:$N$47,"Rovella")+COUNTIF(Asta!$P$4:$P$47,"Rovella")+COUNTIF(Asta!$R$4:$R$47,"Rovella")+COUNTIF(Asta!$T$4:$T$47,"Rovella"))&gt;0,REGEXREPLACE("Rovella","(.)","$1"&amp;UNICHAR(822)),"Rovella")</x:f>
        <x:v>Rovella</x:v>
      </x:c>
      <x:c r="C26" s="717" t="str">
        <x:v>M;C</x:v>
      </x:c>
      <x:c r="D26" s="717" t="str">
        <x:v>Titolare</x:v>
      </x:c>
      <x:c r="E26" s="717" t="n">
        <x:v>6</x:v>
      </x:c>
      <x:c r="F26" s="717" t="n">
        <x:v>8</x:v>
      </x:c>
      <x:c r="G26" s="717" t="str">
        <x:v>Scommessa</x:v>
      </x:c>
      <x:c r="H26" s="717" t="str">
        <x:v>Piazzati</x:v>
      </x:c>
      <x:c r="I26" s="718" t="str">
        <x:v>Titolare low cost: utile per completare il reparto. Buon plus: può battere calci piazzati.</x:v>
      </x:c>
    </x:row>
    <x:row r="27">
      <x:c r="A27" s="716" t="str">
        <x:v>Centrocampista</x:v>
      </x:c>
      <x:c r="B27" s="717" t="str">
        <x:f>IF((COUNTIF(Asta!$B$4:$B$47,"Dele-Bashiru")+COUNTIF(Asta!$D$4:$D$47,"Dele-Bashiru")+COUNTIF(Asta!$F$4:$F$47,"Dele-Bashiru")+COUNTIF(Asta!$H$4:$H$47,"Dele-Bashiru")+COUNTIF(Asta!$J$4:$J$47,"Dele-Bashiru")+COUNTIF(Asta!$L$4:$L$47,"Dele-Bashiru")+COUNTIF(Asta!$N$4:$N$47,"Dele-Bashiru")+COUNTIF(Asta!$P$4:$P$47,"Dele-Bashiru")+COUNTIF(Asta!$R$4:$R$47,"Dele-Bashiru")+COUNTIF(Asta!$T$4:$T$47,"Dele-Bashiru"))&gt;0,REGEXREPLACE("Dele-Bashiru","(.)","$1"&amp;UNICHAR(822)),"Dele-Bashiru")</x:f>
        <x:v>Dele-Bashiru</x:v>
      </x:c>
      <x:c r="C27" s="717" t="str">
        <x:v>C;T</x:v>
      </x:c>
      <x:c r="D27" s="717" t="str">
        <x:v>Riserva / rotazione</x:v>
      </x:c>
      <x:c r="E27" s="717" t="n">
        <x:v>5</x:v>
      </x:c>
      <x:c r="F27" s="717" t="n">
        <x:v>7</x:v>
      </x:c>
      <x:c r="G27" s="717" t="str">
        <x:v>Scommessa</x:v>
      </x:c>
      <x:c r="H27" s="717" t="str"/>
      <x:c r="I27" s="718" t="str">
        <x:v>Copertura/ultimo slot: da prendere a 1-2 crediti.</x:v>
      </x:c>
    </x:row>
    <x:row r="28">
      <x:c r="A28" s="716" t="str">
        <x:v>Centrocampista</x:v>
      </x:c>
      <x:c r="B28" s="717" t="str">
        <x:f>IF((COUNTIF(Asta!$B$4:$B$47,"Cataldi")+COUNTIF(Asta!$D$4:$D$47,"Cataldi")+COUNTIF(Asta!$F$4:$F$47,"Cataldi")+COUNTIF(Asta!$H$4:$H$47,"Cataldi")+COUNTIF(Asta!$J$4:$J$47,"Cataldi")+COUNTIF(Asta!$L$4:$L$47,"Cataldi")+COUNTIF(Asta!$N$4:$N$47,"Cataldi")+COUNTIF(Asta!$P$4:$P$47,"Cataldi")+COUNTIF(Asta!$R$4:$R$47,"Cataldi")+COUNTIF(Asta!$T$4:$T$47,"Cataldi"))&gt;0,REGEXREPLACE("Cataldi","(.)","$1"&amp;UNICHAR(822)),"Cataldi")</x:f>
        <x:v>Cataldi</x:v>
      </x:c>
      <x:c r="C28" s="717" t="str">
        <x:v>M;C</x:v>
      </x:c>
      <x:c r="D28" s="717" t="str">
        <x:v>Riserva / rotazione</x:v>
      </x:c>
      <x:c r="E28" s="717" t="n">
        <x:v>4</x:v>
      </x:c>
      <x:c r="F28" s="717" t="n">
        <x:v>6</x:v>
      </x:c>
      <x:c r="G28" s="717" t="str">
        <x:v>Scommessa</x:v>
      </x:c>
      <x:c r="H28" s="717" t="str"/>
      <x:c r="I28" s="718" t="str">
        <x:v>Copertura/ultimo slot: da prendere a 1-2 crediti.</x:v>
      </x:c>
    </x:row>
    <x:row r="29">
      <x:c r="A29" s="716" t="str">
        <x:v>Centrocampista</x:v>
      </x:c>
      <x:c r="B29" s="717" t="str">
        <x:f>IF((COUNTIF(Asta!$B$4:$B$47,"Belahyane")+COUNTIF(Asta!$D$4:$D$47,"Belahyane")+COUNTIF(Asta!$F$4:$F$47,"Belahyane")+COUNTIF(Asta!$H$4:$H$47,"Belahyane")+COUNTIF(Asta!$J$4:$J$47,"Belahyane")+COUNTIF(Asta!$L$4:$L$47,"Belahyane")+COUNTIF(Asta!$N$4:$N$47,"Belahyane")+COUNTIF(Asta!$P$4:$P$47,"Belahyane")+COUNTIF(Asta!$R$4:$R$47,"Belahyane")+COUNTIF(Asta!$T$4:$T$47,"Belahyane"))&gt;0,REGEXREPLACE("Belahyane","(.)","$1"&amp;UNICHAR(822)),"Belahyane")</x:f>
        <x:v>Belahyane</x:v>
      </x:c>
      <x:c r="C29" s="717" t="str">
        <x:v>M;C</x:v>
      </x:c>
      <x:c r="D29" s="717" t="str">
        <x:v>Riserva / rotazione</x:v>
      </x:c>
      <x:c r="E29" s="717" t="n">
        <x:v>1</x:v>
      </x:c>
      <x:c r="F29" s="717" t="n">
        <x:v>3</x:v>
      </x:c>
      <x:c r="G29" s="717" t="str">
        <x:v>Copertura</x:v>
      </x:c>
      <x:c r="H29" s="717" t="str"/>
      <x:c r="I29" s="718" t="str">
        <x:v>Copertura/ultimo slot: da prendere a 1-2 crediti.</x:v>
      </x:c>
    </x:row>
    <x:row r="30">
      <x:c r="A30" s="716" t="str">
        <x:v>Centrocampista</x:v>
      </x:c>
      <x:c r="B30" s="717" t="str">
        <x:f>IF((COUNTIF(Asta!$B$4:$B$47,"Przyborek")+COUNTIF(Asta!$D$4:$D$47,"Przyborek")+COUNTIF(Asta!$F$4:$F$47,"Przyborek")+COUNTIF(Asta!$H$4:$H$47,"Przyborek")+COUNTIF(Asta!$J$4:$J$47,"Przyborek")+COUNTIF(Asta!$L$4:$L$47,"Przyborek")+COUNTIF(Asta!$N$4:$N$47,"Przyborek")+COUNTIF(Asta!$P$4:$P$47,"Przyborek")+COUNTIF(Asta!$R$4:$R$47,"Przyborek")+COUNTIF(Asta!$T$4:$T$47,"Przyborek"))&gt;0,REGEXREPLACE("Przyborek","(.)","$1"&amp;UNICHAR(822)),"Przyborek")</x:f>
        <x:v>Przyborek</x:v>
      </x:c>
      <x:c r="C30" s="717" t="str">
        <x:v>W;T</x:v>
      </x:c>
      <x:c r="D30" s="717" t="str">
        <x:v>Riserva / rotazione</x:v>
      </x:c>
      <x:c r="E30" s="717" t="n">
        <x:v>1</x:v>
      </x:c>
      <x:c r="F30" s="717" t="n">
        <x:v>3</x:v>
      </x:c>
      <x:c r="G30" s="717" t="str">
        <x:v>Copertura</x:v>
      </x:c>
      <x:c r="H30" s="717" t="str"/>
      <x:c r="I30" s="718" t="str">
        <x:v>Copertura/ultimo slot: da prendere a 1-2 crediti.</x:v>
      </x:c>
    </x:row>
    <x:row r="31">
      <x:c r="A31" s="719" t="str">
        <x:v>Attaccante</x:v>
      </x:c>
      <x:c r="B31" s="720" t="str">
        <x:f>IF((COUNTIF(Asta!$B$4:$B$47,"Ratkov")+COUNTIF(Asta!$D$4:$D$47,"Ratkov")+COUNTIF(Asta!$F$4:$F$47,"Ratkov")+COUNTIF(Asta!$H$4:$H$47,"Ratkov")+COUNTIF(Asta!$J$4:$J$47,"Ratkov")+COUNTIF(Asta!$L$4:$L$47,"Ratkov")+COUNTIF(Asta!$N$4:$N$47,"Ratkov")+COUNTIF(Asta!$P$4:$P$47,"Ratkov")+COUNTIF(Asta!$R$4:$R$47,"Ratkov")+COUNTIF(Asta!$T$4:$T$47,"Ratkov"))&gt;0,REGEXREPLACE("Ratkov","(.)","$1"&amp;UNICHAR(822)),"Ratkov")</x:f>
        <x:v>Ratkov</x:v>
      </x:c>
      <x:c r="C31" s="720" t="str">
        <x:v>Pc</x:v>
      </x:c>
      <x:c r="D31" s="720" t="str">
        <x:v>Riserva / rotazione</x:v>
      </x:c>
      <x:c r="E31" s="720" t="n">
        <x:v>10</x:v>
      </x:c>
      <x:c r="F31" s="720" t="n">
        <x:v>16</x:v>
      </x:c>
      <x:c r="G31" s="720" t="str">
        <x:v>Utile</x:v>
      </x:c>
      <x:c r="H31" s="720" t="str"/>
      <x:c r="I31" s="721" t="str">
        <x:v>Scommessa da ultimi slot, senza sovrapprezzo.</x:v>
      </x:c>
    </x:row>
    <x:row r="32">
      <x:c r="A32" s="719" t="str">
        <x:v>Attaccante</x:v>
      </x:c>
      <x:c r="B32" s="720" t="str">
        <x:f>IF((COUNTIF(Asta!$B$4:$B$47,"Dia")+COUNTIF(Asta!$D$4:$D$47,"Dia")+COUNTIF(Asta!$F$4:$F$47,"Dia")+COUNTIF(Asta!$H$4:$H$47,"Dia")+COUNTIF(Asta!$J$4:$J$47,"Dia")+COUNTIF(Asta!$L$4:$L$47,"Dia")+COUNTIF(Asta!$N$4:$N$47,"Dia")+COUNTIF(Asta!$P$4:$P$47,"Dia")+COUNTIF(Asta!$R$4:$R$47,"Dia")+COUNTIF(Asta!$T$4:$T$47,"Dia"))&gt;0,REGEXREPLACE("Dia","(.)","$1"&amp;UNICHAR(822)),"Dia")</x:f>
        <x:v>Dia</x:v>
      </x:c>
      <x:c r="C32" s="720" t="str">
        <x:v>A</x:v>
      </x:c>
      <x:c r="D32" s="720" t="str">
        <x:v>Riserva / rotazione</x:v>
      </x:c>
      <x:c r="E32" s="720" t="n">
        <x:v>10</x:v>
      </x:c>
      <x:c r="F32" s="720" t="n">
        <x:v>16</x:v>
      </x:c>
      <x:c r="G32" s="720" t="str">
        <x:v>Utile</x:v>
      </x:c>
      <x:c r="H32" s="720" t="str"/>
      <x:c r="I32" s="721" t="str">
        <x:v>Scommessa da ultimi slot, senza sovrapprezzo.</x:v>
      </x:c>
    </x:row>
    <x:row r="33">
      <x:c r="A33" s="722" t="str">
        <x:v>Attaccante</x:v>
      </x:c>
      <x:c r="B33" s="723" t="str">
        <x:f>IF((COUNTIF(Asta!$B$4:$B$47,"Noslin")+COUNTIF(Asta!$D$4:$D$47,"Noslin")+COUNTIF(Asta!$F$4:$F$47,"Noslin")+COUNTIF(Asta!$H$4:$H$47,"Noslin")+COUNTIF(Asta!$J$4:$J$47,"Noslin")+COUNTIF(Asta!$L$4:$L$47,"Noslin")+COUNTIF(Asta!$N$4:$N$47,"Noslin")+COUNTIF(Asta!$P$4:$P$47,"Noslin")+COUNTIF(Asta!$R$4:$R$47,"Noslin")+COUNTIF(Asta!$T$4:$T$47,"Noslin"))&gt;0,REGEXREPLACE("Noslin","(.)","$1"&amp;UNICHAR(822)),"Noslin")</x:f>
        <x:v>Noslin</x:v>
      </x:c>
      <x:c r="C33" s="723" t="str">
        <x:v>A</x:v>
      </x:c>
      <x:c r="D33" s="723" t="str">
        <x:v>Riserva / rotazione</x:v>
      </x:c>
      <x:c r="E33" s="723" t="n">
        <x:v>6</x:v>
      </x:c>
      <x:c r="F33" s="723" t="n">
        <x:v>9</x:v>
      </x:c>
      <x:c r="G33" s="723" t="str">
        <x:v>Scommessa</x:v>
      </x:c>
      <x:c r="H33" s="723" t="str"/>
      <x:c r="I33" s="724" t="str">
        <x:v>Scommessa da ultimi slot, senza sovrapprezzo.</x:v>
      </x:c>
    </x:row>
    <x:row r="35">
      <x:c r="A35" s="630" t="str">
        <x:v>Fonte formazione/ballottaggi/rigoristi: Fantacalcio.it, aggiornamento 09/09/2026 — https://www.fantacalcio.it/news/calcio-italia/06_08_2026/asta-fantacalcio-le-probabili-formazioni-della-serie-a-enilive-2026-27-495558</x:v>
      </x:c>
      <x:c r="B35" s="630"/>
      <x:c r="C35" s="630"/>
      <x:c r="D35" s="630"/>
      <x:c r="E35" s="630"/>
      <x:c r="F35" s="630"/>
      <x:c r="G35" s="630"/>
      <x:c r="H35" s="630"/>
      <x:c r="I35" s="630"/>
    </x:row>
  </x:sheetData>
  <x:mergeCells>
    <x:mergeCell ref="A1:I1"/>
    <x:mergeCell ref="B4:I4"/>
    <x:mergeCell ref="B5:I5"/>
    <x:mergeCell ref="D3:I3"/>
    <x:mergeCell ref="D6:I6"/>
    <x:mergeCell ref="A35:I35"/>
  </x:mergeCells>
  <x:conditionalFormatting sqref="D9:D33">
    <x:cfRule type="expression" dxfId="22" priority="1">
      <x:formula>D9="Titolare"</x:formula>
    </x:cfRule>
    <x:cfRule type="expression" dxfId="23" priority="2">
      <x:formula>ISNUMBER(SEARCH("Ballottaggio",D9))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1" hidden="0" customWidth="1"/>
    <x:col min="3" max="3" width="18" hidden="0" customWidth="1"/>
    <x:col min="4" max="4" width="23" hidden="0" customWidth="1"/>
    <x:col min="5" max="5" width="11" hidden="0" customWidth="1"/>
    <x:col min="6" max="6" width="12" hidden="0" customWidth="1"/>
    <x:col min="7" max="7" width="24" hidden="0" customWidth="1"/>
    <x:col min="8" max="8" width="20" hidden="0" customWidth="1"/>
    <x:col min="9" max="9" width="48" hidden="0" customWidth="1"/>
  </x:cols>
  <x:sheetData>
    <x:row r="1" ht="30" customHeight="1">
      <x:c r="A1" s="642" t="str">
        <x:v>LECCE — GUIDA ASTA 2026/27</x:v>
      </x:c>
      <x:c r="B1" s="643"/>
      <x:c r="C1" s="643"/>
      <x:c r="D1" s="643"/>
      <x:c r="E1" s="643"/>
      <x:c r="F1" s="643"/>
      <x:c r="G1" s="643"/>
      <x:c r="H1" s="643"/>
      <x:c r="I1" s="644"/>
    </x:row>
    <x:row r="3">
      <x:c r="A3" s="663" t="str">
        <x:v>Allenatore</x:v>
      </x:c>
      <x:c r="B3" s="681" t="str">
        <x:v>Eusebio Di Francesco</x:v>
      </x:c>
      <x:c r="C3" s="673" t="str">
        <x:v>Modulo</x:v>
      </x:c>
      <x:c r="D3" s="681" t="str">
        <x:v>4-3-3</x:v>
      </x:c>
      <x:c r="E3" s="681"/>
      <x:c r="F3" s="681"/>
      <x:c r="G3" s="681"/>
      <x:c r="H3" s="681"/>
      <x:c r="I3" s="682"/>
    </x:row>
    <x:row r="4" ht="38" customHeight="1">
      <x:c r="A4" s="664" t="str">
        <x:v>Formazione titolare</x:v>
      </x:c>
      <x:c r="B4" s="683" t="str">
        <x:v>Falcone; Danilo Veiga, Gaspar, Tiago Gabriel, Gallo; Coulibaly, Ilic, Berisha; Pierotti, Geubbels, Monteiro</x:v>
      </x:c>
      <x:c r="C4" s="676" t="str"/>
      <x:c r="D4" s="683" t="str"/>
      <x:c r="E4" s="683"/>
      <x:c r="F4" s="683"/>
      <x:c r="G4" s="683"/>
      <x:c r="H4" s="683"/>
      <x:c r="I4" s="684"/>
    </x:row>
    <x:row r="5" ht="38" customHeight="1">
      <x:c r="A5" s="664" t="str">
        <x:v>Ballottaggi</x:v>
      </x:c>
      <x:c r="B5" s="683" t="str">
        <x:v>Ilic/Ngom; Berisha/Gandelman; Geubbels/Stulic; Monteiro/Fatah</x:v>
      </x:c>
      <x:c r="C5" s="676" t="str"/>
      <x:c r="D5" s="683" t="str"/>
      <x:c r="E5" s="683"/>
      <x:c r="F5" s="683"/>
      <x:c r="G5" s="683"/>
      <x:c r="H5" s="683"/>
      <x:c r="I5" s="684"/>
    </x:row>
    <x:row r="6">
      <x:c r="A6" s="665" t="str">
        <x:v>Rigoristi</x:v>
      </x:c>
      <x:c r="B6" s="685" t="str">
        <x:v>Geubbels, Stulic, Berisha</x:v>
      </x:c>
      <x:c r="C6" s="679" t="str">
        <x:v>Calci piazzati</x:v>
      </x:c>
      <x:c r="D6" s="685" t="str">
        <x:v>Pierotti, Berisha, Gallo</x:v>
      </x:c>
      <x:c r="E6" s="685"/>
      <x:c r="F6" s="685"/>
      <x:c r="G6" s="685"/>
      <x:c r="H6" s="685"/>
      <x:c r="I6" s="686"/>
    </x:row>
    <x:row r="8" ht="30" customHeight="1">
      <x:c r="A8" s="698" t="str">
        <x:v>Ruolo</x:v>
      </x:c>
      <x:c r="B8" s="699" t="str">
        <x:v>Calciatore</x:v>
      </x:c>
      <x:c r="C8" s="699" t="str">
        <x:v>Posizione</x:v>
      </x:c>
      <x:c r="D8" s="699" t="str">
        <x:v>Status</x:v>
      </x:c>
      <x:c r="E8" s="699" t="str">
        <x:v>Quotazione</x:v>
      </x:c>
      <x:c r="F8" s="699" t="str">
        <x:v>FVM su 504</x:v>
      </x:c>
      <x:c r="G8" s="699" t="str">
        <x:v>Fascia asta</x:v>
      </x:c>
      <x:c r="H8" s="699" t="str">
        <x:v>Specialità</x:v>
      </x:c>
      <x:c r="I8" s="700" t="str">
        <x:v>Consiglio Fantacalcio</x:v>
      </x:c>
    </x:row>
    <x:row r="9">
      <x:c r="A9" s="707" t="str">
        <x:v>Portiere</x:v>
      </x:c>
      <x:c r="B9" s="708" t="str">
        <x:f>IF((COUNTIF(Asta!$B$4:$B$47,"Falcone")+COUNTIF(Asta!$D$4:$D$47,"Falcone")+COUNTIF(Asta!$F$4:$F$47,"Falcone")+COUNTIF(Asta!$H$4:$H$47,"Falcone")+COUNTIF(Asta!$J$4:$J$47,"Falcone")+COUNTIF(Asta!$L$4:$L$47,"Falcone")+COUNTIF(Asta!$N$4:$N$47,"Falcone")+COUNTIF(Asta!$P$4:$P$47,"Falcone")+COUNTIF(Asta!$R$4:$R$47,"Falcone")+COUNTIF(Asta!$T$4:$T$47,"Falcone"))&gt;0,REGEXREPLACE("Falcone","(.)","$1"&amp;UNICHAR(822)),"Falcone")</x:f>
        <x:v>Falcone</x:v>
      </x:c>
      <x:c r="C9" s="708" t="str">
        <x:v>Por</x:v>
      </x:c>
      <x:c r="D9" s="708" t="str">
        <x:v>Titolare</x:v>
      </x:c>
      <x:c r="E9" s="708" t="n">
        <x:v>8</x:v>
      </x:c>
      <x:c r="F9" s="708" t="n">
        <x:v>13</x:v>
      </x:c>
      <x:c r="G9" s="708" t="str">
        <x:v>Utile</x:v>
      </x:c>
      <x:c r="H9" s="708" t="str"/>
      <x:c r="I9" s="709" t="str">
        <x:v>Portiere da prendere come titolare di reparto; profilo affidabile per continuità.</x:v>
      </x:c>
    </x:row>
    <x:row r="10">
      <x:c r="A10" s="710" t="str">
        <x:v>Portiere</x:v>
      </x:c>
      <x:c r="B10" s="711" t="str">
        <x:f>IF((COUNTIF(Asta!$B$4:$B$47,"Fruchtl")+COUNTIF(Asta!$D$4:$D$47,"Fruchtl")+COUNTIF(Asta!$F$4:$F$47,"Fruchtl")+COUNTIF(Asta!$H$4:$H$47,"Fruchtl")+COUNTIF(Asta!$J$4:$J$47,"Fruchtl")+COUNTIF(Asta!$L$4:$L$47,"Fruchtl")+COUNTIF(Asta!$N$4:$N$47,"Fruchtl")+COUNTIF(Asta!$P$4:$P$47,"Fruchtl")+COUNTIF(Asta!$R$4:$R$47,"Fruchtl")+COUNTIF(Asta!$T$4:$T$47,"Fruchtl"))&gt;0,REGEXREPLACE("Fruchtl","(.)","$1"&amp;UNICHAR(822)),"Fruchtl")</x:f>
        <x:v>Fruchtl</x:v>
      </x:c>
      <x:c r="C10" s="711" t="str">
        <x:v>Por</x:v>
      </x:c>
      <x:c r="D10" s="711" t="str">
        <x:v>Riserva / rotazione</x:v>
      </x:c>
      <x:c r="E10" s="711" t="n">
        <x:v>1</x:v>
      </x:c>
      <x:c r="F10" s="711" t="n">
        <x:v>1</x:v>
      </x:c>
      <x:c r="G10" s="711" t="str">
        <x:v>Copertura</x:v>
      </x:c>
      <x:c r="H10" s="711" t="str"/>
      <x:c r="I10" s="712" t="str">
        <x:v>Solo come secondo/terzo portiere o copertura del titolare.</x:v>
      </x:c>
    </x:row>
    <x:row r="11">
      <x:c r="A11" s="710" t="str">
        <x:v>Portiere</x:v>
      </x:c>
      <x:c r="B11" s="711" t="str">
        <x:f>IF((COUNTIF(Asta!$B$4:$B$47,"Samooja")+COUNTIF(Asta!$D$4:$D$47,"Samooja")+COUNTIF(Asta!$F$4:$F$47,"Samooja")+COUNTIF(Asta!$H$4:$H$47,"Samooja")+COUNTIF(Asta!$J$4:$J$47,"Samooja")+COUNTIF(Asta!$L$4:$L$47,"Samooja")+COUNTIF(Asta!$N$4:$N$47,"Samooja")+COUNTIF(Asta!$P$4:$P$47,"Samooja")+COUNTIF(Asta!$R$4:$R$47,"Samooja")+COUNTIF(Asta!$T$4:$T$47,"Samooja"))&gt;0,REGEXREPLACE("Samooja","(.)","$1"&amp;UNICHAR(822)),"Samooja")</x:f>
        <x:v>Samooja</x:v>
      </x:c>
      <x:c r="C11" s="711" t="str">
        <x:v>Por</x:v>
      </x:c>
      <x:c r="D11" s="711" t="str">
        <x:v>Riserva / rotazione</x:v>
      </x:c>
      <x:c r="E11" s="711" t="n">
        <x:v>1</x:v>
      </x:c>
      <x:c r="F11" s="711" t="n">
        <x:v>1</x:v>
      </x:c>
      <x:c r="G11" s="711" t="str">
        <x:v>Copertura</x:v>
      </x:c>
      <x:c r="H11" s="711" t="str"/>
      <x:c r="I11" s="712" t="str">
        <x:v>Solo come secondo/terzo portiere o copertura del titolare.</x:v>
      </x:c>
    </x:row>
    <x:row r="12">
      <x:c r="A12" s="713" t="str">
        <x:v>Difensore</x:v>
      </x:c>
      <x:c r="B12" s="714" t="str">
        <x:f>IF((COUNTIF(Asta!$B$4:$B$47,"Tiago Gabriel")+COUNTIF(Asta!$D$4:$D$47,"Tiago Gabriel")+COUNTIF(Asta!$F$4:$F$47,"Tiago Gabriel")+COUNTIF(Asta!$H$4:$H$47,"Tiago Gabriel")+COUNTIF(Asta!$J$4:$J$47,"Tiago Gabriel")+COUNTIF(Asta!$L$4:$L$47,"Tiago Gabriel")+COUNTIF(Asta!$N$4:$N$47,"Tiago Gabriel")+COUNTIF(Asta!$P$4:$P$47,"Tiago Gabriel")+COUNTIF(Asta!$R$4:$R$47,"Tiago Gabriel")+COUNTIF(Asta!$T$4:$T$47,"Tiago Gabriel"))&gt;0,REGEXREPLACE("Tiago Gabriel","(.)","$1"&amp;UNICHAR(822)),"Tiago Gabriel")</x:f>
        <x:v>Tiago Gabriel</x:v>
      </x:c>
      <x:c r="C12" s="714" t="str">
        <x:v>Dc</x:v>
      </x:c>
      <x:c r="D12" s="714" t="str">
        <x:v>Titolare</x:v>
      </x:c>
      <x:c r="E12" s="714" t="n">
        <x:v>7</x:v>
      </x:c>
      <x:c r="F12" s="714" t="n">
        <x:v>9</x:v>
      </x:c>
      <x:c r="G12" s="714" t="str">
        <x:v>Scommessa</x:v>
      </x:c>
      <x:c r="H12" s="714" t="str"/>
      <x:c r="I12" s="715" t="str">
        <x:v>Titolare low cost: utile per completare il reparto.</x:v>
      </x:c>
    </x:row>
    <x:row r="13">
      <x:c r="A13" s="713" t="str">
        <x:v>Difensore</x:v>
      </x:c>
      <x:c r="B13" s="714" t="str">
        <x:f>IF((COUNTIF(Asta!$B$4:$B$47,"Gallo")+COUNTIF(Asta!$D$4:$D$47,"Gallo")+COUNTIF(Asta!$F$4:$F$47,"Gallo")+COUNTIF(Asta!$H$4:$H$47,"Gallo")+COUNTIF(Asta!$J$4:$J$47,"Gallo")+COUNTIF(Asta!$L$4:$L$47,"Gallo")+COUNTIF(Asta!$N$4:$N$47,"Gallo")+COUNTIF(Asta!$P$4:$P$47,"Gallo")+COUNTIF(Asta!$R$4:$R$47,"Gallo")+COUNTIF(Asta!$T$4:$T$47,"Gallo"))&gt;0,REGEXREPLACE("Gallo","(.)","$1"&amp;UNICHAR(822)),"Gallo")</x:f>
        <x:v>Gallo</x:v>
      </x:c>
      <x:c r="C13" s="714" t="str">
        <x:v>Ds;E</x:v>
      </x:c>
      <x:c r="D13" s="714" t="str">
        <x:v>Titolare</x:v>
      </x:c>
      <x:c r="E13" s="714" t="n">
        <x:v>6</x:v>
      </x:c>
      <x:c r="F13" s="714" t="n">
        <x:v>7</x:v>
      </x:c>
      <x:c r="G13" s="714" t="str">
        <x:v>Scommessa</x:v>
      </x:c>
      <x:c r="H13" s="714" t="str">
        <x:v>Piazzati</x:v>
      </x:c>
      <x:c r="I13" s="715" t="str">
        <x:v>Titolare low cost: utile per completare il reparto. Buon plus: può battere calci piazzati.</x:v>
      </x:c>
    </x:row>
    <x:row r="14">
      <x:c r="A14" s="713" t="str">
        <x:v>Difensore</x:v>
      </x:c>
      <x:c r="B14" s="714" t="str">
        <x:f>IF((COUNTIF(Asta!$B$4:$B$47,"Gaspar K.")+COUNTIF(Asta!$D$4:$D$47,"Gaspar K.")+COUNTIF(Asta!$F$4:$F$47,"Gaspar K.")+COUNTIF(Asta!$H$4:$H$47,"Gaspar K.")+COUNTIF(Asta!$J$4:$J$47,"Gaspar K.")+COUNTIF(Asta!$L$4:$L$47,"Gaspar K.")+COUNTIF(Asta!$N$4:$N$47,"Gaspar K.")+COUNTIF(Asta!$P$4:$P$47,"Gaspar K.")+COUNTIF(Asta!$R$4:$R$47,"Gaspar K.")+COUNTIF(Asta!$T$4:$T$47,"Gaspar K."))&gt;0,REGEXREPLACE("Gaspar K.","(.)","$1"&amp;UNICHAR(822)),"Gaspar K.")</x:f>
        <x:v>Gaspar K.</x:v>
      </x:c>
      <x:c r="C14" s="714" t="str">
        <x:v>Dc</x:v>
      </x:c>
      <x:c r="D14" s="714" t="str">
        <x:v>Titolare</x:v>
      </x:c>
      <x:c r="E14" s="714" t="n">
        <x:v>5</x:v>
      </x:c>
      <x:c r="F14" s="714" t="n">
        <x:v>6</x:v>
      </x:c>
      <x:c r="G14" s="714" t="str">
        <x:v>Scommessa</x:v>
      </x:c>
      <x:c r="H14" s="714" t="str"/>
      <x:c r="I14" s="715" t="str">
        <x:v>Titolare low cost: utile per completare il reparto.</x:v>
      </x:c>
    </x:row>
    <x:row r="15">
      <x:c r="A15" s="713" t="str">
        <x:v>Difensore</x:v>
      </x:c>
      <x:c r="B15" s="714" t="str">
        <x:f>IF((COUNTIF(Asta!$B$4:$B$47,"Siebert")+COUNTIF(Asta!$D$4:$D$47,"Siebert")+COUNTIF(Asta!$F$4:$F$47,"Siebert")+COUNTIF(Asta!$H$4:$H$47,"Siebert")+COUNTIF(Asta!$J$4:$J$47,"Siebert")+COUNTIF(Asta!$L$4:$L$47,"Siebert")+COUNTIF(Asta!$N$4:$N$47,"Siebert")+COUNTIF(Asta!$P$4:$P$47,"Siebert")+COUNTIF(Asta!$R$4:$R$47,"Siebert")+COUNTIF(Asta!$T$4:$T$47,"Siebert"))&gt;0,REGEXREPLACE("Siebert","(.)","$1"&amp;UNICHAR(822)),"Siebert")</x:f>
        <x:v>Siebert</x:v>
      </x:c>
      <x:c r="C15" s="714" t="str">
        <x:v>Dc</x:v>
      </x:c>
      <x:c r="D15" s="714" t="str">
        <x:v>Riserva / rotazione</x:v>
      </x:c>
      <x:c r="E15" s="714" t="n">
        <x:v>4</x:v>
      </x:c>
      <x:c r="F15" s="714" t="n">
        <x:v>6</x:v>
      </x:c>
      <x:c r="G15" s="714" t="str">
        <x:v>Scommessa</x:v>
      </x:c>
      <x:c r="H15" s="714" t="str"/>
      <x:c r="I15" s="715" t="str">
        <x:v>Copertura/ultimo slot: da prendere a 1-2 crediti.</x:v>
      </x:c>
    </x:row>
    <x:row r="16">
      <x:c r="A16" s="713" t="str">
        <x:v>Difensore</x:v>
      </x:c>
      <x:c r="B16" s="714" t="str">
        <x:f>IF((COUNTIF(Asta!$B$4:$B$47,"Veiga D.")+COUNTIF(Asta!$D$4:$D$47,"Veiga D.")+COUNTIF(Asta!$F$4:$F$47,"Veiga D.")+COUNTIF(Asta!$H$4:$H$47,"Veiga D.")+COUNTIF(Asta!$J$4:$J$47,"Veiga D.")+COUNTIF(Asta!$L$4:$L$47,"Veiga D.")+COUNTIF(Asta!$N$4:$N$47,"Veiga D.")+COUNTIF(Asta!$P$4:$P$47,"Veiga D.")+COUNTIF(Asta!$R$4:$R$47,"Veiga D.")+COUNTIF(Asta!$T$4:$T$47,"Veiga D."))&gt;0,REGEXREPLACE("Veiga D.","(.)","$1"&amp;UNICHAR(822)),"Veiga D.")</x:f>
        <x:v>Veiga D.</x:v>
      </x:c>
      <x:c r="C16" s="714" t="str">
        <x:v>Dd;E</x:v>
      </x:c>
      <x:c r="D16" s="714" t="str">
        <x:v>Titolare</x:v>
      </x:c>
      <x:c r="E16" s="714" t="n">
        <x:v>5</x:v>
      </x:c>
      <x:c r="F16" s="714" t="n">
        <x:v>6</x:v>
      </x:c>
      <x:c r="G16" s="714" t="str">
        <x:v>Scommessa</x:v>
      </x:c>
      <x:c r="H16" s="714" t="str"/>
      <x:c r="I16" s="715" t="str">
        <x:v>Titolare low cost: utile per completare il reparto.</x:v>
      </x:c>
    </x:row>
    <x:row r="17">
      <x:c r="A17" s="713" t="str">
        <x:v>Difensore</x:v>
      </x:c>
      <x:c r="B17" s="714" t="str">
        <x:f>IF((COUNTIF(Asta!$B$4:$B$47,"Jean")+COUNTIF(Asta!$D$4:$D$47,"Jean")+COUNTIF(Asta!$F$4:$F$47,"Jean")+COUNTIF(Asta!$H$4:$H$47,"Jean")+COUNTIF(Asta!$J$4:$J$47,"Jean")+COUNTIF(Asta!$L$4:$L$47,"Jean")+COUNTIF(Asta!$N$4:$N$47,"Jean")+COUNTIF(Asta!$P$4:$P$47,"Jean")+COUNTIF(Asta!$R$4:$R$47,"Jean")+COUNTIF(Asta!$T$4:$T$47,"Jean"))&gt;0,REGEXREPLACE("Jean","(.)","$1"&amp;UNICHAR(822)),"Jean")</x:f>
        <x:v>Jean</x:v>
      </x:c>
      <x:c r="C17" s="714" t="str">
        <x:v>Dc</x:v>
      </x:c>
      <x:c r="D17" s="714" t="str">
        <x:v>Riserva / rotazione</x:v>
      </x:c>
      <x:c r="E17" s="714" t="n">
        <x:v>2</x:v>
      </x:c>
      <x:c r="F17" s="714" t="n">
        <x:v>2</x:v>
      </x:c>
      <x:c r="G17" s="714" t="str">
        <x:v>Copertura</x:v>
      </x:c>
      <x:c r="H17" s="714" t="str"/>
      <x:c r="I17" s="715" t="str">
        <x:v>Copertura/ultimo slot: da prendere a 1-2 crediti.</x:v>
      </x:c>
    </x:row>
    <x:row r="18">
      <x:c r="A18" s="713" t="str">
        <x:v>Difensore</x:v>
      </x:c>
      <x:c r="B18" s="714" t="str">
        <x:f>IF((COUNTIF(Asta!$B$4:$B$47,"Ndaba")+COUNTIF(Asta!$D$4:$D$47,"Ndaba")+COUNTIF(Asta!$F$4:$F$47,"Ndaba")+COUNTIF(Asta!$H$4:$H$47,"Ndaba")+COUNTIF(Asta!$J$4:$J$47,"Ndaba")+COUNTIF(Asta!$L$4:$L$47,"Ndaba")+COUNTIF(Asta!$N$4:$N$47,"Ndaba")+COUNTIF(Asta!$P$4:$P$47,"Ndaba")+COUNTIF(Asta!$R$4:$R$47,"Ndaba")+COUNTIF(Asta!$T$4:$T$47,"Ndaba"))&gt;0,REGEXREPLACE("Ndaba","(.)","$1"&amp;UNICHAR(822)),"Ndaba")</x:f>
        <x:v>Ndaba</x:v>
      </x:c>
      <x:c r="C18" s="714" t="str">
        <x:v>Ds;E</x:v>
      </x:c>
      <x:c r="D18" s="714" t="str">
        <x:v>Riserva / rotazione</x:v>
      </x:c>
      <x:c r="E18" s="714" t="n">
        <x:v>1</x:v>
      </x:c>
      <x:c r="F18" s="714" t="n">
        <x:v>2</x:v>
      </x:c>
      <x:c r="G18" s="714" t="str">
        <x:v>Copertura</x:v>
      </x:c>
      <x:c r="H18" s="714" t="str"/>
      <x:c r="I18" s="715" t="str">
        <x:v>Copertura/ultimo slot: da prendere a 1-2 crediti.</x:v>
      </x:c>
    </x:row>
    <x:row r="19">
      <x:c r="A19" s="713" t="str">
        <x:v>Difensore</x:v>
      </x:c>
      <x:c r="B19" s="714" t="str">
        <x:f>IF((COUNTIF(Asta!$B$4:$B$47,"Perez M.")+COUNTIF(Asta!$D$4:$D$47,"Perez M.")+COUNTIF(Asta!$F$4:$F$47,"Perez M.")+COUNTIF(Asta!$H$4:$H$47,"Perez M.")+COUNTIF(Asta!$J$4:$J$47,"Perez M.")+COUNTIF(Asta!$L$4:$L$47,"Perez M.")+COUNTIF(Asta!$N$4:$N$47,"Perez M.")+COUNTIF(Asta!$P$4:$P$47,"Perez M.")+COUNTIF(Asta!$R$4:$R$47,"Perez M.")+COUNTIF(Asta!$T$4:$T$47,"Perez M."))&gt;0,REGEXREPLACE("Perez M.","(.)","$1"&amp;UNICHAR(822)),"Perez M.")</x:f>
        <x:v>Perez M.</x:v>
      </x:c>
      <x:c r="C19" s="714" t="str">
        <x:v>Dd;Dc</x:v>
      </x:c>
      <x:c r="D19" s="714" t="str">
        <x:v>Riserva / rotazione</x:v>
      </x:c>
      <x:c r="E19" s="714" t="n">
        <x:v>1</x:v>
      </x:c>
      <x:c r="F19" s="714" t="n">
        <x:v>1</x:v>
      </x:c>
      <x:c r="G19" s="714" t="str">
        <x:v>Copertura</x:v>
      </x:c>
      <x:c r="H19" s="714" t="str"/>
      <x:c r="I19" s="715" t="str">
        <x:v>Copertura/ultimo slot: da prendere a 1-2 crediti.</x:v>
      </x:c>
    </x:row>
    <x:row r="20">
      <x:c r="A20" s="716" t="str">
        <x:v>Centrocampista</x:v>
      </x:c>
      <x:c r="B20" s="717" t="str">
        <x:f>IF((COUNTIF(Asta!$B$4:$B$47,"Pierotti")+COUNTIF(Asta!$D$4:$D$47,"Pierotti")+COUNTIF(Asta!$F$4:$F$47,"Pierotti")+COUNTIF(Asta!$H$4:$H$47,"Pierotti")+COUNTIF(Asta!$J$4:$J$47,"Pierotti")+COUNTIF(Asta!$L$4:$L$47,"Pierotti")+COUNTIF(Asta!$N$4:$N$47,"Pierotti")+COUNTIF(Asta!$P$4:$P$47,"Pierotti")+COUNTIF(Asta!$R$4:$R$47,"Pierotti")+COUNTIF(Asta!$T$4:$T$47,"Pierotti"))&gt;0,REGEXREPLACE("Pierotti","(.)","$1"&amp;UNICHAR(822)),"Pierotti")</x:f>
        <x:v>Pierotti</x:v>
      </x:c>
      <x:c r="C20" s="717" t="str">
        <x:v>W</x:v>
      </x:c>
      <x:c r="D20" s="717" t="str">
        <x:v>Titolare</x:v>
      </x:c>
      <x:c r="E20" s="717" t="n">
        <x:v>6</x:v>
      </x:c>
      <x:c r="F20" s="717" t="n">
        <x:v>10</x:v>
      </x:c>
      <x:c r="G20" s="717" t="str">
        <x:v>Scommessa</x:v>
      </x:c>
      <x:c r="H20" s="717" t="str">
        <x:v>Piazzati</x:v>
      </x:c>
      <x:c r="I20" s="718" t="str">
        <x:v>Titolare low cost: utile per completare il reparto. Buon plus: può battere calci piazzati.</x:v>
      </x:c>
    </x:row>
    <x:row r="21">
      <x:c r="A21" s="716" t="str">
        <x:v>Centrocampista</x:v>
      </x:c>
      <x:c r="B21" s="717" t="str">
        <x:f>IF((COUNTIF(Asta!$B$4:$B$47,"Berisha M.")+COUNTIF(Asta!$D$4:$D$47,"Berisha M.")+COUNTIF(Asta!$F$4:$F$47,"Berisha M.")+COUNTIF(Asta!$H$4:$H$47,"Berisha M.")+COUNTIF(Asta!$J$4:$J$47,"Berisha M.")+COUNTIF(Asta!$L$4:$L$47,"Berisha M.")+COUNTIF(Asta!$N$4:$N$47,"Berisha M.")+COUNTIF(Asta!$P$4:$P$47,"Berisha M.")+COUNTIF(Asta!$R$4:$R$47,"Berisha M.")+COUNTIF(Asta!$T$4:$T$47,"Berisha M."))&gt;0,REGEXREPLACE("Berisha M.","(.)","$1"&amp;UNICHAR(822)),"Berisha M.")</x:f>
        <x:v>Berisha M.</x:v>
      </x:c>
      <x:c r="C21" s="717" t="str">
        <x:v>C;T</x:v>
      </x:c>
      <x:c r="D21" s="717" t="str">
        <x:v>Titolare / ballottaggio</x:v>
      </x:c>
      <x:c r="E21" s="717" t="n">
        <x:v>5</x:v>
      </x:c>
      <x:c r="F21" s="717" t="n">
        <x:v>8</x:v>
      </x:c>
      <x:c r="G21" s="717" t="str">
        <x:v>Scommessa</x:v>
      </x:c>
      <x:c r="H21" s="717" t="str">
        <x:v>Rigorista · Piazzati</x:v>
      </x:c>
      <x:c r="I21" s="718" t="str">
        <x:v>Solo a pochi crediti: minutaggio non garantito. Plus importante: è indicato tra i rigoristi.</x:v>
      </x:c>
    </x:row>
    <x:row r="22">
      <x:c r="A22" s="716" t="str">
        <x:v>Centrocampista</x:v>
      </x:c>
      <x:c r="B22" s="717" t="str">
        <x:f>IF((COUNTIF(Asta!$B$4:$B$47,"Coulibaly L.")+COUNTIF(Asta!$D$4:$D$47,"Coulibaly L.")+COUNTIF(Asta!$F$4:$F$47,"Coulibaly L.")+COUNTIF(Asta!$H$4:$H$47,"Coulibaly L.")+COUNTIF(Asta!$J$4:$J$47,"Coulibaly L.")+COUNTIF(Asta!$L$4:$L$47,"Coulibaly L.")+COUNTIF(Asta!$N$4:$N$47,"Coulibaly L.")+COUNTIF(Asta!$P$4:$P$47,"Coulibaly L.")+COUNTIF(Asta!$R$4:$R$47,"Coulibaly L.")+COUNTIF(Asta!$T$4:$T$47,"Coulibaly L."))&gt;0,REGEXREPLACE("Coulibaly L.","(.)","$1"&amp;UNICHAR(822)),"Coulibaly L.")</x:f>
        <x:v>Coulibaly L.</x:v>
      </x:c>
      <x:c r="C22" s="717" t="str">
        <x:v>M;C</x:v>
      </x:c>
      <x:c r="D22" s="717" t="str">
        <x:v>Titolare</x:v>
      </x:c>
      <x:c r="E22" s="717" t="n">
        <x:v>6</x:v>
      </x:c>
      <x:c r="F22" s="717" t="n">
        <x:v>7</x:v>
      </x:c>
      <x:c r="G22" s="717" t="str">
        <x:v>Scommessa</x:v>
      </x:c>
      <x:c r="H22" s="717" t="str"/>
      <x:c r="I22" s="718" t="str">
        <x:v>Titolare low cost: utile per completare il reparto.</x:v>
      </x:c>
    </x:row>
    <x:row r="23">
      <x:c r="A23" s="716" t="str">
        <x:v>Centrocampista</x:v>
      </x:c>
      <x:c r="B23" s="717" t="str">
        <x:f>IF((COUNTIF(Asta!$B$4:$B$47,"Gandelman")+COUNTIF(Asta!$D$4:$D$47,"Gandelman")+COUNTIF(Asta!$F$4:$F$47,"Gandelman")+COUNTIF(Asta!$H$4:$H$47,"Gandelman")+COUNTIF(Asta!$J$4:$J$47,"Gandelman")+COUNTIF(Asta!$L$4:$L$47,"Gandelman")+COUNTIF(Asta!$N$4:$N$47,"Gandelman")+COUNTIF(Asta!$P$4:$P$47,"Gandelman")+COUNTIF(Asta!$R$4:$R$47,"Gandelman")+COUNTIF(Asta!$T$4:$T$47,"Gandelman"))&gt;0,REGEXREPLACE("Gandelman","(.)","$1"&amp;UNICHAR(822)),"Gandelman")</x:f>
        <x:v>Gandelman</x:v>
      </x:c>
      <x:c r="C23" s="717" t="str">
        <x:v>C;T</x:v>
      </x:c>
      <x:c r="D23" s="717" t="str">
        <x:v>Ballottaggio</x:v>
      </x:c>
      <x:c r="E23" s="717" t="n">
        <x:v>5</x:v>
      </x:c>
      <x:c r="F23" s="717" t="n">
        <x:v>7</x:v>
      </x:c>
      <x:c r="G23" s="717" t="str">
        <x:v>Scommessa</x:v>
      </x:c>
      <x:c r="H23" s="717" t="str"/>
      <x:c r="I23" s="718" t="str">
        <x:v>Solo a pochi crediti: minutaggio non garantito.</x:v>
      </x:c>
    </x:row>
    <x:row r="24">
      <x:c r="A24" s="716" t="str">
        <x:v>Centrocampista</x:v>
      </x:c>
      <x:c r="B24" s="717" t="str">
        <x:f>IF((COUNTIF(Asta!$B$4:$B$47,"Ngom")+COUNTIF(Asta!$D$4:$D$47,"Ngom")+COUNTIF(Asta!$F$4:$F$47,"Ngom")+COUNTIF(Asta!$H$4:$H$47,"Ngom")+COUNTIF(Asta!$J$4:$J$47,"Ngom")+COUNTIF(Asta!$L$4:$L$47,"Ngom")+COUNTIF(Asta!$N$4:$N$47,"Ngom")+COUNTIF(Asta!$P$4:$P$47,"Ngom")+COUNTIF(Asta!$R$4:$R$47,"Ngom")+COUNTIF(Asta!$T$4:$T$47,"Ngom"))&gt;0,REGEXREPLACE("Ngom","(.)","$1"&amp;UNICHAR(822)),"Ngom")</x:f>
        <x:v>Ngom</x:v>
      </x:c>
      <x:c r="C24" s="717" t="str">
        <x:v>M;C</x:v>
      </x:c>
      <x:c r="D24" s="717" t="str">
        <x:v>Ballottaggio</x:v>
      </x:c>
      <x:c r="E24" s="717" t="n">
        <x:v>4</x:v>
      </x:c>
      <x:c r="F24" s="717" t="n">
        <x:v>6</x:v>
      </x:c>
      <x:c r="G24" s="717" t="str">
        <x:v>Scommessa</x:v>
      </x:c>
      <x:c r="H24" s="717" t="str"/>
      <x:c r="I24" s="718" t="str">
        <x:v>Solo a pochi crediti: minutaggio non garantito.</x:v>
      </x:c>
    </x:row>
    <x:row r="25">
      <x:c r="A25" s="716" t="str">
        <x:v>Centrocampista</x:v>
      </x:c>
      <x:c r="B25" s="717" t="str">
        <x:f>IF((COUNTIF(Asta!$B$4:$B$47,"Maleh")+COUNTIF(Asta!$D$4:$D$47,"Maleh")+COUNTIF(Asta!$F$4:$F$47,"Maleh")+COUNTIF(Asta!$H$4:$H$47,"Maleh")+COUNTIF(Asta!$J$4:$J$47,"Maleh")+COUNTIF(Asta!$L$4:$L$47,"Maleh")+COUNTIF(Asta!$N$4:$N$47,"Maleh")+COUNTIF(Asta!$P$4:$P$47,"Maleh")+COUNTIF(Asta!$R$4:$R$47,"Maleh")+COUNTIF(Asta!$T$4:$T$47,"Maleh"))&gt;0,REGEXREPLACE("Maleh","(.)","$1"&amp;UNICHAR(822)),"Maleh")</x:f>
        <x:v>Maleh</x:v>
      </x:c>
      <x:c r="C25" s="717" t="str">
        <x:v>M;C</x:v>
      </x:c>
      <x:c r="D25" s="717" t="str">
        <x:v>Riserva / rotazione</x:v>
      </x:c>
      <x:c r="E25" s="717" t="n">
        <x:v>2</x:v>
      </x:c>
      <x:c r="F25" s="717" t="n">
        <x:v>3</x:v>
      </x:c>
      <x:c r="G25" s="717" t="str">
        <x:v>Copertura</x:v>
      </x:c>
      <x:c r="H25" s="717" t="str"/>
      <x:c r="I25" s="718" t="str">
        <x:v>Copertura/ultimo slot: da prendere a 1-2 crediti.</x:v>
      </x:c>
    </x:row>
    <x:row r="26">
      <x:c r="A26" s="716" t="str">
        <x:v>Centrocampista</x:v>
      </x:c>
      <x:c r="B26" s="717" t="str">
        <x:f>IF((COUNTIF(Asta!$B$4:$B$47,"Gorter")+COUNTIF(Asta!$D$4:$D$47,"Gorter")+COUNTIF(Asta!$F$4:$F$47,"Gorter")+COUNTIF(Asta!$H$4:$H$47,"Gorter")+COUNTIF(Asta!$J$4:$J$47,"Gorter")+COUNTIF(Asta!$L$4:$L$47,"Gorter")+COUNTIF(Asta!$N$4:$N$47,"Gorter")+COUNTIF(Asta!$P$4:$P$47,"Gorter")+COUNTIF(Asta!$R$4:$R$47,"Gorter")+COUNTIF(Asta!$T$4:$T$47,"Gorter"))&gt;0,REGEXREPLACE("Gorter","(.)","$1"&amp;UNICHAR(822)),"Gorter")</x:f>
        <x:v>Gorter</x:v>
      </x:c>
      <x:c r="C26" s="717" t="str">
        <x:v>M;C</x:v>
      </x:c>
      <x:c r="D26" s="717" t="str">
        <x:v>Riserva / rotazione</x:v>
      </x:c>
      <x:c r="E26" s="717" t="n">
        <x:v>1</x:v>
      </x:c>
      <x:c r="F26" s="717" t="n">
        <x:v>2</x:v>
      </x:c>
      <x:c r="G26" s="717" t="str">
        <x:v>Copertura</x:v>
      </x:c>
      <x:c r="H26" s="717" t="str"/>
      <x:c r="I26" s="718" t="str">
        <x:v>Copertura/ultimo slot: da prendere a 1-2 crediti.</x:v>
      </x:c>
    </x:row>
    <x:row r="27">
      <x:c r="A27" s="716" t="str">
        <x:v>Centrocampista</x:v>
      </x:c>
      <x:c r="B27" s="717" t="str">
        <x:f>IF((COUNTIF(Asta!$B$4:$B$47,"Kaba")+COUNTIF(Asta!$D$4:$D$47,"Kaba")+COUNTIF(Asta!$F$4:$F$47,"Kaba")+COUNTIF(Asta!$H$4:$H$47,"Kaba")+COUNTIF(Asta!$J$4:$J$47,"Kaba")+COUNTIF(Asta!$L$4:$L$47,"Kaba")+COUNTIF(Asta!$N$4:$N$47,"Kaba")+COUNTIF(Asta!$P$4:$P$47,"Kaba")+COUNTIF(Asta!$R$4:$R$47,"Kaba")+COUNTIF(Asta!$T$4:$T$47,"Kaba"))&gt;0,REGEXREPLACE("Kaba","(.)","$1"&amp;UNICHAR(822)),"Kaba")</x:f>
        <x:v>Kaba</x:v>
      </x:c>
      <x:c r="C27" s="717" t="str">
        <x:v>M;C</x:v>
      </x:c>
      <x:c r="D27" s="717" t="str">
        <x:v>Riserva / rotazione</x:v>
      </x:c>
      <x:c r="E27" s="717" t="n">
        <x:v>1</x:v>
      </x:c>
      <x:c r="F27" s="717" t="n">
        <x:v>1</x:v>
      </x:c>
      <x:c r="G27" s="717" t="str">
        <x:v>Copertura</x:v>
      </x:c>
      <x:c r="H27" s="717" t="str"/>
      <x:c r="I27" s="718" t="str">
        <x:v>Copertura/ultimo slot: da prendere a 1-2 crediti.</x:v>
      </x:c>
    </x:row>
    <x:row r="28">
      <x:c r="A28" s="716" t="str">
        <x:v>Centrocampista</x:v>
      </x:c>
      <x:c r="B28" s="717" t="str">
        <x:f>IF((COUNTIF(Asta!$B$4:$B$47,"Fofana Sa.")+COUNTIF(Asta!$D$4:$D$47,"Fofana Sa.")+COUNTIF(Asta!$F$4:$F$47,"Fofana Sa.")+COUNTIF(Asta!$H$4:$H$47,"Fofana Sa.")+COUNTIF(Asta!$J$4:$J$47,"Fofana Sa.")+COUNTIF(Asta!$L$4:$L$47,"Fofana Sa.")+COUNTIF(Asta!$N$4:$N$47,"Fofana Sa.")+COUNTIF(Asta!$P$4:$P$47,"Fofana Sa.")+COUNTIF(Asta!$R$4:$R$47,"Fofana Sa.")+COUNTIF(Asta!$T$4:$T$47,"Fofana Sa."))&gt;0,REGEXREPLACE("Fofana Sa.","(.)","$1"&amp;UNICHAR(822)),"Fofana Sa.")</x:f>
        <x:v>Fofana Sa.</x:v>
      </x:c>
      <x:c r="C28" s="717" t="str">
        <x:v>M;C</x:v>
      </x:c>
      <x:c r="D28" s="717" t="str">
        <x:v>Riserva / rotazione</x:v>
      </x:c>
      <x:c r="E28" s="717" t="n">
        <x:v>1</x:v>
      </x:c>
      <x:c r="F28" s="717" t="n">
        <x:v>1</x:v>
      </x:c>
      <x:c r="G28" s="717" t="str">
        <x:v>Copertura</x:v>
      </x:c>
      <x:c r="H28" s="717" t="str"/>
      <x:c r="I28" s="718" t="str">
        <x:v>Copertura/ultimo slot: da prendere a 1-2 crediti.</x:v>
      </x:c>
    </x:row>
    <x:row r="29">
      <x:c r="A29" s="719" t="str">
        <x:v>Attaccante</x:v>
      </x:c>
      <x:c r="B29" s="720" t="str">
        <x:f>IF((COUNTIF(Asta!$B$4:$B$47,"Geubbels")+COUNTIF(Asta!$D$4:$D$47,"Geubbels")+COUNTIF(Asta!$F$4:$F$47,"Geubbels")+COUNTIF(Asta!$H$4:$H$47,"Geubbels")+COUNTIF(Asta!$J$4:$J$47,"Geubbels")+COUNTIF(Asta!$L$4:$L$47,"Geubbels")+COUNTIF(Asta!$N$4:$N$47,"Geubbels")+COUNTIF(Asta!$P$4:$P$47,"Geubbels")+COUNTIF(Asta!$R$4:$R$47,"Geubbels")+COUNTIF(Asta!$T$4:$T$47,"Geubbels"))&gt;0,REGEXREPLACE("Geubbels","(.)","$1"&amp;UNICHAR(822)),"Geubbels")</x:f>
        <x:v>Geubbels</x:v>
      </x:c>
      <x:c r="C29" s="720" t="str">
        <x:v>Pc</x:v>
      </x:c>
      <x:c r="D29" s="720" t="str">
        <x:v>Titolare / ballottaggio</x:v>
      </x:c>
      <x:c r="E29" s="720" t="n">
        <x:v>9</x:v>
      </x:c>
      <x:c r="F29" s="720" t="n">
        <x:v>13</x:v>
      </x:c>
      <x:c r="G29" s="720" t="str">
        <x:v>Utile</x:v>
      </x:c>
      <x:c r="H29" s="720" t="str">
        <x:v>Rigorista</x:v>
      </x:c>
      <x:c r="I29" s="721" t="str">
        <x:v>Scommessa con upside: prendilo a prezzo controllato. Plus importante: è indicato tra i rigoristi.</x:v>
      </x:c>
    </x:row>
    <x:row r="30">
      <x:c r="A30" s="719" t="str">
        <x:v>Attaccante</x:v>
      </x:c>
      <x:c r="B30" s="720" t="str">
        <x:f>IF((COUNTIF(Asta!$B$4:$B$47,"Stulic")+COUNTIF(Asta!$D$4:$D$47,"Stulic")+COUNTIF(Asta!$F$4:$F$47,"Stulic")+COUNTIF(Asta!$H$4:$H$47,"Stulic")+COUNTIF(Asta!$J$4:$J$47,"Stulic")+COUNTIF(Asta!$L$4:$L$47,"Stulic")+COUNTIF(Asta!$N$4:$N$47,"Stulic")+COUNTIF(Asta!$P$4:$P$47,"Stulic")+COUNTIF(Asta!$R$4:$R$47,"Stulic")+COUNTIF(Asta!$T$4:$T$47,"Stulic"))&gt;0,REGEXREPLACE("Stulic","(.)","$1"&amp;UNICHAR(822)),"Stulic")</x:f>
        <x:v>Stulic</x:v>
      </x:c>
      <x:c r="C30" s="720" t="str">
        <x:v>Pc</x:v>
      </x:c>
      <x:c r="D30" s="720" t="str">
        <x:v>Ballottaggio</x:v>
      </x:c>
      <x:c r="E30" s="720" t="n">
        <x:v>7</x:v>
      </x:c>
      <x:c r="F30" s="720" t="n">
        <x:v>9</x:v>
      </x:c>
      <x:c r="G30" s="720" t="str">
        <x:v>Scommessa</x:v>
      </x:c>
      <x:c r="H30" s="720" t="str">
        <x:v>Rigorista</x:v>
      </x:c>
      <x:c r="I30" s="721" t="str">
        <x:v>Solo a pochi crediti: minutaggio non garantito. Plus importante: è indicato tra i rigoristi.</x:v>
      </x:c>
    </x:row>
    <x:row r="31">
      <x:c r="A31" s="722" t="str">
        <x:v>Attaccante</x:v>
      </x:c>
      <x:c r="B31" s="723" t="str">
        <x:f>IF((COUNTIF(Asta!$B$4:$B$47,"N'Dri")+COUNTIF(Asta!$D$4:$D$47,"N'Dri")+COUNTIF(Asta!$F$4:$F$47,"N'Dri")+COUNTIF(Asta!$H$4:$H$47,"N'Dri")+COUNTIF(Asta!$J$4:$J$47,"N'Dri")+COUNTIF(Asta!$L$4:$L$47,"N'Dri")+COUNTIF(Asta!$N$4:$N$47,"N'Dri")+COUNTIF(Asta!$P$4:$P$47,"N'Dri")+COUNTIF(Asta!$R$4:$R$47,"N'Dri")+COUNTIF(Asta!$T$4:$T$47,"N'Dri"))&gt;0,REGEXREPLACE("N'Dri","(.)","$1"&amp;UNICHAR(822)),"N'Dri")</x:f>
        <x:v>N'Dri</x:v>
      </x:c>
      <x:c r="C31" s="723" t="str">
        <x:v>W;A</x:v>
      </x:c>
      <x:c r="D31" s="723" t="str">
        <x:v>Riserva / rotazione</x:v>
      </x:c>
      <x:c r="E31" s="723" t="n">
        <x:v>3</x:v>
      </x:c>
      <x:c r="F31" s="723" t="n">
        <x:v>5</x:v>
      </x:c>
      <x:c r="G31" s="723" t="str">
        <x:v>Scommessa</x:v>
      </x:c>
      <x:c r="H31" s="723" t="str"/>
      <x:c r="I31" s="724" t="str">
        <x:v>Copertura/ultimo slot: da prendere a 1-2 crediti.</x:v>
      </x:c>
    </x:row>
    <x:row r="33">
      <x:c r="A33" s="630" t="str">
        <x:v>Fonte formazione/ballottaggi/rigoristi: Fantacalcio.it, aggiornamento 09/09/2026 — https://www.fantacalcio.it/news/calcio-italia/06_08_2026/asta-fantacalcio-le-probabili-formazioni-della-serie-a-enilive-2026-27-495558</x:v>
      </x:c>
      <x:c r="B33" s="630"/>
      <x:c r="C33" s="630"/>
      <x:c r="D33" s="630"/>
      <x:c r="E33" s="630"/>
      <x:c r="F33" s="630"/>
      <x:c r="G33" s="630"/>
      <x:c r="H33" s="630"/>
      <x:c r="I33" s="630"/>
    </x:row>
  </x:sheetData>
  <x:mergeCells>
    <x:mergeCell ref="A1:I1"/>
    <x:mergeCell ref="B4:I4"/>
    <x:mergeCell ref="B5:I5"/>
    <x:mergeCell ref="D3:I3"/>
    <x:mergeCell ref="D6:I6"/>
    <x:mergeCell ref="A33:I33"/>
  </x:mergeCells>
  <x:conditionalFormatting sqref="D9:D31">
    <x:cfRule type="expression" dxfId="24" priority="1">
      <x:formula>D9="Titolare"</x:formula>
    </x:cfRule>
    <x:cfRule type="expression" dxfId="25" priority="2">
      <x:formula>ISNUMBER(SEARCH("Ballottaggio",D9))</x:formula>
    </x:cfRule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1" hidden="0" customWidth="1"/>
    <x:col min="3" max="3" width="18" hidden="0" customWidth="1"/>
    <x:col min="4" max="4" width="23" hidden="0" customWidth="1"/>
    <x:col min="5" max="5" width="11" hidden="0" customWidth="1"/>
    <x:col min="6" max="6" width="12" hidden="0" customWidth="1"/>
    <x:col min="7" max="7" width="24" hidden="0" customWidth="1"/>
    <x:col min="8" max="8" width="20" hidden="0" customWidth="1"/>
    <x:col min="9" max="9" width="48" hidden="0" customWidth="1"/>
  </x:cols>
  <x:sheetData>
    <x:row r="1" ht="30" customHeight="1">
      <x:c r="A1" s="642" t="str">
        <x:v>MILAN — GUIDA ASTA 2026/27</x:v>
      </x:c>
      <x:c r="B1" s="643"/>
      <x:c r="C1" s="643"/>
      <x:c r="D1" s="643"/>
      <x:c r="E1" s="643"/>
      <x:c r="F1" s="643"/>
      <x:c r="G1" s="643"/>
      <x:c r="H1" s="643"/>
      <x:c r="I1" s="644"/>
    </x:row>
    <x:row r="3">
      <x:c r="A3" s="663" t="str">
        <x:v>Allenatore</x:v>
      </x:c>
      <x:c r="B3" s="681" t="str">
        <x:v>Ruben Amorim</x:v>
      </x:c>
      <x:c r="C3" s="673" t="str">
        <x:v>Modulo</x:v>
      </x:c>
      <x:c r="D3" s="681" t="str">
        <x:v>3-4-2-1</x:v>
      </x:c>
      <x:c r="E3" s="681"/>
      <x:c r="F3" s="681"/>
      <x:c r="G3" s="681"/>
      <x:c r="H3" s="681"/>
      <x:c r="I3" s="682"/>
    </x:row>
    <x:row r="4" ht="38" customHeight="1">
      <x:c r="A4" s="664" t="str">
        <x:v>Formazione titolare</x:v>
      </x:c>
      <x:c r="B4" s="683" t="str">
        <x:v>Maignan; Gila, Gabbia, Pavlovic; Moreira, Modric, Musah, Bartesaghi; Rabiot, Pulisic; Ramos</x:v>
      </x:c>
      <x:c r="C4" s="676" t="str"/>
      <x:c r="D4" s="683" t="str"/>
      <x:c r="E4" s="683"/>
      <x:c r="F4" s="683"/>
      <x:c r="G4" s="683"/>
      <x:c r="H4" s="683"/>
      <x:c r="I4" s="684"/>
    </x:row>
    <x:row r="5" ht="38" customHeight="1">
      <x:c r="A5" s="664" t="str">
        <x:v>Ballottaggi</x:v>
      </x:c>
      <x:c r="B5" s="683" t="str">
        <x:v>Gabbia/De Winter; Bartesaghi/Chukwueze; Musah/Loftus-Cheek; Pulisic/Saelemaekers; Pulisic/Cisse</x:v>
      </x:c>
      <x:c r="C5" s="676" t="str"/>
      <x:c r="D5" s="683" t="str"/>
      <x:c r="E5" s="683"/>
      <x:c r="F5" s="683"/>
      <x:c r="G5" s="683"/>
      <x:c r="H5" s="683"/>
      <x:c r="I5" s="684"/>
    </x:row>
    <x:row r="6">
      <x:c r="A6" s="665" t="str">
        <x:v>Rigoristi</x:v>
      </x:c>
      <x:c r="B6" s="685" t="str">
        <x:v>Ramos, Pulisic, Modric</x:v>
      </x:c>
      <x:c r="C6" s="679" t="str">
        <x:v>Calci piazzati</x:v>
      </x:c>
      <x:c r="D6" s="685" t="str">
        <x:v>Modric, Pulisic, Saelemaekers</x:v>
      </x:c>
      <x:c r="E6" s="685"/>
      <x:c r="F6" s="685"/>
      <x:c r="G6" s="685"/>
      <x:c r="H6" s="685"/>
      <x:c r="I6" s="686"/>
    </x:row>
    <x:row r="8" ht="30" customHeight="1">
      <x:c r="A8" s="698" t="str">
        <x:v>Ruolo</x:v>
      </x:c>
      <x:c r="B8" s="699" t="str">
        <x:v>Calciatore</x:v>
      </x:c>
      <x:c r="C8" s="699" t="str">
        <x:v>Posizione</x:v>
      </x:c>
      <x:c r="D8" s="699" t="str">
        <x:v>Status</x:v>
      </x:c>
      <x:c r="E8" s="699" t="str">
        <x:v>Quotazione</x:v>
      </x:c>
      <x:c r="F8" s="699" t="str">
        <x:v>FVM su 504</x:v>
      </x:c>
      <x:c r="G8" s="699" t="str">
        <x:v>Fascia asta</x:v>
      </x:c>
      <x:c r="H8" s="699" t="str">
        <x:v>Specialità</x:v>
      </x:c>
      <x:c r="I8" s="700" t="str">
        <x:v>Consiglio Fantacalcio</x:v>
      </x:c>
    </x:row>
    <x:row r="9">
      <x:c r="A9" s="707" t="str">
        <x:v>Portiere</x:v>
      </x:c>
      <x:c r="B9" s="708" t="str">
        <x:f>IF((COUNTIF(Asta!$B$4:$B$47,"Maignan")+COUNTIF(Asta!$D$4:$D$47,"Maignan")+COUNTIF(Asta!$F$4:$F$47,"Maignan")+COUNTIF(Asta!$H$4:$H$47,"Maignan")+COUNTIF(Asta!$J$4:$J$47,"Maignan")+COUNTIF(Asta!$L$4:$L$47,"Maignan")+COUNTIF(Asta!$N$4:$N$47,"Maignan")+COUNTIF(Asta!$P$4:$P$47,"Maignan")+COUNTIF(Asta!$R$4:$R$47,"Maignan")+COUNTIF(Asta!$T$4:$T$47,"Maignan"))&gt;0,REGEXREPLACE("Maignan","(.)","$1"&amp;UNICHAR(822)),"Maignan")</x:f>
        <x:v>Maignan</x:v>
      </x:c>
      <x:c r="C9" s="708" t="str">
        <x:v>Por</x:v>
      </x:c>
      <x:c r="D9" s="708" t="str">
        <x:v>Titolare</x:v>
      </x:c>
      <x:c r="E9" s="708" t="n">
        <x:v>15</x:v>
      </x:c>
      <x:c r="F9" s="708" t="n">
        <x:v>25</x:v>
      </x:c>
      <x:c r="G9" s="708" t="str">
        <x:v>Buon titolare</x:v>
      </x:c>
      <x:c r="H9" s="708" t="str"/>
      <x:c r="I9" s="709" t="str">
        <x:v>Portiere da prendere come titolare di reparto; profilo affidabile per continuità.</x:v>
      </x:c>
    </x:row>
    <x:row r="10">
      <x:c r="A10" s="710" t="str">
        <x:v>Portiere</x:v>
      </x:c>
      <x:c r="B10" s="711" t="str">
        <x:f>IF((COUNTIF(Asta!$B$4:$B$47,"Terracciano")+COUNTIF(Asta!$D$4:$D$47,"Terracciano")+COUNTIF(Asta!$F$4:$F$47,"Terracciano")+COUNTIF(Asta!$H$4:$H$47,"Terracciano")+COUNTIF(Asta!$J$4:$J$47,"Terracciano")+COUNTIF(Asta!$L$4:$L$47,"Terracciano")+COUNTIF(Asta!$N$4:$N$47,"Terracciano")+COUNTIF(Asta!$P$4:$P$47,"Terracciano")+COUNTIF(Asta!$R$4:$R$47,"Terracciano")+COUNTIF(Asta!$T$4:$T$47,"Terracciano"))&gt;0,REGEXREPLACE("Terracciano","(.)","$1"&amp;UNICHAR(822)),"Terracciano")</x:f>
        <x:v>Terracciano</x:v>
      </x:c>
      <x:c r="C10" s="711" t="str">
        <x:v>Por</x:v>
      </x:c>
      <x:c r="D10" s="711" t="str">
        <x:v>Riserva / rotazione</x:v>
      </x:c>
      <x:c r="E10" s="711" t="n">
        <x:v>1</x:v>
      </x:c>
      <x:c r="F10" s="711" t="n">
        <x:v>1</x:v>
      </x:c>
      <x:c r="G10" s="711" t="str">
        <x:v>Copertura</x:v>
      </x:c>
      <x:c r="H10" s="711" t="str"/>
      <x:c r="I10" s="712" t="str">
        <x:v>Solo come secondo/terzo portiere o copertura del titolare.</x:v>
      </x:c>
    </x:row>
    <x:row r="11">
      <x:c r="A11" s="710" t="str">
        <x:v>Portiere</x:v>
      </x:c>
      <x:c r="B11" s="711" t="str">
        <x:f>IF((COUNTIF(Asta!$B$4:$B$47,"Torriani")+COUNTIF(Asta!$D$4:$D$47,"Torriani")+COUNTIF(Asta!$F$4:$F$47,"Torriani")+COUNTIF(Asta!$H$4:$H$47,"Torriani")+COUNTIF(Asta!$J$4:$J$47,"Torriani")+COUNTIF(Asta!$L$4:$L$47,"Torriani")+COUNTIF(Asta!$N$4:$N$47,"Torriani")+COUNTIF(Asta!$P$4:$P$47,"Torriani")+COUNTIF(Asta!$R$4:$R$47,"Torriani")+COUNTIF(Asta!$T$4:$T$47,"Torriani"))&gt;0,REGEXREPLACE("Torriani","(.)","$1"&amp;UNICHAR(822)),"Torriani")</x:f>
        <x:v>Torriani</x:v>
      </x:c>
      <x:c r="C11" s="711" t="str">
        <x:v>Por</x:v>
      </x:c>
      <x:c r="D11" s="711" t="str">
        <x:v>Riserva / rotazione</x:v>
      </x:c>
      <x:c r="E11" s="711" t="n">
        <x:v>1</x:v>
      </x:c>
      <x:c r="F11" s="711" t="n">
        <x:v>1</x:v>
      </x:c>
      <x:c r="G11" s="711" t="str">
        <x:v>Copertura</x:v>
      </x:c>
      <x:c r="H11" s="711" t="str"/>
      <x:c r="I11" s="712" t="str">
        <x:v>Solo come secondo/terzo portiere o copertura del titolare.</x:v>
      </x:c>
    </x:row>
    <x:row r="12">
      <x:c r="A12" s="713" t="str">
        <x:v>Difensore</x:v>
      </x:c>
      <x:c r="B12" s="714" t="str">
        <x:f>IF((COUNTIF(Asta!$B$4:$B$47,"Pavlovic")+COUNTIF(Asta!$D$4:$D$47,"Pavlovic")+COUNTIF(Asta!$F$4:$F$47,"Pavlovic")+COUNTIF(Asta!$H$4:$H$47,"Pavlovic")+COUNTIF(Asta!$J$4:$J$47,"Pavlovic")+COUNTIF(Asta!$L$4:$L$47,"Pavlovic")+COUNTIF(Asta!$N$4:$N$47,"Pavlovic")+COUNTIF(Asta!$P$4:$P$47,"Pavlovic")+COUNTIF(Asta!$R$4:$R$47,"Pavlovic")+COUNTIF(Asta!$T$4:$T$47,"Pavlovic"))&gt;0,REGEXREPLACE("Pavlovic","(.)","$1"&amp;UNICHAR(822)),"Pavlovic")</x:f>
        <x:v>Pavlovic</x:v>
      </x:c>
      <x:c r="C12" s="714" t="str">
        <x:v>Dc</x:v>
      </x:c>
      <x:c r="D12" s="714" t="str">
        <x:v>Titolare</x:v>
      </x:c>
      <x:c r="E12" s="714" t="n">
        <x:v>14</x:v>
      </x:c>
      <x:c r="F12" s="714" t="n">
        <x:v>24</x:v>
      </x:c>
      <x:c r="G12" s="714" t="str">
        <x:v>Buon titolare</x:v>
      </x:c>
      <x:c r="H12" s="714" t="str"/>
      <x:c r="I12" s="715" t="str">
        <x:v>Buon titolare di rosa, da prendere senza inseguire troppo il prezzo.</x:v>
      </x:c>
    </x:row>
    <x:row r="13">
      <x:c r="A13" s="713" t="str">
        <x:v>Difensore</x:v>
      </x:c>
      <x:c r="B13" s="714" t="str">
        <x:f>IF((COUNTIF(Asta!$B$4:$B$47,"Gila")+COUNTIF(Asta!$D$4:$D$47,"Gila")+COUNTIF(Asta!$F$4:$F$47,"Gila")+COUNTIF(Asta!$H$4:$H$47,"Gila")+COUNTIF(Asta!$J$4:$J$47,"Gila")+COUNTIF(Asta!$L$4:$L$47,"Gila")+COUNTIF(Asta!$N$4:$N$47,"Gila")+COUNTIF(Asta!$P$4:$P$47,"Gila")+COUNTIF(Asta!$R$4:$R$47,"Gila")+COUNTIF(Asta!$T$4:$T$47,"Gila"))&gt;0,REGEXREPLACE("Gila","(.)","$1"&amp;UNICHAR(822)),"Gila")</x:f>
        <x:v>Gila</x:v>
      </x:c>
      <x:c r="C13" s="714" t="str">
        <x:v>Dc</x:v>
      </x:c>
      <x:c r="D13" s="714" t="str">
        <x:v>Titolare</x:v>
      </x:c>
      <x:c r="E13" s="714" t="n">
        <x:v>12</x:v>
      </x:c>
      <x:c r="F13" s="714" t="n">
        <x:v>16</x:v>
      </x:c>
      <x:c r="G13" s="714" t="str">
        <x:v>Utile</x:v>
      </x:c>
      <x:c r="H13" s="714" t="str"/>
      <x:c r="I13" s="715" t="str">
        <x:v>Profilo utile per minutaggio e rotazioni; buon rapporto costo/titolarità.</x:v>
      </x:c>
    </x:row>
    <x:row r="14">
      <x:c r="A14" s="713" t="str">
        <x:v>Difensore</x:v>
      </x:c>
      <x:c r="B14" s="714" t="str">
        <x:f>IF((COUNTIF(Asta!$B$4:$B$47,"Bartesaghi")+COUNTIF(Asta!$D$4:$D$47,"Bartesaghi")+COUNTIF(Asta!$F$4:$F$47,"Bartesaghi")+COUNTIF(Asta!$H$4:$H$47,"Bartesaghi")+COUNTIF(Asta!$J$4:$J$47,"Bartesaghi")+COUNTIF(Asta!$L$4:$L$47,"Bartesaghi")+COUNTIF(Asta!$N$4:$N$47,"Bartesaghi")+COUNTIF(Asta!$P$4:$P$47,"Bartesaghi")+COUNTIF(Asta!$R$4:$R$47,"Bartesaghi")+COUNTIF(Asta!$T$4:$T$47,"Bartesaghi"))&gt;0,REGEXREPLACE("Bartesaghi","(.)","$1"&amp;UNICHAR(822)),"Bartesaghi")</x:f>
        <x:v>Bartesaghi</x:v>
      </x:c>
      <x:c r="C14" s="714" t="str">
        <x:v>Ds;E</x:v>
      </x:c>
      <x:c r="D14" s="714" t="str">
        <x:v>Titolare / ballottaggio</x:v>
      </x:c>
      <x:c r="E14" s="714" t="n">
        <x:v>8</x:v>
      </x:c>
      <x:c r="F14" s="714" t="n">
        <x:v>13</x:v>
      </x:c>
      <x:c r="G14" s="714" t="str">
        <x:v>Utile</x:v>
      </x:c>
      <x:c r="H14" s="714" t="str"/>
      <x:c r="I14" s="715" t="str">
        <x:v>Scommessa con upside: prendilo a prezzo controllato.</x:v>
      </x:c>
    </x:row>
    <x:row r="15">
      <x:c r="A15" s="713" t="str">
        <x:v>Difensore</x:v>
      </x:c>
      <x:c r="B15" s="714" t="str">
        <x:f>IF((COUNTIF(Asta!$B$4:$B$47,"Gabbia")+COUNTIF(Asta!$D$4:$D$47,"Gabbia")+COUNTIF(Asta!$F$4:$F$47,"Gabbia")+COUNTIF(Asta!$H$4:$H$47,"Gabbia")+COUNTIF(Asta!$J$4:$J$47,"Gabbia")+COUNTIF(Asta!$L$4:$L$47,"Gabbia")+COUNTIF(Asta!$N$4:$N$47,"Gabbia")+COUNTIF(Asta!$P$4:$P$47,"Gabbia")+COUNTIF(Asta!$R$4:$R$47,"Gabbia")+COUNTIF(Asta!$T$4:$T$47,"Gabbia"))&gt;0,REGEXREPLACE("Gabbia","(.)","$1"&amp;UNICHAR(822)),"Gabbia")</x:f>
        <x:v>Gabbia</x:v>
      </x:c>
      <x:c r="C15" s="714" t="str">
        <x:v>Dc</x:v>
      </x:c>
      <x:c r="D15" s="714" t="str">
        <x:v>Titolare / ballottaggio</x:v>
      </x:c>
      <x:c r="E15" s="714" t="n">
        <x:v>7</x:v>
      </x:c>
      <x:c r="F15" s="714" t="n">
        <x:v>12</x:v>
      </x:c>
      <x:c r="G15" s="714" t="str">
        <x:v>Utile</x:v>
      </x:c>
      <x:c r="H15" s="714" t="str"/>
      <x:c r="I15" s="715" t="str">
        <x:v>Scommessa con upside: prendilo a prezzo controllato.</x:v>
      </x:c>
    </x:row>
    <x:row r="16">
      <x:c r="A16" s="713" t="str">
        <x:v>Difensore</x:v>
      </x:c>
      <x:c r="B16" s="714" t="str">
        <x:f>IF((COUNTIF(Asta!$B$4:$B$47,"Tomori")+COUNTIF(Asta!$D$4:$D$47,"Tomori")+COUNTIF(Asta!$F$4:$F$47,"Tomori")+COUNTIF(Asta!$H$4:$H$47,"Tomori")+COUNTIF(Asta!$J$4:$J$47,"Tomori")+COUNTIF(Asta!$L$4:$L$47,"Tomori")+COUNTIF(Asta!$N$4:$N$47,"Tomori")+COUNTIF(Asta!$P$4:$P$47,"Tomori")+COUNTIF(Asta!$R$4:$R$47,"Tomori")+COUNTIF(Asta!$T$4:$T$47,"Tomori"))&gt;0,REGEXREPLACE("Tomori","(.)","$1"&amp;UNICHAR(822)),"Tomori")</x:f>
        <x:v>Tomori</x:v>
      </x:c>
      <x:c r="C16" s="714" t="str">
        <x:v>Dc</x:v>
      </x:c>
      <x:c r="D16" s="714" t="str">
        <x:v>Riserva / rotazione</x:v>
      </x:c>
      <x:c r="E16" s="714" t="n">
        <x:v>7</x:v>
      </x:c>
      <x:c r="F16" s="714" t="n">
        <x:v>10</x:v>
      </x:c>
      <x:c r="G16" s="714" t="str">
        <x:v>Utile</x:v>
      </x:c>
      <x:c r="H16" s="714" t="str"/>
      <x:c r="I16" s="715" t="str">
        <x:v>Scommessa da ultimi slot, senza sovrapprezzo.</x:v>
      </x:c>
    </x:row>
    <x:row r="17">
      <x:c r="A17" s="713" t="str">
        <x:v>Difensore</x:v>
      </x:c>
      <x:c r="B17" s="714" t="str">
        <x:f>IF((COUNTIF(Asta!$B$4:$B$47,"De Winter")+COUNTIF(Asta!$D$4:$D$47,"De Winter")+COUNTIF(Asta!$F$4:$F$47,"De Winter")+COUNTIF(Asta!$H$4:$H$47,"De Winter")+COUNTIF(Asta!$J$4:$J$47,"De Winter")+COUNTIF(Asta!$L$4:$L$47,"De Winter")+COUNTIF(Asta!$N$4:$N$47,"De Winter")+COUNTIF(Asta!$P$4:$P$47,"De Winter")+COUNTIF(Asta!$R$4:$R$47,"De Winter")+COUNTIF(Asta!$T$4:$T$47,"De Winter"))&gt;0,REGEXREPLACE("De Winter","(.)","$1"&amp;UNICHAR(822)),"De Winter")</x:f>
        <x:v>De Winter</x:v>
      </x:c>
      <x:c r="C17" s="714" t="str">
        <x:v>Dd;Dc</x:v>
      </x:c>
      <x:c r="D17" s="714" t="str">
        <x:v>Ballottaggio</x:v>
      </x:c>
      <x:c r="E17" s="714" t="n">
        <x:v>3</x:v>
      </x:c>
      <x:c r="F17" s="714" t="n">
        <x:v>6</x:v>
      </x:c>
      <x:c r="G17" s="714" t="str">
        <x:v>Scommessa</x:v>
      </x:c>
      <x:c r="H17" s="714" t="str"/>
      <x:c r="I17" s="715" t="str">
        <x:v>Solo a pochi crediti: minutaggio non garantito.</x:v>
      </x:c>
    </x:row>
    <x:row r="18">
      <x:c r="A18" s="713" t="str">
        <x:v>Difensore</x:v>
      </x:c>
      <x:c r="B18" s="714" t="str">
        <x:f>IF((COUNTIF(Asta!$B$4:$B$47,"Estupinan")+COUNTIF(Asta!$D$4:$D$47,"Estupinan")+COUNTIF(Asta!$F$4:$F$47,"Estupinan")+COUNTIF(Asta!$H$4:$H$47,"Estupinan")+COUNTIF(Asta!$J$4:$J$47,"Estupinan")+COUNTIF(Asta!$L$4:$L$47,"Estupinan")+COUNTIF(Asta!$N$4:$N$47,"Estupinan")+COUNTIF(Asta!$P$4:$P$47,"Estupinan")+COUNTIF(Asta!$R$4:$R$47,"Estupinan")+COUNTIF(Asta!$T$4:$T$47,"Estupinan"))&gt;0,REGEXREPLACE("Estupinan","(.)","$1"&amp;UNICHAR(822)),"Estupinan")</x:f>
        <x:v>Estupinan</x:v>
      </x:c>
      <x:c r="C18" s="714" t="str">
        <x:v>Ds;E</x:v>
      </x:c>
      <x:c r="D18" s="714" t="str">
        <x:v>Riserva / rotazione</x:v>
      </x:c>
      <x:c r="E18" s="714" t="n">
        <x:v>3</x:v>
      </x:c>
      <x:c r="F18" s="714" t="n">
        <x:v>5</x:v>
      </x:c>
      <x:c r="G18" s="714" t="str">
        <x:v>Scommessa</x:v>
      </x:c>
      <x:c r="H18" s="714" t="str"/>
      <x:c r="I18" s="715" t="str">
        <x:v>Copertura/ultimo slot: da prendere a 1-2 crediti.</x:v>
      </x:c>
    </x:row>
    <x:row r="19">
      <x:c r="A19" s="713" t="str">
        <x:v>Difensore</x:v>
      </x:c>
      <x:c r="B19" s="714" t="str">
        <x:f>IF((COUNTIF(Asta!$B$4:$B$47,"Athekame")+COUNTIF(Asta!$D$4:$D$47,"Athekame")+COUNTIF(Asta!$F$4:$F$47,"Athekame")+COUNTIF(Asta!$H$4:$H$47,"Athekame")+COUNTIF(Asta!$J$4:$J$47,"Athekame")+COUNTIF(Asta!$L$4:$L$47,"Athekame")+COUNTIF(Asta!$N$4:$N$47,"Athekame")+COUNTIF(Asta!$P$4:$P$47,"Athekame")+COUNTIF(Asta!$R$4:$R$47,"Athekame")+COUNTIF(Asta!$T$4:$T$47,"Athekame"))&gt;0,REGEXREPLACE("Athekame","(.)","$1"&amp;UNICHAR(822)),"Athekame")</x:f>
        <x:v>Athekame</x:v>
      </x:c>
      <x:c r="C19" s="714" t="str">
        <x:v>Dd;E</x:v>
      </x:c>
      <x:c r="D19" s="714" t="str">
        <x:v>Riserva / rotazione</x:v>
      </x:c>
      <x:c r="E19" s="714" t="n">
        <x:v>3</x:v>
      </x:c>
      <x:c r="F19" s="714" t="n">
        <x:v>4</x:v>
      </x:c>
      <x:c r="G19" s="714" t="str">
        <x:v>Scommessa</x:v>
      </x:c>
      <x:c r="H19" s="714" t="str"/>
      <x:c r="I19" s="715" t="str">
        <x:v>Copertura/ultimo slot: da prendere a 1-2 crediti.</x:v>
      </x:c>
    </x:row>
    <x:row r="20">
      <x:c r="A20" s="713" t="str">
        <x:v>Difensore</x:v>
      </x:c>
      <x:c r="B20" s="714" t="str">
        <x:f>IF((COUNTIF(Asta!$B$4:$B$47,"Diawara S.")+COUNTIF(Asta!$D$4:$D$47,"Diawara S.")+COUNTIF(Asta!$F$4:$F$47,"Diawara S.")+COUNTIF(Asta!$H$4:$H$47,"Diawara S.")+COUNTIF(Asta!$J$4:$J$47,"Diawara S.")+COUNTIF(Asta!$L$4:$L$47,"Diawara S.")+COUNTIF(Asta!$N$4:$N$47,"Diawara S.")+COUNTIF(Asta!$P$4:$P$47,"Diawara S.")+COUNTIF(Asta!$R$4:$R$47,"Diawara S.")+COUNTIF(Asta!$T$4:$T$47,"Diawara S."))&gt;0,REGEXREPLACE("Diawara S.","(.)","$1"&amp;UNICHAR(822)),"Diawara S.")</x:f>
        <x:v>Diawara S.</x:v>
      </x:c>
      <x:c r="C20" s="714" t="str">
        <x:v>Ds;Dc</x:v>
      </x:c>
      <x:c r="D20" s="714" t="str">
        <x:v>Riserva / rotazione</x:v>
      </x:c>
      <x:c r="E20" s="714" t="n">
        <x:v>2</x:v>
      </x:c>
      <x:c r="F20" s="714" t="n">
        <x:v>2</x:v>
      </x:c>
      <x:c r="G20" s="714" t="str">
        <x:v>Copertura</x:v>
      </x:c>
      <x:c r="H20" s="714" t="str"/>
      <x:c r="I20" s="715" t="str">
        <x:v>Copertura/ultimo slot: da prendere a 1-2 crediti.</x:v>
      </x:c>
    </x:row>
    <x:row r="21">
      <x:c r="A21" s="716" t="str">
        <x:v>Centrocampista</x:v>
      </x:c>
      <x:c r="B21" s="717" t="str">
        <x:f>IF((COUNTIF(Asta!$B$4:$B$47,"Pulisic")+COUNTIF(Asta!$D$4:$D$47,"Pulisic")+COUNTIF(Asta!$F$4:$F$47,"Pulisic")+COUNTIF(Asta!$H$4:$H$47,"Pulisic")+COUNTIF(Asta!$J$4:$J$47,"Pulisic")+COUNTIF(Asta!$L$4:$L$47,"Pulisic")+COUNTIF(Asta!$N$4:$N$47,"Pulisic")+COUNTIF(Asta!$P$4:$P$47,"Pulisic")+COUNTIF(Asta!$R$4:$R$47,"Pulisic")+COUNTIF(Asta!$T$4:$T$47,"Pulisic"))&gt;0,REGEXREPLACE("Pulisic","(.)","$1"&amp;UNICHAR(822)),"Pulisic")</x:f>
        <x:v>Pulisic</x:v>
      </x:c>
      <x:c r="C21" s="717" t="str">
        <x:v>T;A</x:v>
      </x:c>
      <x:c r="D21" s="717" t="str">
        <x:v>Titolare / ballottaggio</x:v>
      </x:c>
      <x:c r="E21" s="717" t="n">
        <x:v>25</x:v>
      </x:c>
      <x:c r="F21" s="717" t="n">
        <x:v>91</x:v>
      </x:c>
      <x:c r="G21" s="717" t="str">
        <x:v>Top</x:v>
      </x:c>
      <x:c r="H21" s="717" t="str">
        <x:v>Rigorista · Piazzati</x:v>
      </x:c>
      <x:c r="I21" s="718" t="str">
        <x:v>Interessante per bonus, ma non pagarlo come titolare fisso. Plus importante: è indicato tra i rigoristi.</x:v>
      </x:c>
    </x:row>
    <x:row r="22">
      <x:c r="A22" s="716" t="str">
        <x:v>Centrocampista</x:v>
      </x:c>
      <x:c r="B22" s="717" t="str">
        <x:f>IF((COUNTIF(Asta!$B$4:$B$47,"Rabiot")+COUNTIF(Asta!$D$4:$D$47,"Rabiot")+COUNTIF(Asta!$F$4:$F$47,"Rabiot")+COUNTIF(Asta!$H$4:$H$47,"Rabiot")+COUNTIF(Asta!$J$4:$J$47,"Rabiot")+COUNTIF(Asta!$L$4:$L$47,"Rabiot")+COUNTIF(Asta!$N$4:$N$47,"Rabiot")+COUNTIF(Asta!$P$4:$P$47,"Rabiot")+COUNTIF(Asta!$R$4:$R$47,"Rabiot")+COUNTIF(Asta!$T$4:$T$47,"Rabiot"))&gt;0,REGEXREPLACE("Rabiot","(.)","$1"&amp;UNICHAR(822)),"Rabiot")</x:f>
        <x:v>Rabiot</x:v>
      </x:c>
      <x:c r="C22" s="717" t="str">
        <x:v>C;T</x:v>
      </x:c>
      <x:c r="D22" s="717" t="str">
        <x:v>Titolare</x:v>
      </x:c>
      <x:c r="E22" s="717" t="n">
        <x:v>22</x:v>
      </x:c>
      <x:c r="F22" s="717" t="n">
        <x:v>65</x:v>
      </x:c>
      <x:c r="G22" s="717" t="str">
        <x:v>Premium</x:v>
      </x:c>
      <x:c r="H22" s="717" t="str"/>
      <x:c r="I22" s="718" t="str">
        <x:v>Da puntare: titolarità e alto potenziale fantacalcistico.</x:v>
      </x:c>
    </x:row>
    <x:row r="23">
      <x:c r="A23" s="716" t="str">
        <x:v>Centrocampista</x:v>
      </x:c>
      <x:c r="B23" s="717" t="str">
        <x:f>IF((COUNTIF(Asta!$B$4:$B$47,"Modric")+COUNTIF(Asta!$D$4:$D$47,"Modric")+COUNTIF(Asta!$F$4:$F$47,"Modric")+COUNTIF(Asta!$H$4:$H$47,"Modric")+COUNTIF(Asta!$J$4:$J$47,"Modric")+COUNTIF(Asta!$L$4:$L$47,"Modric")+COUNTIF(Asta!$N$4:$N$47,"Modric")+COUNTIF(Asta!$P$4:$P$47,"Modric")+COUNTIF(Asta!$R$4:$R$47,"Modric")+COUNTIF(Asta!$T$4:$T$47,"Modric"))&gt;0,REGEXREPLACE("Modric","(.)","$1"&amp;UNICHAR(822)),"Modric")</x:f>
        <x:v>Modric</x:v>
      </x:c>
      <x:c r="C23" s="717" t="str">
        <x:v>M;C</x:v>
      </x:c>
      <x:c r="D23" s="717" t="str">
        <x:v>Titolare</x:v>
      </x:c>
      <x:c r="E23" s="717" t="n">
        <x:v>12</x:v>
      </x:c>
      <x:c r="F23" s="717" t="n">
        <x:v>25</x:v>
      </x:c>
      <x:c r="G23" s="717" t="str">
        <x:v>Buon titolare</x:v>
      </x:c>
      <x:c r="H23" s="717" t="str">
        <x:v>Rigorista · Piazzati</x:v>
      </x:c>
      <x:c r="I23" s="718" t="str">
        <x:v>Buon titolare di rosa, da prendere senza inseguire troppo il prezzo. Plus importante: è indicato tra i rigoristi.</x:v>
      </x:c>
    </x:row>
    <x:row r="24">
      <x:c r="A24" s="716" t="str">
        <x:v>Centrocampista</x:v>
      </x:c>
      <x:c r="B24" s="717" t="str">
        <x:f>IF((COUNTIF(Asta!$B$4:$B$47,"Saelemaekers")+COUNTIF(Asta!$D$4:$D$47,"Saelemaekers")+COUNTIF(Asta!$F$4:$F$47,"Saelemaekers")+COUNTIF(Asta!$H$4:$H$47,"Saelemaekers")+COUNTIF(Asta!$J$4:$J$47,"Saelemaekers")+COUNTIF(Asta!$L$4:$L$47,"Saelemaekers")+COUNTIF(Asta!$N$4:$N$47,"Saelemaekers")+COUNTIF(Asta!$P$4:$P$47,"Saelemaekers")+COUNTIF(Asta!$R$4:$R$47,"Saelemaekers")+COUNTIF(Asta!$T$4:$T$47,"Saelemaekers"))&gt;0,REGEXREPLACE("Saelemaekers","(.)","$1"&amp;UNICHAR(822)),"Saelemaekers")</x:f>
        <x:v>Saelemaekers</x:v>
      </x:c>
      <x:c r="C24" s="717" t="str">
        <x:v>E;W</x:v>
      </x:c>
      <x:c r="D24" s="717" t="str">
        <x:v>Ballottaggio</x:v>
      </x:c>
      <x:c r="E24" s="717" t="n">
        <x:v>10</x:v>
      </x:c>
      <x:c r="F24" s="717" t="n">
        <x:v>22</x:v>
      </x:c>
      <x:c r="G24" s="717" t="str">
        <x:v>Utile</x:v>
      </x:c>
      <x:c r="H24" s="717" t="str">
        <x:v>Piazzati</x:v>
      </x:c>
      <x:c r="I24" s="718" t="str">
        <x:v>Scommessa con upside: prendilo a prezzo controllato. Buon plus: può battere calci piazzati.</x:v>
      </x:c>
    </x:row>
    <x:row r="25">
      <x:c r="A25" s="716" t="str">
        <x:v>Centrocampista</x:v>
      </x:c>
      <x:c r="B25" s="717" t="str">
        <x:f>IF((COUNTIF(Asta!$B$4:$B$47,"Fofana Y.")+COUNTIF(Asta!$D$4:$D$47,"Fofana Y.")+COUNTIF(Asta!$F$4:$F$47,"Fofana Y.")+COUNTIF(Asta!$H$4:$H$47,"Fofana Y.")+COUNTIF(Asta!$J$4:$J$47,"Fofana Y.")+COUNTIF(Asta!$L$4:$L$47,"Fofana Y.")+COUNTIF(Asta!$N$4:$N$47,"Fofana Y.")+COUNTIF(Asta!$P$4:$P$47,"Fofana Y.")+COUNTIF(Asta!$R$4:$R$47,"Fofana Y.")+COUNTIF(Asta!$T$4:$T$47,"Fofana Y."))&gt;0,REGEXREPLACE("Fofana Y.","(.)","$1"&amp;UNICHAR(822)),"Fofana Y.")</x:f>
        <x:v>Fofana Y.</x:v>
      </x:c>
      <x:c r="C25" s="717" t="str">
        <x:v>M;C</x:v>
      </x:c>
      <x:c r="D25" s="717" t="str">
        <x:v>Riserva / rotazione</x:v>
      </x:c>
      <x:c r="E25" s="717" t="n">
        <x:v>5</x:v>
      </x:c>
      <x:c r="F25" s="717" t="n">
        <x:v>12</x:v>
      </x:c>
      <x:c r="G25" s="717" t="str">
        <x:v>Utile</x:v>
      </x:c>
      <x:c r="H25" s="717" t="str"/>
      <x:c r="I25" s="718" t="str">
        <x:v>Scommessa da ultimi slot, senza sovrapprezzo.</x:v>
      </x:c>
    </x:row>
    <x:row r="26">
      <x:c r="A26" s="716" t="str">
        <x:v>Centrocampista</x:v>
      </x:c>
      <x:c r="B26" s="717" t="str">
        <x:f>IF((COUNTIF(Asta!$B$4:$B$47,"Chukwueze")+COUNTIF(Asta!$D$4:$D$47,"Chukwueze")+COUNTIF(Asta!$F$4:$F$47,"Chukwueze")+COUNTIF(Asta!$H$4:$H$47,"Chukwueze")+COUNTIF(Asta!$J$4:$J$47,"Chukwueze")+COUNTIF(Asta!$L$4:$L$47,"Chukwueze")+COUNTIF(Asta!$N$4:$N$47,"Chukwueze")+COUNTIF(Asta!$P$4:$P$47,"Chukwueze")+COUNTIF(Asta!$R$4:$R$47,"Chukwueze")+COUNTIF(Asta!$T$4:$T$47,"Chukwueze"))&gt;0,REGEXREPLACE("Chukwueze","(.)","$1"&amp;UNICHAR(822)),"Chukwueze")</x:f>
        <x:v>Chukwueze</x:v>
      </x:c>
      <x:c r="C26" s="717" t="str">
        <x:v>W</x:v>
      </x:c>
      <x:c r="D26" s="717" t="str">
        <x:v>Ballottaggio</x:v>
      </x:c>
      <x:c r="E26" s="717" t="n">
        <x:v>6</x:v>
      </x:c>
      <x:c r="F26" s="717" t="n">
        <x:v>6</x:v>
      </x:c>
      <x:c r="G26" s="717" t="str">
        <x:v>Scommessa</x:v>
      </x:c>
      <x:c r="H26" s="717" t="str"/>
      <x:c r="I26" s="718" t="str">
        <x:v>Solo a pochi crediti: minutaggio non garantito.</x:v>
      </x:c>
    </x:row>
    <x:row r="27">
      <x:c r="A27" s="716" t="str">
        <x:v>Centrocampista</x:v>
      </x:c>
      <x:c r="B27" s="717" t="str">
        <x:f>IF((COUNTIF(Asta!$B$4:$B$47,"Jashari")+COUNTIF(Asta!$D$4:$D$47,"Jashari")+COUNTIF(Asta!$F$4:$F$47,"Jashari")+COUNTIF(Asta!$H$4:$H$47,"Jashari")+COUNTIF(Asta!$J$4:$J$47,"Jashari")+COUNTIF(Asta!$L$4:$L$47,"Jashari")+COUNTIF(Asta!$N$4:$N$47,"Jashari")+COUNTIF(Asta!$P$4:$P$47,"Jashari")+COUNTIF(Asta!$R$4:$R$47,"Jashari")+COUNTIF(Asta!$T$4:$T$47,"Jashari"))&gt;0,REGEXREPLACE("Jashari","(.)","$1"&amp;UNICHAR(822)),"Jashari")</x:f>
        <x:v>Jashari</x:v>
      </x:c>
      <x:c r="C27" s="717" t="str">
        <x:v>C</x:v>
      </x:c>
      <x:c r="D27" s="717" t="str">
        <x:v>Riserva / rotazione</x:v>
      </x:c>
      <x:c r="E27" s="717" t="n">
        <x:v>4</x:v>
      </x:c>
      <x:c r="F27" s="717" t="n">
        <x:v>6</x:v>
      </x:c>
      <x:c r="G27" s="717" t="str">
        <x:v>Scommessa</x:v>
      </x:c>
      <x:c r="H27" s="717" t="str"/>
      <x:c r="I27" s="718" t="str">
        <x:v>Copertura/ultimo slot: da prendere a 1-2 crediti.</x:v>
      </x:c>
    </x:row>
    <x:row r="28">
      <x:c r="A28" s="716" t="str">
        <x:v>Centrocampista</x:v>
      </x:c>
      <x:c r="B28" s="717" t="str">
        <x:f>IF((COUNTIF(Asta!$B$4:$B$47,"Loftus-Cheek")+COUNTIF(Asta!$D$4:$D$47,"Loftus-Cheek")+COUNTIF(Asta!$F$4:$F$47,"Loftus-Cheek")+COUNTIF(Asta!$H$4:$H$47,"Loftus-Cheek")+COUNTIF(Asta!$J$4:$J$47,"Loftus-Cheek")+COUNTIF(Asta!$L$4:$L$47,"Loftus-Cheek")+COUNTIF(Asta!$N$4:$N$47,"Loftus-Cheek")+COUNTIF(Asta!$P$4:$P$47,"Loftus-Cheek")+COUNTIF(Asta!$R$4:$R$47,"Loftus-Cheek")+COUNTIF(Asta!$T$4:$T$47,"Loftus-Cheek"))&gt;0,REGEXREPLACE("Loftus-Cheek","(.)","$1"&amp;UNICHAR(822)),"Loftus-Cheek")</x:f>
        <x:v>Loftus-Cheek</x:v>
      </x:c>
      <x:c r="C28" s="717" t="str">
        <x:v>C;T</x:v>
      </x:c>
      <x:c r="D28" s="717" t="str">
        <x:v>Ballottaggio</x:v>
      </x:c>
      <x:c r="E28" s="717" t="n">
        <x:v>4</x:v>
      </x:c>
      <x:c r="F28" s="717" t="n">
        <x:v>6</x:v>
      </x:c>
      <x:c r="G28" s="717" t="str">
        <x:v>Scommessa</x:v>
      </x:c>
      <x:c r="H28" s="717" t="str"/>
      <x:c r="I28" s="718" t="str">
        <x:v>Solo a pochi crediti: minutaggio non garantito.</x:v>
      </x:c>
    </x:row>
    <x:row r="29">
      <x:c r="A29" s="716" t="str">
        <x:v>Centrocampista</x:v>
      </x:c>
      <x:c r="B29" s="717" t="str">
        <x:f>IF((COUNTIF(Asta!$B$4:$B$47,"Ricci S.")+COUNTIF(Asta!$D$4:$D$47,"Ricci S.")+COUNTIF(Asta!$F$4:$F$47,"Ricci S.")+COUNTIF(Asta!$H$4:$H$47,"Ricci S.")+COUNTIF(Asta!$J$4:$J$47,"Ricci S.")+COUNTIF(Asta!$L$4:$L$47,"Ricci S.")+COUNTIF(Asta!$N$4:$N$47,"Ricci S.")+COUNTIF(Asta!$P$4:$P$47,"Ricci S.")+COUNTIF(Asta!$R$4:$R$47,"Ricci S.")+COUNTIF(Asta!$T$4:$T$47,"Ricci S."))&gt;0,REGEXREPLACE("Ricci S.","(.)","$1"&amp;UNICHAR(822)),"Ricci S.")</x:f>
        <x:v>Ricci S.</x:v>
      </x:c>
      <x:c r="C29" s="717" t="str">
        <x:v>M;C</x:v>
      </x:c>
      <x:c r="D29" s="717" t="str">
        <x:v>Riserva / rotazione</x:v>
      </x:c>
      <x:c r="E29" s="717" t="n">
        <x:v>4</x:v>
      </x:c>
      <x:c r="F29" s="717" t="n">
        <x:v>6</x:v>
      </x:c>
      <x:c r="G29" s="717" t="str">
        <x:v>Scommessa</x:v>
      </x:c>
      <x:c r="H29" s="717" t="str"/>
      <x:c r="I29" s="718" t="str">
        <x:v>Copertura/ultimo slot: da prendere a 1-2 crediti.</x:v>
      </x:c>
    </x:row>
    <x:row r="30">
      <x:c r="A30" s="716" t="str">
        <x:v>Centrocampista</x:v>
      </x:c>
      <x:c r="B30" s="717" t="str">
        <x:f>IF((COUNTIF(Asta!$B$4:$B$47,"Musah")+COUNTIF(Asta!$D$4:$D$47,"Musah")+COUNTIF(Asta!$F$4:$F$47,"Musah")+COUNTIF(Asta!$H$4:$H$47,"Musah")+COUNTIF(Asta!$J$4:$J$47,"Musah")+COUNTIF(Asta!$L$4:$L$47,"Musah")+COUNTIF(Asta!$N$4:$N$47,"Musah")+COUNTIF(Asta!$P$4:$P$47,"Musah")+COUNTIF(Asta!$R$4:$R$47,"Musah")+COUNTIF(Asta!$T$4:$T$47,"Musah"))&gt;0,REGEXREPLACE("Musah","(.)","$1"&amp;UNICHAR(822)),"Musah")</x:f>
        <x:v>Musah</x:v>
      </x:c>
      <x:c r="C30" s="717" t="str">
        <x:v>C;W</x:v>
      </x:c>
      <x:c r="D30" s="717" t="str">
        <x:v>Titolare / ballottaggio</x:v>
      </x:c>
      <x:c r="E30" s="717" t="n">
        <x:v>2</x:v>
      </x:c>
      <x:c r="F30" s="717" t="n">
        <x:v>3</x:v>
      </x:c>
      <x:c r="G30" s="717" t="str">
        <x:v>Copertura</x:v>
      </x:c>
      <x:c r="H30" s="717" t="str"/>
      <x:c r="I30" s="718" t="str">
        <x:v>Solo a pochi crediti: minutaggio non garantito.</x:v>
      </x:c>
    </x:row>
    <x:row r="31">
      <x:c r="A31" s="719" t="str">
        <x:v>Attaccante</x:v>
      </x:c>
      <x:c r="B31" s="720" t="str">
        <x:f>IF((COUNTIF(Asta!$B$4:$B$47,"Ramos G.")+COUNTIF(Asta!$D$4:$D$47,"Ramos G.")+COUNTIF(Asta!$F$4:$F$47,"Ramos G.")+COUNTIF(Asta!$H$4:$H$47,"Ramos G.")+COUNTIF(Asta!$J$4:$J$47,"Ramos G.")+COUNTIF(Asta!$L$4:$L$47,"Ramos G.")+COUNTIF(Asta!$N$4:$N$47,"Ramos G.")+COUNTIF(Asta!$P$4:$P$47,"Ramos G.")+COUNTIF(Asta!$R$4:$R$47,"Ramos G.")+COUNTIF(Asta!$T$4:$T$47,"Ramos G."))&gt;0,REGEXREPLACE("Ramos G.","(.)","$1"&amp;UNICHAR(822)),"Ramos G.")</x:f>
        <x:v>Ramos G.</x:v>
      </x:c>
      <x:c r="C31" s="720" t="str">
        <x:v>Pc</x:v>
      </x:c>
      <x:c r="D31" s="720" t="str">
        <x:v>Titolare</x:v>
      </x:c>
      <x:c r="E31" s="720" t="n">
        <x:v>27</x:v>
      </x:c>
      <x:c r="F31" s="720" t="n">
        <x:v>121</x:v>
      </x:c>
      <x:c r="G31" s="720" t="str">
        <x:v>Top</x:v>
      </x:c>
      <x:c r="H31" s="720" t="str">
        <x:v>Rigorista</x:v>
      </x:c>
      <x:c r="I31" s="721" t="str">
        <x:v>Da puntare: titolarità e alto potenziale fantacalcistico. Plus importante: è indicato tra i rigoristi.</x:v>
      </x:c>
    </x:row>
    <x:row r="32">
      <x:c r="A32" s="719" t="str">
        <x:v>Attaccante</x:v>
      </x:c>
      <x:c r="B32" s="720" t="str">
        <x:f>IF((COUNTIF(Asta!$B$4:$B$47,"Leao")+COUNTIF(Asta!$D$4:$D$47,"Leao")+COUNTIF(Asta!$F$4:$F$47,"Leao")+COUNTIF(Asta!$H$4:$H$47,"Leao")+COUNTIF(Asta!$J$4:$J$47,"Leao")+COUNTIF(Asta!$L$4:$L$47,"Leao")+COUNTIF(Asta!$N$4:$N$47,"Leao")+COUNTIF(Asta!$P$4:$P$47,"Leao")+COUNTIF(Asta!$R$4:$R$47,"Leao")+COUNTIF(Asta!$T$4:$T$47,"Leao"))&gt;0,REGEXREPLACE("Leao","(.)","$1"&amp;UNICHAR(822)),"Leao")</x:f>
        <x:v>Leao</x:v>
      </x:c>
      <x:c r="C32" s="720" t="str">
        <x:v>A</x:v>
      </x:c>
      <x:c r="D32" s="720" t="str">
        <x:v>Riserva / rotazione</x:v>
      </x:c>
      <x:c r="E32" s="720" t="n">
        <x:v>18</x:v>
      </x:c>
      <x:c r="F32" s="720" t="n">
        <x:v>60</x:v>
      </x:c>
      <x:c r="G32" s="720" t="str">
        <x:v>Premium con rischio minutaggio</x:v>
      </x:c>
      <x:c r="H32" s="720" t="str"/>
      <x:c r="I32" s="721" t="str">
        <x:v>Qualità interessante ma minutaggio incerto: occasione solo se il prezzo scende.</x:v>
      </x:c>
    </x:row>
    <x:row r="33">
      <x:c r="A33" s="719" t="str">
        <x:v>Attaccante</x:v>
      </x:c>
      <x:c r="B33" s="720" t="str">
        <x:f>IF((COUNTIF(Asta!$B$4:$B$47,"Nkunku")+COUNTIF(Asta!$D$4:$D$47,"Nkunku")+COUNTIF(Asta!$F$4:$F$47,"Nkunku")+COUNTIF(Asta!$H$4:$H$47,"Nkunku")+COUNTIF(Asta!$J$4:$J$47,"Nkunku")+COUNTIF(Asta!$L$4:$L$47,"Nkunku")+COUNTIF(Asta!$N$4:$N$47,"Nkunku")+COUNTIF(Asta!$P$4:$P$47,"Nkunku")+COUNTIF(Asta!$R$4:$R$47,"Nkunku")+COUNTIF(Asta!$T$4:$T$47,"Nkunku"))&gt;0,REGEXREPLACE("Nkunku","(.)","$1"&amp;UNICHAR(822)),"Nkunku")</x:f>
        <x:v>Nkunku</x:v>
      </x:c>
      <x:c r="C33" s="720" t="str">
        <x:v>A</x:v>
      </x:c>
      <x:c r="D33" s="720" t="str">
        <x:v>Riserva / rotazione</x:v>
      </x:c>
      <x:c r="E33" s="720" t="n">
        <x:v>13</x:v>
      </x:c>
      <x:c r="F33" s="720" t="n">
        <x:v>26</x:v>
      </x:c>
      <x:c r="G33" s="720" t="str">
        <x:v>Buon titolare con rischio minutaggio</x:v>
      </x:c>
      <x:c r="H33" s="720" t="str"/>
      <x:c r="I33" s="721" t="str">
        <x:v>Qualità interessante ma minutaggio incerto: occasione solo se il prezzo scende.</x:v>
      </x:c>
    </x:row>
    <x:row r="34">
      <x:c r="A34" s="719" t="str">
        <x:v>Attaccante</x:v>
      </x:c>
      <x:c r="B34" s="720" t="str">
        <x:f>IF((COUNTIF(Asta!$B$4:$B$47,"Camarda")+COUNTIF(Asta!$D$4:$D$47,"Camarda")+COUNTIF(Asta!$F$4:$F$47,"Camarda")+COUNTIF(Asta!$H$4:$H$47,"Camarda")+COUNTIF(Asta!$J$4:$J$47,"Camarda")+COUNTIF(Asta!$L$4:$L$47,"Camarda")+COUNTIF(Asta!$N$4:$N$47,"Camarda")+COUNTIF(Asta!$P$4:$P$47,"Camarda")+COUNTIF(Asta!$R$4:$R$47,"Camarda")+COUNTIF(Asta!$T$4:$T$47,"Camarda"))&gt;0,REGEXREPLACE("Camarda","(.)","$1"&amp;UNICHAR(822)),"Camarda")</x:f>
        <x:v>Camarda</x:v>
      </x:c>
      <x:c r="C34" s="720" t="str">
        <x:v>Pc</x:v>
      </x:c>
      <x:c r="D34" s="720" t="str">
        <x:v>Riserva / rotazione</x:v>
      </x:c>
      <x:c r="E34" s="720" t="n">
        <x:v>5</x:v>
      </x:c>
      <x:c r="F34" s="720" t="n">
        <x:v>9</x:v>
      </x:c>
      <x:c r="G34" s="720" t="str">
        <x:v>Scommessa</x:v>
      </x:c>
      <x:c r="H34" s="720" t="str"/>
      <x:c r="I34" s="721" t="str">
        <x:v>Scommessa da ultimi slot, senza sovrapprezzo.</x:v>
      </x:c>
    </x:row>
    <x:row r="35">
      <x:c r="A35" s="722" t="str">
        <x:v>Attaccante</x:v>
      </x:c>
      <x:c r="B35" s="723" t="str">
        <x:f>IF((COUNTIF(Asta!$B$4:$B$47,"Gimenez")+COUNTIF(Asta!$D$4:$D$47,"Gimenez")+COUNTIF(Asta!$F$4:$F$47,"Gimenez")+COUNTIF(Asta!$H$4:$H$47,"Gimenez")+COUNTIF(Asta!$J$4:$J$47,"Gimenez")+COUNTIF(Asta!$L$4:$L$47,"Gimenez")+COUNTIF(Asta!$N$4:$N$47,"Gimenez")+COUNTIF(Asta!$P$4:$P$47,"Gimenez")+COUNTIF(Asta!$R$4:$R$47,"Gimenez")+COUNTIF(Asta!$T$4:$T$47,"Gimenez"))&gt;0,REGEXREPLACE("Gimenez","(.)","$1"&amp;UNICHAR(822)),"Gimenez")</x:f>
        <x:v>Gimenez</x:v>
      </x:c>
      <x:c r="C35" s="723" t="str">
        <x:v>Pc</x:v>
      </x:c>
      <x:c r="D35" s="723" t="str">
        <x:v>Riserva / rotazione</x:v>
      </x:c>
      <x:c r="E35" s="723" t="n">
        <x:v>6</x:v>
      </x:c>
      <x:c r="F35" s="723" t="n">
        <x:v>7</x:v>
      </x:c>
      <x:c r="G35" s="723" t="str">
        <x:v>Scommessa</x:v>
      </x:c>
      <x:c r="H35" s="723" t="str"/>
      <x:c r="I35" s="724" t="str">
        <x:v>Copertura/ultimo slot: da prendere a 1-2 crediti.</x:v>
      </x:c>
    </x:row>
    <x:row r="37">
      <x:c r="A37" s="630" t="str">
        <x:v>Fonte formazione/ballottaggi/rigoristi: Fantacalcio.it, aggiornamento 09/09/2026 — https://www.fantacalcio.it/news/calcio-italia/06_08_2026/asta-fantacalcio-le-probabili-formazioni-della-serie-a-enilive-2026-27-495558</x:v>
      </x:c>
      <x:c r="B37" s="630"/>
      <x:c r="C37" s="630"/>
      <x:c r="D37" s="630"/>
      <x:c r="E37" s="630"/>
      <x:c r="F37" s="630"/>
      <x:c r="G37" s="630"/>
      <x:c r="H37" s="630"/>
      <x:c r="I37" s="630"/>
    </x:row>
  </x:sheetData>
  <x:mergeCells>
    <x:mergeCell ref="A1:I1"/>
    <x:mergeCell ref="B4:I4"/>
    <x:mergeCell ref="B5:I5"/>
    <x:mergeCell ref="D3:I3"/>
    <x:mergeCell ref="D6:I6"/>
    <x:mergeCell ref="A37:I37"/>
  </x:mergeCells>
  <x:conditionalFormatting sqref="D9:D35">
    <x:cfRule type="expression" dxfId="26" priority="1">
      <x:formula>D9="Titolare"</x:formula>
    </x:cfRule>
    <x:cfRule type="expression" dxfId="27" priority="2">
      <x:formula>ISNUMBER(SEARCH("Ballottaggio",D9))</x:formula>
    </x:cfRule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1" hidden="0" customWidth="1"/>
    <x:col min="3" max="3" width="18" hidden="0" customWidth="1"/>
    <x:col min="4" max="4" width="23" hidden="0" customWidth="1"/>
    <x:col min="5" max="5" width="11" hidden="0" customWidth="1"/>
    <x:col min="6" max="6" width="12" hidden="0" customWidth="1"/>
    <x:col min="7" max="7" width="24" hidden="0" customWidth="1"/>
    <x:col min="8" max="8" width="20" hidden="0" customWidth="1"/>
    <x:col min="9" max="9" width="48" hidden="0" customWidth="1"/>
  </x:cols>
  <x:sheetData>
    <x:row r="1" ht="30" customHeight="1">
      <x:c r="A1" s="642" t="str">
        <x:v>MONZA — GUIDA ASTA 2026/27</x:v>
      </x:c>
      <x:c r="B1" s="643"/>
      <x:c r="C1" s="643"/>
      <x:c r="D1" s="643"/>
      <x:c r="E1" s="643"/>
      <x:c r="F1" s="643"/>
      <x:c r="G1" s="643"/>
      <x:c r="H1" s="643"/>
      <x:c r="I1" s="644"/>
    </x:row>
    <x:row r="3">
      <x:c r="A3" s="663" t="str">
        <x:v>Allenatore</x:v>
      </x:c>
      <x:c r="B3" s="681" t="str">
        <x:v>Ivan Juric</x:v>
      </x:c>
      <x:c r="C3" s="673" t="str">
        <x:v>Modulo</x:v>
      </x:c>
      <x:c r="D3" s="681" t="str">
        <x:v>3-4-2-1</x:v>
      </x:c>
      <x:c r="E3" s="681"/>
      <x:c r="F3" s="681"/>
      <x:c r="G3" s="681"/>
      <x:c r="H3" s="681"/>
      <x:c r="I3" s="682"/>
    </x:row>
    <x:row r="4" ht="38" customHeight="1">
      <x:c r="A4" s="664" t="str">
        <x:v>Formazione titolare</x:v>
      </x:c>
      <x:c r="B4" s="683" t="str">
        <x:v>Tornqvist; Kouadio, Lucchesi, Carboni; Birindelli, Folorunsho, Akinsanmiro, Mangas; Ngonge, Zeballos; Varela</x:v>
      </x:c>
      <x:c r="C4" s="676" t="str"/>
      <x:c r="D4" s="683" t="str"/>
      <x:c r="E4" s="683"/>
      <x:c r="F4" s="683"/>
      <x:c r="G4" s="683"/>
      <x:c r="H4" s="683"/>
      <x:c r="I4" s="684"/>
    </x:row>
    <x:row r="5" ht="38" customHeight="1">
      <x:c r="A5" s="664" t="str">
        <x:v>Ballottaggi</x:v>
      </x:c>
      <x:c r="B5" s="683" t="str">
        <x:v>Kouadio/Ziolkowski; Ngonge/Colpani; Zeballos/Mota; Varela/Cutrone</x:v>
      </x:c>
      <x:c r="C5" s="676" t="str"/>
      <x:c r="D5" s="683" t="str"/>
      <x:c r="E5" s="683"/>
      <x:c r="F5" s="683"/>
      <x:c r="G5" s="683"/>
      <x:c r="H5" s="683"/>
      <x:c r="I5" s="684"/>
    </x:row>
    <x:row r="6">
      <x:c r="A6" s="665" t="str">
        <x:v>Rigoristi</x:v>
      </x:c>
      <x:c r="B6" s="685" t="str">
        <x:v>Cutrone, Varela, Ngonge</x:v>
      </x:c>
      <x:c r="C6" s="679" t="str">
        <x:v>Calci piazzati</x:v>
      </x:c>
      <x:c r="D6" s="685" t="str">
        <x:v>Ngonge, Folorunsho, Pessina</x:v>
      </x:c>
      <x:c r="E6" s="685"/>
      <x:c r="F6" s="685"/>
      <x:c r="G6" s="685"/>
      <x:c r="H6" s="685"/>
      <x:c r="I6" s="686"/>
    </x:row>
    <x:row r="8" ht="30" customHeight="1">
      <x:c r="A8" s="698" t="str">
        <x:v>Ruolo</x:v>
      </x:c>
      <x:c r="B8" s="699" t="str">
        <x:v>Calciatore</x:v>
      </x:c>
      <x:c r="C8" s="699" t="str">
        <x:v>Posizione</x:v>
      </x:c>
      <x:c r="D8" s="699" t="str">
        <x:v>Status</x:v>
      </x:c>
      <x:c r="E8" s="699" t="str">
        <x:v>Quotazione</x:v>
      </x:c>
      <x:c r="F8" s="699" t="str">
        <x:v>FVM su 504</x:v>
      </x:c>
      <x:c r="G8" s="699" t="str">
        <x:v>Fascia asta</x:v>
      </x:c>
      <x:c r="H8" s="699" t="str">
        <x:v>Specialità</x:v>
      </x:c>
      <x:c r="I8" s="700" t="str">
        <x:v>Consiglio Fantacalcio</x:v>
      </x:c>
    </x:row>
    <x:row r="9">
      <x:c r="A9" s="707" t="str">
        <x:v>Portiere</x:v>
      </x:c>
      <x:c r="B9" s="708" t="str">
        <x:f>IF((COUNTIF(Asta!$B$4:$B$47,"Thiam")+COUNTIF(Asta!$D$4:$D$47,"Thiam")+COUNTIF(Asta!$F$4:$F$47,"Thiam")+COUNTIF(Asta!$H$4:$H$47,"Thiam")+COUNTIF(Asta!$J$4:$J$47,"Thiam")+COUNTIF(Asta!$L$4:$L$47,"Thiam")+COUNTIF(Asta!$N$4:$N$47,"Thiam")+COUNTIF(Asta!$P$4:$P$47,"Thiam")+COUNTIF(Asta!$R$4:$R$47,"Thiam")+COUNTIF(Asta!$T$4:$T$47,"Thiam"))&gt;0,REGEXREPLACE("Thiam","(.)","$1"&amp;UNICHAR(822)),"Thiam")</x:f>
        <x:v>Thiam</x:v>
      </x:c>
      <x:c r="C9" s="708" t="str">
        <x:v>Por</x:v>
      </x:c>
      <x:c r="D9" s="708" t="str">
        <x:v>Riserva / rotazione</x:v>
      </x:c>
      <x:c r="E9" s="708" t="n">
        <x:v>5</x:v>
      </x:c>
      <x:c r="F9" s="708" t="n">
        <x:v>6</x:v>
      </x:c>
      <x:c r="G9" s="708" t="str">
        <x:v>Scommessa</x:v>
      </x:c>
      <x:c r="H9" s="708" t="str"/>
      <x:c r="I9" s="709" t="str">
        <x:v>Solo come secondo/terzo portiere o copertura del titolare.</x:v>
      </x:c>
    </x:row>
    <x:row r="10">
      <x:c r="A10" s="710" t="str">
        <x:v>Portiere</x:v>
      </x:c>
      <x:c r="B10" s="711" t="str">
        <x:f>IF((COUNTIF(Asta!$B$4:$B$47,"Pizzignacco")+COUNTIF(Asta!$D$4:$D$47,"Pizzignacco")+COUNTIF(Asta!$F$4:$F$47,"Pizzignacco")+COUNTIF(Asta!$H$4:$H$47,"Pizzignacco")+COUNTIF(Asta!$J$4:$J$47,"Pizzignacco")+COUNTIF(Asta!$L$4:$L$47,"Pizzignacco")+COUNTIF(Asta!$N$4:$N$47,"Pizzignacco")+COUNTIF(Asta!$P$4:$P$47,"Pizzignacco")+COUNTIF(Asta!$R$4:$R$47,"Pizzignacco")+COUNTIF(Asta!$T$4:$T$47,"Pizzignacco"))&gt;0,REGEXREPLACE("Pizzignacco","(.)","$1"&amp;UNICHAR(822)),"Pizzignacco")</x:f>
        <x:v>Pizzignacco</x:v>
      </x:c>
      <x:c r="C10" s="711" t="str">
        <x:v>Por</x:v>
      </x:c>
      <x:c r="D10" s="711" t="str">
        <x:v>Riserva / rotazione</x:v>
      </x:c>
      <x:c r="E10" s="711" t="n">
        <x:v>1</x:v>
      </x:c>
      <x:c r="F10" s="711" t="n">
        <x:v>1</x:v>
      </x:c>
      <x:c r="G10" s="711" t="str">
        <x:v>Copertura</x:v>
      </x:c>
      <x:c r="H10" s="711" t="str"/>
      <x:c r="I10" s="712" t="str">
        <x:v>Solo come secondo/terzo portiere o copertura del titolare.</x:v>
      </x:c>
    </x:row>
    <x:row r="11">
      <x:c r="A11" s="710" t="str">
        <x:v>Portiere</x:v>
      </x:c>
      <x:c r="B11" s="711" t="str">
        <x:f>IF((COUNTIF(Asta!$B$4:$B$47,"Strajnar")+COUNTIF(Asta!$D$4:$D$47,"Strajnar")+COUNTIF(Asta!$F$4:$F$47,"Strajnar")+COUNTIF(Asta!$H$4:$H$47,"Strajnar")+COUNTIF(Asta!$J$4:$J$47,"Strajnar")+COUNTIF(Asta!$L$4:$L$47,"Strajnar")+COUNTIF(Asta!$N$4:$N$47,"Strajnar")+COUNTIF(Asta!$P$4:$P$47,"Strajnar")+COUNTIF(Asta!$R$4:$R$47,"Strajnar")+COUNTIF(Asta!$T$4:$T$47,"Strajnar"))&gt;0,REGEXREPLACE("Strajnar","(.)","$1"&amp;UNICHAR(822)),"Strajnar")</x:f>
        <x:v>Strajnar</x:v>
      </x:c>
      <x:c r="C11" s="711" t="str">
        <x:v>Por</x:v>
      </x:c>
      <x:c r="D11" s="711" t="str">
        <x:v>Riserva / rotazione</x:v>
      </x:c>
      <x:c r="E11" s="711" t="n">
        <x:v>1</x:v>
      </x:c>
      <x:c r="F11" s="711" t="n">
        <x:v>1</x:v>
      </x:c>
      <x:c r="G11" s="711" t="str">
        <x:v>Copertura</x:v>
      </x:c>
      <x:c r="H11" s="711" t="str"/>
      <x:c r="I11" s="712" t="str">
        <x:v>Solo come secondo/terzo portiere o copertura del titolare.</x:v>
      </x:c>
    </x:row>
    <x:row r="12">
      <x:c r="A12" s="713" t="str">
        <x:v>Difensore</x:v>
      </x:c>
      <x:c r="B12" s="714" t="str">
        <x:f>IF((COUNTIF(Asta!$B$4:$B$47,"Mangas")+COUNTIF(Asta!$D$4:$D$47,"Mangas")+COUNTIF(Asta!$F$4:$F$47,"Mangas")+COUNTIF(Asta!$H$4:$H$47,"Mangas")+COUNTIF(Asta!$J$4:$J$47,"Mangas")+COUNTIF(Asta!$L$4:$L$47,"Mangas")+COUNTIF(Asta!$N$4:$N$47,"Mangas")+COUNTIF(Asta!$P$4:$P$47,"Mangas")+COUNTIF(Asta!$R$4:$R$47,"Mangas")+COUNTIF(Asta!$T$4:$T$47,"Mangas"))&gt;0,REGEXREPLACE("Mangas","(.)","$1"&amp;UNICHAR(822)),"Mangas")</x:f>
        <x:v>Mangas</x:v>
      </x:c>
      <x:c r="C12" s="714" t="str">
        <x:v>Ds;E</x:v>
      </x:c>
      <x:c r="D12" s="714" t="str">
        <x:v>Titolare</x:v>
      </x:c>
      <x:c r="E12" s="714" t="n">
        <x:v>6</x:v>
      </x:c>
      <x:c r="F12" s="714" t="n">
        <x:v>8</x:v>
      </x:c>
      <x:c r="G12" s="714" t="str">
        <x:v>Scommessa</x:v>
      </x:c>
      <x:c r="H12" s="714" t="str"/>
      <x:c r="I12" s="715" t="str">
        <x:v>Titolare low cost: utile per completare il reparto.</x:v>
      </x:c>
    </x:row>
    <x:row r="13">
      <x:c r="A13" s="713" t="str">
        <x:v>Difensore</x:v>
      </x:c>
      <x:c r="B13" s="714" t="str">
        <x:f>IF((COUNTIF(Asta!$B$4:$B$47,"Birindelli")+COUNTIF(Asta!$D$4:$D$47,"Birindelli")+COUNTIF(Asta!$F$4:$F$47,"Birindelli")+COUNTIF(Asta!$H$4:$H$47,"Birindelli")+COUNTIF(Asta!$J$4:$J$47,"Birindelli")+COUNTIF(Asta!$L$4:$L$47,"Birindelli")+COUNTIF(Asta!$N$4:$N$47,"Birindelli")+COUNTIF(Asta!$P$4:$P$47,"Birindelli")+COUNTIF(Asta!$R$4:$R$47,"Birindelli")+COUNTIF(Asta!$T$4:$T$47,"Birindelli"))&gt;0,REGEXREPLACE("Birindelli","(.)","$1"&amp;UNICHAR(822)),"Birindelli")</x:f>
        <x:v>Birindelli</x:v>
      </x:c>
      <x:c r="C13" s="714" t="str">
        <x:v>Dd;Ds;E</x:v>
      </x:c>
      <x:c r="D13" s="714" t="str">
        <x:v>Titolare</x:v>
      </x:c>
      <x:c r="E13" s="714" t="n">
        <x:v>4</x:v>
      </x:c>
      <x:c r="F13" s="714" t="n">
        <x:v>6</x:v>
      </x:c>
      <x:c r="G13" s="714" t="str">
        <x:v>Scommessa</x:v>
      </x:c>
      <x:c r="H13" s="714" t="str"/>
      <x:c r="I13" s="715" t="str">
        <x:v>Titolare low cost: utile per completare il reparto.</x:v>
      </x:c>
    </x:row>
    <x:row r="14">
      <x:c r="A14" s="713" t="str">
        <x:v>Difensore</x:v>
      </x:c>
      <x:c r="B14" s="714" t="str">
        <x:f>IF((COUNTIF(Asta!$B$4:$B$47,"Lucchesi")+COUNTIF(Asta!$D$4:$D$47,"Lucchesi")+COUNTIF(Asta!$F$4:$F$47,"Lucchesi")+COUNTIF(Asta!$H$4:$H$47,"Lucchesi")+COUNTIF(Asta!$J$4:$J$47,"Lucchesi")+COUNTIF(Asta!$L$4:$L$47,"Lucchesi")+COUNTIF(Asta!$N$4:$N$47,"Lucchesi")+COUNTIF(Asta!$P$4:$P$47,"Lucchesi")+COUNTIF(Asta!$R$4:$R$47,"Lucchesi")+COUNTIF(Asta!$T$4:$T$47,"Lucchesi"))&gt;0,REGEXREPLACE("Lucchesi","(.)","$1"&amp;UNICHAR(822)),"Lucchesi")</x:f>
        <x:v>Lucchesi</x:v>
      </x:c>
      <x:c r="C14" s="714" t="str">
        <x:v>Dc</x:v>
      </x:c>
      <x:c r="D14" s="714" t="str">
        <x:v>Titolare</x:v>
      </x:c>
      <x:c r="E14" s="714" t="n">
        <x:v>4</x:v>
      </x:c>
      <x:c r="F14" s="714" t="n">
        <x:v>6</x:v>
      </x:c>
      <x:c r="G14" s="714" t="str">
        <x:v>Scommessa</x:v>
      </x:c>
      <x:c r="H14" s="714" t="str"/>
      <x:c r="I14" s="715" t="str">
        <x:v>Titolare low cost: utile per completare il reparto.</x:v>
      </x:c>
    </x:row>
    <x:row r="15">
      <x:c r="A15" s="713" t="str">
        <x:v>Difensore</x:v>
      </x:c>
      <x:c r="B15" s="714" t="str">
        <x:f>IF((COUNTIF(Asta!$B$4:$B$47,"Delli Carri")+COUNTIF(Asta!$D$4:$D$47,"Delli Carri")+COUNTIF(Asta!$F$4:$F$47,"Delli Carri")+COUNTIF(Asta!$H$4:$H$47,"Delli Carri")+COUNTIF(Asta!$J$4:$J$47,"Delli Carri")+COUNTIF(Asta!$L$4:$L$47,"Delli Carri")+COUNTIF(Asta!$N$4:$N$47,"Delli Carri")+COUNTIF(Asta!$P$4:$P$47,"Delli Carri")+COUNTIF(Asta!$R$4:$R$47,"Delli Carri")+COUNTIF(Asta!$T$4:$T$47,"Delli Carri"))&gt;0,REGEXREPLACE("Delli Carri","(.)","$1"&amp;UNICHAR(822)),"Delli Carri")</x:f>
        <x:v>Delli Carri</x:v>
      </x:c>
      <x:c r="C15" s="714" t="str">
        <x:v>Dc</x:v>
      </x:c>
      <x:c r="D15" s="714" t="str">
        <x:v>Riserva / rotazione</x:v>
      </x:c>
      <x:c r="E15" s="714" t="n">
        <x:v>4</x:v>
      </x:c>
      <x:c r="F15" s="714" t="n">
        <x:v>6</x:v>
      </x:c>
      <x:c r="G15" s="714" t="str">
        <x:v>Scommessa</x:v>
      </x:c>
      <x:c r="H15" s="714" t="str"/>
      <x:c r="I15" s="715" t="str">
        <x:v>Copertura/ultimo slot: da prendere a 1-2 crediti.</x:v>
      </x:c>
    </x:row>
    <x:row r="16">
      <x:c r="A16" s="713" t="str">
        <x:v>Difensore</x:v>
      </x:c>
      <x:c r="B16" s="714" t="str">
        <x:f>IF((COUNTIF(Asta!$B$4:$B$47,"Carboni A.")+COUNTIF(Asta!$D$4:$D$47,"Carboni A.")+COUNTIF(Asta!$F$4:$F$47,"Carboni A.")+COUNTIF(Asta!$H$4:$H$47,"Carboni A.")+COUNTIF(Asta!$J$4:$J$47,"Carboni A.")+COUNTIF(Asta!$L$4:$L$47,"Carboni A.")+COUNTIF(Asta!$N$4:$N$47,"Carboni A.")+COUNTIF(Asta!$P$4:$P$47,"Carboni A.")+COUNTIF(Asta!$R$4:$R$47,"Carboni A.")+COUNTIF(Asta!$T$4:$T$47,"Carboni A."))&gt;0,REGEXREPLACE("Carboni A.","(.)","$1"&amp;UNICHAR(822)),"Carboni A.")</x:f>
        <x:v>Carboni A.</x:v>
      </x:c>
      <x:c r="C16" s="714" t="str">
        <x:v>Ds;Dc</x:v>
      </x:c>
      <x:c r="D16" s="714" t="str">
        <x:v>Titolare</x:v>
      </x:c>
      <x:c r="E16" s="714" t="n">
        <x:v>3</x:v>
      </x:c>
      <x:c r="F16" s="714" t="n">
        <x:v>5</x:v>
      </x:c>
      <x:c r="G16" s="714" t="str">
        <x:v>Scommessa</x:v>
      </x:c>
      <x:c r="H16" s="714" t="str"/>
      <x:c r="I16" s="715" t="str">
        <x:v>Titolare low cost: utile per completare il reparto.</x:v>
      </x:c>
    </x:row>
    <x:row r="17">
      <x:c r="A17" s="713" t="str">
        <x:v>Difensore</x:v>
      </x:c>
      <x:c r="B17" s="714" t="str">
        <x:f>IF((COUNTIF(Asta!$B$4:$B$47,"Kouadio")+COUNTIF(Asta!$D$4:$D$47,"Kouadio")+COUNTIF(Asta!$F$4:$F$47,"Kouadio")+COUNTIF(Asta!$H$4:$H$47,"Kouadio")+COUNTIF(Asta!$J$4:$J$47,"Kouadio")+COUNTIF(Asta!$L$4:$L$47,"Kouadio")+COUNTIF(Asta!$N$4:$N$47,"Kouadio")+COUNTIF(Asta!$P$4:$P$47,"Kouadio")+COUNTIF(Asta!$R$4:$R$47,"Kouadio")+COUNTIF(Asta!$T$4:$T$47,"Kouadio"))&gt;0,REGEXREPLACE("Kouadio","(.)","$1"&amp;UNICHAR(822)),"Kouadio")</x:f>
        <x:v>Kouadio</x:v>
      </x:c>
      <x:c r="C17" s="714" t="str">
        <x:v>Dd;Dc</x:v>
      </x:c>
      <x:c r="D17" s="714" t="str">
        <x:v>Titolare / ballottaggio</x:v>
      </x:c>
      <x:c r="E17" s="714" t="n">
        <x:v>3</x:v>
      </x:c>
      <x:c r="F17" s="714" t="n">
        <x:v>5</x:v>
      </x:c>
      <x:c r="G17" s="714" t="str">
        <x:v>Scommessa</x:v>
      </x:c>
      <x:c r="H17" s="714" t="str"/>
      <x:c r="I17" s="715" t="str">
        <x:v>Solo a pochi crediti: minutaggio non garantito.</x:v>
      </x:c>
    </x:row>
    <x:row r="18">
      <x:c r="A18" s="713" t="str">
        <x:v>Difensore</x:v>
      </x:c>
      <x:c r="B18" s="714" t="str">
        <x:f>IF((COUNTIF(Asta!$B$4:$B$47,"Bakoune")+COUNTIF(Asta!$D$4:$D$47,"Bakoune")+COUNTIF(Asta!$F$4:$F$47,"Bakoune")+COUNTIF(Asta!$H$4:$H$47,"Bakoune")+COUNTIF(Asta!$J$4:$J$47,"Bakoune")+COUNTIF(Asta!$L$4:$L$47,"Bakoune")+COUNTIF(Asta!$N$4:$N$47,"Bakoune")+COUNTIF(Asta!$P$4:$P$47,"Bakoune")+COUNTIF(Asta!$R$4:$R$47,"Bakoune")+COUNTIF(Asta!$T$4:$T$47,"Bakoune"))&gt;0,REGEXREPLACE("Bakoune","(.)","$1"&amp;UNICHAR(822)),"Bakoune")</x:f>
        <x:v>Bakoune</x:v>
      </x:c>
      <x:c r="C18" s="714" t="str">
        <x:v>Dd;E</x:v>
      </x:c>
      <x:c r="D18" s="714" t="str">
        <x:v>Riserva / rotazione</x:v>
      </x:c>
      <x:c r="E18" s="714" t="n">
        <x:v>1</x:v>
      </x:c>
      <x:c r="F18" s="714" t="n">
        <x:v>2</x:v>
      </x:c>
      <x:c r="G18" s="714" t="str">
        <x:v>Copertura</x:v>
      </x:c>
      <x:c r="H18" s="714" t="str"/>
      <x:c r="I18" s="715" t="str">
        <x:v>Copertura/ultimo slot: da prendere a 1-2 crediti.</x:v>
      </x:c>
    </x:row>
    <x:row r="19">
      <x:c r="A19" s="713" t="str">
        <x:v>Difensore</x:v>
      </x:c>
      <x:c r="B19" s="714" t="str">
        <x:f>IF((COUNTIF(Asta!$B$4:$B$47,"Antov")+COUNTIF(Asta!$D$4:$D$47,"Antov")+COUNTIF(Asta!$F$4:$F$47,"Antov")+COUNTIF(Asta!$H$4:$H$47,"Antov")+COUNTIF(Asta!$J$4:$J$47,"Antov")+COUNTIF(Asta!$L$4:$L$47,"Antov")+COUNTIF(Asta!$N$4:$N$47,"Antov")+COUNTIF(Asta!$P$4:$P$47,"Antov")+COUNTIF(Asta!$R$4:$R$47,"Antov")+COUNTIF(Asta!$T$4:$T$47,"Antov"))&gt;0,REGEXREPLACE("Antov","(.)","$1"&amp;UNICHAR(822)),"Antov")</x:f>
        <x:v>Antov</x:v>
      </x:c>
      <x:c r="C19" s="714" t="str">
        <x:v>Dc</x:v>
      </x:c>
      <x:c r="D19" s="714" t="str">
        <x:v>Riserva / rotazione</x:v>
      </x:c>
      <x:c r="E19" s="714" t="n">
        <x:v>1</x:v>
      </x:c>
      <x:c r="F19" s="714" t="n">
        <x:v>1</x:v>
      </x:c>
      <x:c r="G19" s="714" t="str">
        <x:v>Copertura</x:v>
      </x:c>
      <x:c r="H19" s="714" t="str"/>
      <x:c r="I19" s="715" t="str">
        <x:v>Copertura/ultimo slot: da prendere a 1-2 crediti.</x:v>
      </x:c>
    </x:row>
    <x:row r="20">
      <x:c r="A20" s="716" t="str">
        <x:v>Centrocampista</x:v>
      </x:c>
      <x:c r="B20" s="717" t="str">
        <x:f>IF((COUNTIF(Asta!$B$4:$B$47,"Colpani")+COUNTIF(Asta!$D$4:$D$47,"Colpani")+COUNTIF(Asta!$F$4:$F$47,"Colpani")+COUNTIF(Asta!$H$4:$H$47,"Colpani")+COUNTIF(Asta!$J$4:$J$47,"Colpani")+COUNTIF(Asta!$L$4:$L$47,"Colpani")+COUNTIF(Asta!$N$4:$N$47,"Colpani")+COUNTIF(Asta!$P$4:$P$47,"Colpani")+COUNTIF(Asta!$R$4:$R$47,"Colpani")+COUNTIF(Asta!$T$4:$T$47,"Colpani"))&gt;0,REGEXREPLACE("Colpani","(.)","$1"&amp;UNICHAR(822)),"Colpani")</x:f>
        <x:v>Colpani</x:v>
      </x:c>
      <x:c r="C20" s="717" t="str">
        <x:v>T</x:v>
      </x:c>
      <x:c r="D20" s="717" t="str">
        <x:v>Ballottaggio</x:v>
      </x:c>
      <x:c r="E20" s="717" t="n">
        <x:v>8</x:v>
      </x:c>
      <x:c r="F20" s="717" t="n">
        <x:v>13</x:v>
      </x:c>
      <x:c r="G20" s="717" t="str">
        <x:v>Utile</x:v>
      </x:c>
      <x:c r="H20" s="717" t="str"/>
      <x:c r="I20" s="718" t="str">
        <x:v>Scommessa con upside: prendilo a prezzo controllato.</x:v>
      </x:c>
    </x:row>
    <x:row r="21">
      <x:c r="A21" s="716" t="str">
        <x:v>Centrocampista</x:v>
      </x:c>
      <x:c r="B21" s="717" t="str">
        <x:f>IF((COUNTIF(Asta!$B$4:$B$47,"Pessina")+COUNTIF(Asta!$D$4:$D$47,"Pessina")+COUNTIF(Asta!$F$4:$F$47,"Pessina")+COUNTIF(Asta!$H$4:$H$47,"Pessina")+COUNTIF(Asta!$J$4:$J$47,"Pessina")+COUNTIF(Asta!$L$4:$L$47,"Pessina")+COUNTIF(Asta!$N$4:$N$47,"Pessina")+COUNTIF(Asta!$P$4:$P$47,"Pessina")+COUNTIF(Asta!$R$4:$R$47,"Pessina")+COUNTIF(Asta!$T$4:$T$47,"Pessina"))&gt;0,REGEXREPLACE("Pessina","(.)","$1"&amp;UNICHAR(822)),"Pessina")</x:f>
        <x:v>Pessina</x:v>
      </x:c>
      <x:c r="C21" s="717" t="str">
        <x:v>M;C</x:v>
      </x:c>
      <x:c r="D21" s="717" t="str">
        <x:v>Riserva / rotazione</x:v>
      </x:c>
      <x:c r="E21" s="717" t="n">
        <x:v>7</x:v>
      </x:c>
      <x:c r="F21" s="717" t="n">
        <x:v>10</x:v>
      </x:c>
      <x:c r="G21" s="717" t="str">
        <x:v>Utile</x:v>
      </x:c>
      <x:c r="H21" s="717" t="str">
        <x:v>Piazzati</x:v>
      </x:c>
      <x:c r="I21" s="718" t="str">
        <x:v>Scommessa da ultimi slot, senza sovrapprezzo. Buon plus: può battere calci piazzati.</x:v>
      </x:c>
    </x:row>
    <x:row r="22">
      <x:c r="A22" s="716" t="str">
        <x:v>Centrocampista</x:v>
      </x:c>
      <x:c r="B22" s="717" t="str">
        <x:f>IF((COUNTIF(Asta!$B$4:$B$47,"Akinsanmiro")+COUNTIF(Asta!$D$4:$D$47,"Akinsanmiro")+COUNTIF(Asta!$F$4:$F$47,"Akinsanmiro")+COUNTIF(Asta!$H$4:$H$47,"Akinsanmiro")+COUNTIF(Asta!$J$4:$J$47,"Akinsanmiro")+COUNTIF(Asta!$L$4:$L$47,"Akinsanmiro")+COUNTIF(Asta!$N$4:$N$47,"Akinsanmiro")+COUNTIF(Asta!$P$4:$P$47,"Akinsanmiro")+COUNTIF(Asta!$R$4:$R$47,"Akinsanmiro")+COUNTIF(Asta!$T$4:$T$47,"Akinsanmiro"))&gt;0,REGEXREPLACE("Akinsanmiro","(.)","$1"&amp;UNICHAR(822)),"Akinsanmiro")</x:f>
        <x:v>Akinsanmiro</x:v>
      </x:c>
      <x:c r="C22" s="717" t="str">
        <x:v>C</x:v>
      </x:c>
      <x:c r="D22" s="717" t="str">
        <x:v>Titolare</x:v>
      </x:c>
      <x:c r="E22" s="717" t="n">
        <x:v>6</x:v>
      </x:c>
      <x:c r="F22" s="717" t="n">
        <x:v>8</x:v>
      </x:c>
      <x:c r="G22" s="717" t="str">
        <x:v>Scommessa</x:v>
      </x:c>
      <x:c r="H22" s="717" t="str"/>
      <x:c r="I22" s="718" t="str">
        <x:v>Titolare low cost: utile per completare il reparto.</x:v>
      </x:c>
    </x:row>
    <x:row r="23">
      <x:c r="A23" s="716" t="str">
        <x:v>Centrocampista</x:v>
      </x:c>
      <x:c r="B23" s="717" t="str">
        <x:f>IF((COUNTIF(Asta!$B$4:$B$47,"Colombo L.")+COUNTIF(Asta!$D$4:$D$47,"Colombo L.")+COUNTIF(Asta!$F$4:$F$47,"Colombo L.")+COUNTIF(Asta!$H$4:$H$47,"Colombo L.")+COUNTIF(Asta!$J$4:$J$47,"Colombo L.")+COUNTIF(Asta!$L$4:$L$47,"Colombo L.")+COUNTIF(Asta!$N$4:$N$47,"Colombo L.")+COUNTIF(Asta!$P$4:$P$47,"Colombo L.")+COUNTIF(Asta!$R$4:$R$47,"Colombo L.")+COUNTIF(Asta!$T$4:$T$47,"Colombo L."))&gt;0,REGEXREPLACE("Colombo L.","(.)","$1"&amp;UNICHAR(822)),"Colombo L.")</x:f>
        <x:v>Colombo L.</x:v>
      </x:c>
      <x:c r="C23" s="717" t="str">
        <x:v>M;C</x:v>
      </x:c>
      <x:c r="D23" s="717" t="str">
        <x:v>Riserva / rotazione</x:v>
      </x:c>
      <x:c r="E23" s="717" t="n">
        <x:v>3</x:v>
      </x:c>
      <x:c r="F23" s="717" t="n">
        <x:v>4</x:v>
      </x:c>
      <x:c r="G23" s="717" t="str">
        <x:v>Copertura</x:v>
      </x:c>
      <x:c r="H23" s="717" t="str"/>
      <x:c r="I23" s="718" t="str">
        <x:v>Copertura/ultimo slot: da prendere a 1-2 crediti.</x:v>
      </x:c>
    </x:row>
    <x:row r="24">
      <x:c r="A24" s="716" t="str">
        <x:v>Centrocampista</x:v>
      </x:c>
      <x:c r="B24" s="717" t="str">
        <x:f>IF((COUNTIF(Asta!$B$4:$B$47,"Ciurria")+COUNTIF(Asta!$D$4:$D$47,"Ciurria")+COUNTIF(Asta!$F$4:$F$47,"Ciurria")+COUNTIF(Asta!$H$4:$H$47,"Ciurria")+COUNTIF(Asta!$J$4:$J$47,"Ciurria")+COUNTIF(Asta!$L$4:$L$47,"Ciurria")+COUNTIF(Asta!$N$4:$N$47,"Ciurria")+COUNTIF(Asta!$P$4:$P$47,"Ciurria")+COUNTIF(Asta!$R$4:$R$47,"Ciurria")+COUNTIF(Asta!$T$4:$T$47,"Ciurria"))&gt;0,REGEXREPLACE("Ciurria","(.)","$1"&amp;UNICHAR(822)),"Ciurria")</x:f>
        <x:v>Ciurria</x:v>
      </x:c>
      <x:c r="C24" s="717" t="str">
        <x:v>E;W</x:v>
      </x:c>
      <x:c r="D24" s="717" t="str">
        <x:v>Riserva / rotazione</x:v>
      </x:c>
      <x:c r="E24" s="717" t="n">
        <x:v>2</x:v>
      </x:c>
      <x:c r="F24" s="717" t="n">
        <x:v>3</x:v>
      </x:c>
      <x:c r="G24" s="717" t="str">
        <x:v>Copertura</x:v>
      </x:c>
      <x:c r="H24" s="717" t="str"/>
      <x:c r="I24" s="718" t="str">
        <x:v>Copertura/ultimo slot: da prendere a 1-2 crediti.</x:v>
      </x:c>
    </x:row>
    <x:row r="25">
      <x:c r="A25" s="719" t="str">
        <x:v>Attaccante</x:v>
      </x:c>
      <x:c r="B25" s="720" t="str">
        <x:f>IF((COUNTIF(Asta!$B$4:$B$47,"Cutrone")+COUNTIF(Asta!$D$4:$D$47,"Cutrone")+COUNTIF(Asta!$F$4:$F$47,"Cutrone")+COUNTIF(Asta!$H$4:$H$47,"Cutrone")+COUNTIF(Asta!$J$4:$J$47,"Cutrone")+COUNTIF(Asta!$L$4:$L$47,"Cutrone")+COUNTIF(Asta!$N$4:$N$47,"Cutrone")+COUNTIF(Asta!$P$4:$P$47,"Cutrone")+COUNTIF(Asta!$R$4:$R$47,"Cutrone")+COUNTIF(Asta!$T$4:$T$47,"Cutrone"))&gt;0,REGEXREPLACE("Cutrone","(.)","$1"&amp;UNICHAR(822)),"Cutrone")</x:f>
        <x:v>Cutrone</x:v>
      </x:c>
      <x:c r="C25" s="720" t="str">
        <x:v>Pc</x:v>
      </x:c>
      <x:c r="D25" s="720" t="str">
        <x:v>Ballottaggio</x:v>
      </x:c>
      <x:c r="E25" s="720" t="n">
        <x:v>9</x:v>
      </x:c>
      <x:c r="F25" s="720" t="n">
        <x:v>17</x:v>
      </x:c>
      <x:c r="G25" s="720" t="str">
        <x:v>Utile</x:v>
      </x:c>
      <x:c r="H25" s="720" t="str">
        <x:v>Rigorista</x:v>
      </x:c>
      <x:c r="I25" s="721" t="str">
        <x:v>Scommessa con upside: prendilo a prezzo controllato. Plus importante: è indicato tra i rigoristi.</x:v>
      </x:c>
    </x:row>
    <x:row r="26">
      <x:c r="A26" s="719" t="str">
        <x:v>Attaccante</x:v>
      </x:c>
      <x:c r="B26" s="720" t="str">
        <x:f>IF((COUNTIF(Asta!$B$4:$B$47,"Mota")+COUNTIF(Asta!$D$4:$D$47,"Mota")+COUNTIF(Asta!$F$4:$F$47,"Mota")+COUNTIF(Asta!$H$4:$H$47,"Mota")+COUNTIF(Asta!$J$4:$J$47,"Mota")+COUNTIF(Asta!$L$4:$L$47,"Mota")+COUNTIF(Asta!$N$4:$N$47,"Mota")+COUNTIF(Asta!$P$4:$P$47,"Mota")+COUNTIF(Asta!$R$4:$R$47,"Mota")+COUNTIF(Asta!$T$4:$T$47,"Mota"))&gt;0,REGEXREPLACE("Mota","(.)","$1"&amp;UNICHAR(822)),"Mota")</x:f>
        <x:v>Mota</x:v>
      </x:c>
      <x:c r="C26" s="720" t="str">
        <x:v>A</x:v>
      </x:c>
      <x:c r="D26" s="720" t="str">
        <x:v>Ballottaggio</x:v>
      </x:c>
      <x:c r="E26" s="720" t="n">
        <x:v>5</x:v>
      </x:c>
      <x:c r="F26" s="720" t="n">
        <x:v>9</x:v>
      </x:c>
      <x:c r="G26" s="720" t="str">
        <x:v>Scommessa</x:v>
      </x:c>
      <x:c r="H26" s="720" t="str"/>
      <x:c r="I26" s="721" t="str">
        <x:v>Solo a pochi crediti: minutaggio non garantito.</x:v>
      </x:c>
    </x:row>
    <x:row r="27">
      <x:c r="A27" s="719" t="str">
        <x:v>Attaccante</x:v>
      </x:c>
      <x:c r="B27" s="720" t="str">
        <x:f>IF((COUNTIF(Asta!$B$4:$B$47,"Varela G.")+COUNTIF(Asta!$D$4:$D$47,"Varela G.")+COUNTIF(Asta!$F$4:$F$47,"Varela G.")+COUNTIF(Asta!$H$4:$H$47,"Varela G.")+COUNTIF(Asta!$J$4:$J$47,"Varela G.")+COUNTIF(Asta!$L$4:$L$47,"Varela G.")+COUNTIF(Asta!$N$4:$N$47,"Varela G.")+COUNTIF(Asta!$P$4:$P$47,"Varela G.")+COUNTIF(Asta!$R$4:$R$47,"Varela G.")+COUNTIF(Asta!$T$4:$T$47,"Varela G."))&gt;0,REGEXREPLACE("Varela G.","(.)","$1"&amp;UNICHAR(822)),"Varela G.")</x:f>
        <x:v>Varela G.</x:v>
      </x:c>
      <x:c r="C27" s="720" t="str">
        <x:v>Pc</x:v>
      </x:c>
      <x:c r="D27" s="720" t="str">
        <x:v>Titolare / ballottaggio</x:v>
      </x:c>
      <x:c r="E27" s="720" t="n">
        <x:v>3</x:v>
      </x:c>
      <x:c r="F27" s="720" t="n">
        <x:v>4</x:v>
      </x:c>
      <x:c r="G27" s="720" t="str">
        <x:v>Copertura</x:v>
      </x:c>
      <x:c r="H27" s="720" t="str">
        <x:v>Rigorista</x:v>
      </x:c>
      <x:c r="I27" s="721" t="str">
        <x:v>Solo a pochi crediti: minutaggio non garantito. Plus importante: è indicato tra i rigoristi.</x:v>
      </x:c>
    </x:row>
    <x:row r="28">
      <x:c r="A28" s="722" t="str">
        <x:v>Attaccante</x:v>
      </x:c>
      <x:c r="B28" s="723" t="str">
        <x:f>IF((COUNTIF(Asta!$B$4:$B$47,"Petagna")+COUNTIF(Asta!$D$4:$D$47,"Petagna")+COUNTIF(Asta!$F$4:$F$47,"Petagna")+COUNTIF(Asta!$H$4:$H$47,"Petagna")+COUNTIF(Asta!$J$4:$J$47,"Petagna")+COUNTIF(Asta!$L$4:$L$47,"Petagna")+COUNTIF(Asta!$N$4:$N$47,"Petagna")+COUNTIF(Asta!$P$4:$P$47,"Petagna")+COUNTIF(Asta!$R$4:$R$47,"Petagna")+COUNTIF(Asta!$T$4:$T$47,"Petagna"))&gt;0,REGEXREPLACE("Petagna","(.)","$1"&amp;UNICHAR(822)),"Petagna")</x:f>
        <x:v>Petagna</x:v>
      </x:c>
      <x:c r="C28" s="723" t="str">
        <x:v>Pc</x:v>
      </x:c>
      <x:c r="D28" s="723" t="str">
        <x:v>Riserva / rotazione</x:v>
      </x:c>
      <x:c r="E28" s="723" t="n">
        <x:v>2</x:v>
      </x:c>
      <x:c r="F28" s="723" t="n">
        <x:v>3</x:v>
      </x:c>
      <x:c r="G28" s="723" t="str">
        <x:v>Copertura</x:v>
      </x:c>
      <x:c r="H28" s="723" t="str"/>
      <x:c r="I28" s="724" t="str">
        <x:v>Copertura/ultimo slot: da prendere a 1-2 crediti.</x:v>
      </x:c>
    </x:row>
    <x:row r="30">
      <x:c r="A30" s="630" t="str">
        <x:v>Fonte formazione/ballottaggi/rigoristi: Fantacalcio.it, aggiornamento 09/09/2026 — https://www.fantacalcio.it/news/calcio-italia/06_08_2026/asta-fantacalcio-le-probabili-formazioni-della-serie-a-enilive-2026-27-495558</x:v>
      </x:c>
      <x:c r="B30" s="630"/>
      <x:c r="C30" s="630"/>
      <x:c r="D30" s="630"/>
      <x:c r="E30" s="630"/>
      <x:c r="F30" s="630"/>
      <x:c r="G30" s="630"/>
      <x:c r="H30" s="630"/>
      <x:c r="I30" s="630"/>
    </x:row>
  </x:sheetData>
  <x:mergeCells>
    <x:mergeCell ref="A1:I1"/>
    <x:mergeCell ref="B4:I4"/>
    <x:mergeCell ref="B5:I5"/>
    <x:mergeCell ref="D3:I3"/>
    <x:mergeCell ref="D6:I6"/>
    <x:mergeCell ref="A30:I30"/>
  </x:mergeCells>
  <x:conditionalFormatting sqref="D9:D28">
    <x:cfRule type="expression" dxfId="28" priority="1">
      <x:formula>D9="Titolare"</x:formula>
    </x:cfRule>
    <x:cfRule type="expression" dxfId="29" priority="2">
      <x:formula>ISNUMBER(SEARCH("Ballottaggio",D9))</x:formula>
    </x:cfRule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1" hidden="0" customWidth="1"/>
    <x:col min="3" max="3" width="18" hidden="0" customWidth="1"/>
    <x:col min="4" max="4" width="23" hidden="0" customWidth="1"/>
    <x:col min="5" max="5" width="11" hidden="0" customWidth="1"/>
    <x:col min="6" max="6" width="12" hidden="0" customWidth="1"/>
    <x:col min="7" max="7" width="24" hidden="0" customWidth="1"/>
    <x:col min="8" max="8" width="20" hidden="0" customWidth="1"/>
    <x:col min="9" max="9" width="48" hidden="0" customWidth="1"/>
  </x:cols>
  <x:sheetData>
    <x:row r="1" ht="30" customHeight="1">
      <x:c r="A1" s="642" t="str">
        <x:v>NAPOLI — GUIDA ASTA 2026/27</x:v>
      </x:c>
      <x:c r="B1" s="643"/>
      <x:c r="C1" s="643"/>
      <x:c r="D1" s="643"/>
      <x:c r="E1" s="643"/>
      <x:c r="F1" s="643"/>
      <x:c r="G1" s="643"/>
      <x:c r="H1" s="643"/>
      <x:c r="I1" s="644"/>
    </x:row>
    <x:row r="3">
      <x:c r="A3" s="663" t="str">
        <x:v>Allenatore</x:v>
      </x:c>
      <x:c r="B3" s="681" t="str">
        <x:v>Massimiliano Allegri</x:v>
      </x:c>
      <x:c r="C3" s="673" t="str">
        <x:v>Modulo</x:v>
      </x:c>
      <x:c r="D3" s="681" t="str">
        <x:v>4-3-3</x:v>
      </x:c>
      <x:c r="E3" s="681"/>
      <x:c r="F3" s="681"/>
      <x:c r="G3" s="681"/>
      <x:c r="H3" s="681"/>
      <x:c r="I3" s="682"/>
    </x:row>
    <x:row r="4" ht="38" customHeight="1">
      <x:c r="A4" s="664" t="str">
        <x:v>Formazione titolare</x:v>
      </x:c>
      <x:c r="B4" s="683" t="str">
        <x:v>Meret; Di Lorenzo, Rrahmani, Rafa Marin, Spinazzola; De Bruyne, Lobotka, McTominay; Politano, Hojlund, Alisson Santos</x:v>
      </x:c>
      <x:c r="C4" s="676" t="str"/>
      <x:c r="D4" s="683" t="str"/>
      <x:c r="E4" s="683"/>
      <x:c r="F4" s="683"/>
      <x:c r="G4" s="683"/>
      <x:c r="H4" s="683"/>
      <x:c r="I4" s="684"/>
    </x:row>
    <x:row r="5" ht="38" customHeight="1">
      <x:c r="A5" s="664" t="str">
        <x:v>Ballottaggi</x:v>
      </x:c>
      <x:c r="B5" s="683" t="str">
        <x:v>Marin/Badiashile; Spinazzola/Olivera; De Bruyne/Anguissa; Politano/Vergara; Alisson Santos/Neres</x:v>
      </x:c>
      <x:c r="C5" s="676" t="str"/>
      <x:c r="D5" s="683" t="str"/>
      <x:c r="E5" s="683"/>
      <x:c r="F5" s="683"/>
      <x:c r="G5" s="683"/>
      <x:c r="H5" s="683"/>
      <x:c r="I5" s="684"/>
    </x:row>
    <x:row r="6">
      <x:c r="A6" s="665" t="str">
        <x:v>Rigoristi</x:v>
      </x:c>
      <x:c r="B6" s="685" t="str">
        <x:v>De Bruyne, Hojlund, Politano</x:v>
      </x:c>
      <x:c r="C6" s="679" t="str">
        <x:v>Calci piazzati</x:v>
      </x:c>
      <x:c r="D6" s="685" t="str">
        <x:v>De Bruyne, Politano, Neres</x:v>
      </x:c>
      <x:c r="E6" s="685"/>
      <x:c r="F6" s="685"/>
      <x:c r="G6" s="685"/>
      <x:c r="H6" s="685"/>
      <x:c r="I6" s="686"/>
    </x:row>
    <x:row r="8" ht="30" customHeight="1">
      <x:c r="A8" s="698" t="str">
        <x:v>Ruolo</x:v>
      </x:c>
      <x:c r="B8" s="699" t="str">
        <x:v>Calciatore</x:v>
      </x:c>
      <x:c r="C8" s="699" t="str">
        <x:v>Posizione</x:v>
      </x:c>
      <x:c r="D8" s="699" t="str">
        <x:v>Status</x:v>
      </x:c>
      <x:c r="E8" s="699" t="str">
        <x:v>Quotazione</x:v>
      </x:c>
      <x:c r="F8" s="699" t="str">
        <x:v>FVM su 504</x:v>
      </x:c>
      <x:c r="G8" s="699" t="str">
        <x:v>Fascia asta</x:v>
      </x:c>
      <x:c r="H8" s="699" t="str">
        <x:v>Specialità</x:v>
      </x:c>
      <x:c r="I8" s="700" t="str">
        <x:v>Consiglio Fantacalcio</x:v>
      </x:c>
    </x:row>
    <x:row r="9">
      <x:c r="A9" s="707" t="str">
        <x:v>Portiere</x:v>
      </x:c>
      <x:c r="B9" s="708" t="str">
        <x:f>IF((COUNTIF(Asta!$B$4:$B$47,"Meret")+COUNTIF(Asta!$D$4:$D$47,"Meret")+COUNTIF(Asta!$F$4:$F$47,"Meret")+COUNTIF(Asta!$H$4:$H$47,"Meret")+COUNTIF(Asta!$J$4:$J$47,"Meret")+COUNTIF(Asta!$L$4:$L$47,"Meret")+COUNTIF(Asta!$N$4:$N$47,"Meret")+COUNTIF(Asta!$P$4:$P$47,"Meret")+COUNTIF(Asta!$R$4:$R$47,"Meret")+COUNTIF(Asta!$T$4:$T$47,"Meret"))&gt;0,REGEXREPLACE("Meret","(.)","$1"&amp;UNICHAR(822)),"Meret")</x:f>
        <x:v>Meret</x:v>
      </x:c>
      <x:c r="C9" s="708" t="str">
        <x:v>Por</x:v>
      </x:c>
      <x:c r="D9" s="708" t="str">
        <x:v>Titolare</x:v>
      </x:c>
      <x:c r="E9" s="708" t="n">
        <x:v>11</x:v>
      </x:c>
      <x:c r="F9" s="708" t="n">
        <x:v>23</x:v>
      </x:c>
      <x:c r="G9" s="708" t="str">
        <x:v>Buon titolare</x:v>
      </x:c>
      <x:c r="H9" s="708" t="str"/>
      <x:c r="I9" s="709" t="str">
        <x:v>Portiere da prendere come titolare di reparto; profilo affidabile per continuità.</x:v>
      </x:c>
    </x:row>
    <x:row r="10">
      <x:c r="A10" s="710" t="str">
        <x:v>Portiere</x:v>
      </x:c>
      <x:c r="B10" s="711" t="str">
        <x:f>IF((COUNTIF(Asta!$B$4:$B$47,"Milinkovic-Savic V.")+COUNTIF(Asta!$D$4:$D$47,"Milinkovic-Savic V.")+COUNTIF(Asta!$F$4:$F$47,"Milinkovic-Savic V.")+COUNTIF(Asta!$H$4:$H$47,"Milinkovic-Savic V.")+COUNTIF(Asta!$J$4:$J$47,"Milinkovic-Savic V.")+COUNTIF(Asta!$L$4:$L$47,"Milinkovic-Savic V.")+COUNTIF(Asta!$N$4:$N$47,"Milinkovic-Savic V.")+COUNTIF(Asta!$P$4:$P$47,"Milinkovic-Savic V.")+COUNTIF(Asta!$R$4:$R$47,"Milinkovic-Savic V.")+COUNTIF(Asta!$T$4:$T$47,"Milinkovic-Savic V."))&gt;0,REGEXREPLACE("Milinkovic-Savic V.","(.)","$1"&amp;UNICHAR(822)),"Milinkovic-Savic V.")</x:f>
        <x:v>Milinkovic-Savic V.</x:v>
      </x:c>
      <x:c r="C10" s="711" t="str">
        <x:v>Por</x:v>
      </x:c>
      <x:c r="D10" s="711" t="str">
        <x:v>Riserva / rotazione</x:v>
      </x:c>
      <x:c r="E10" s="711" t="n">
        <x:v>5</x:v>
      </x:c>
      <x:c r="F10" s="711" t="n">
        <x:v>5</x:v>
      </x:c>
      <x:c r="G10" s="711" t="str">
        <x:v>Scommessa</x:v>
      </x:c>
      <x:c r="H10" s="711" t="str"/>
      <x:c r="I10" s="712" t="str">
        <x:v>Solo come secondo/terzo portiere o copertura del titolare.</x:v>
      </x:c>
    </x:row>
    <x:row r="11">
      <x:c r="A11" s="710" t="str">
        <x:v>Portiere</x:v>
      </x:c>
      <x:c r="B11" s="711" t="str">
        <x:f>IF((COUNTIF(Asta!$B$4:$B$47,"Contini")+COUNTIF(Asta!$D$4:$D$47,"Contini")+COUNTIF(Asta!$F$4:$F$47,"Contini")+COUNTIF(Asta!$H$4:$H$47,"Contini")+COUNTIF(Asta!$J$4:$J$47,"Contini")+COUNTIF(Asta!$L$4:$L$47,"Contini")+COUNTIF(Asta!$N$4:$N$47,"Contini")+COUNTIF(Asta!$P$4:$P$47,"Contini")+COUNTIF(Asta!$R$4:$R$47,"Contini")+COUNTIF(Asta!$T$4:$T$47,"Contini"))&gt;0,REGEXREPLACE("Contini","(.)","$1"&amp;UNICHAR(822)),"Contini")</x:f>
        <x:v>Contini</x:v>
      </x:c>
      <x:c r="C11" s="711" t="str">
        <x:v>Por</x:v>
      </x:c>
      <x:c r="D11" s="711" t="str">
        <x:v>Riserva / rotazione</x:v>
      </x:c>
      <x:c r="E11" s="711" t="n">
        <x:v>1</x:v>
      </x:c>
      <x:c r="F11" s="711" t="n">
        <x:v>1</x:v>
      </x:c>
      <x:c r="G11" s="711" t="str">
        <x:v>Copertura</x:v>
      </x:c>
      <x:c r="H11" s="711" t="str"/>
      <x:c r="I11" s="712" t="str">
        <x:v>Solo come secondo/terzo portiere o copertura del titolare.</x:v>
      </x:c>
    </x:row>
    <x:row r="12">
      <x:c r="A12" s="713" t="str">
        <x:v>Difensore</x:v>
      </x:c>
      <x:c r="B12" s="714" t="str">
        <x:f>IF((COUNTIF(Asta!$B$4:$B$47,"Rrahmani")+COUNTIF(Asta!$D$4:$D$47,"Rrahmani")+COUNTIF(Asta!$F$4:$F$47,"Rrahmani")+COUNTIF(Asta!$H$4:$H$47,"Rrahmani")+COUNTIF(Asta!$J$4:$J$47,"Rrahmani")+COUNTIF(Asta!$L$4:$L$47,"Rrahmani")+COUNTIF(Asta!$N$4:$N$47,"Rrahmani")+COUNTIF(Asta!$P$4:$P$47,"Rrahmani")+COUNTIF(Asta!$R$4:$R$47,"Rrahmani")+COUNTIF(Asta!$T$4:$T$47,"Rrahmani"))&gt;0,REGEXREPLACE("Rrahmani","(.)","$1"&amp;UNICHAR(822)),"Rrahmani")</x:f>
        <x:v>Rrahmani</x:v>
      </x:c>
      <x:c r="C12" s="714" t="str">
        <x:v>Dc</x:v>
      </x:c>
      <x:c r="D12" s="714" t="str">
        <x:v>Titolare</x:v>
      </x:c>
      <x:c r="E12" s="714" t="n">
        <x:v>14</x:v>
      </x:c>
      <x:c r="F12" s="714" t="n">
        <x:v>24</x:v>
      </x:c>
      <x:c r="G12" s="714" t="str">
        <x:v>Buon titolare</x:v>
      </x:c>
      <x:c r="H12" s="714" t="str"/>
      <x:c r="I12" s="715" t="str">
        <x:v>Buon titolare di rosa, da prendere senza inseguire troppo il prezzo.</x:v>
      </x:c>
    </x:row>
    <x:row r="13">
      <x:c r="A13" s="713" t="str">
        <x:v>Difensore</x:v>
      </x:c>
      <x:c r="B13" s="714" t="str">
        <x:f>IF((COUNTIF(Asta!$B$4:$B$47,"Di Lorenzo")+COUNTIF(Asta!$D$4:$D$47,"Di Lorenzo")+COUNTIF(Asta!$F$4:$F$47,"Di Lorenzo")+COUNTIF(Asta!$H$4:$H$47,"Di Lorenzo")+COUNTIF(Asta!$J$4:$J$47,"Di Lorenzo")+COUNTIF(Asta!$L$4:$L$47,"Di Lorenzo")+COUNTIF(Asta!$N$4:$N$47,"Di Lorenzo")+COUNTIF(Asta!$P$4:$P$47,"Di Lorenzo")+COUNTIF(Asta!$R$4:$R$47,"Di Lorenzo")+COUNTIF(Asta!$T$4:$T$47,"Di Lorenzo"))&gt;0,REGEXREPLACE("Di Lorenzo","(.)","$1"&amp;UNICHAR(822)),"Di Lorenzo")</x:f>
        <x:v>Di Lorenzo</x:v>
      </x:c>
      <x:c r="C13" s="714" t="str">
        <x:v>Dd;E</x:v>
      </x:c>
      <x:c r="D13" s="714" t="str">
        <x:v>Titolare</x:v>
      </x:c>
      <x:c r="E13" s="714" t="n">
        <x:v>12</x:v>
      </x:c>
      <x:c r="F13" s="714" t="n">
        <x:v>20</x:v>
      </x:c>
      <x:c r="G13" s="714" t="str">
        <x:v>Utile</x:v>
      </x:c>
      <x:c r="H13" s="714" t="str"/>
      <x:c r="I13" s="715" t="str">
        <x:v>Profilo utile per minutaggio e rotazioni; buon rapporto costo/titolarità.</x:v>
      </x:c>
    </x:row>
    <x:row r="14">
      <x:c r="A14" s="713" t="str">
        <x:v>Difensore</x:v>
      </x:c>
      <x:c r="B14" s="714" t="str">
        <x:f>IF((COUNTIF(Asta!$B$4:$B$47,"Gutierrez")+COUNTIF(Asta!$D$4:$D$47,"Gutierrez")+COUNTIF(Asta!$F$4:$F$47,"Gutierrez")+COUNTIF(Asta!$H$4:$H$47,"Gutierrez")+COUNTIF(Asta!$J$4:$J$47,"Gutierrez")+COUNTIF(Asta!$L$4:$L$47,"Gutierrez")+COUNTIF(Asta!$N$4:$N$47,"Gutierrez")+COUNTIF(Asta!$P$4:$P$47,"Gutierrez")+COUNTIF(Asta!$R$4:$R$47,"Gutierrez")+COUNTIF(Asta!$T$4:$T$47,"Gutierrez"))&gt;0,REGEXREPLACE("Gutierrez","(.)","$1"&amp;UNICHAR(822)),"Gutierrez")</x:f>
        <x:v>Gutierrez</x:v>
      </x:c>
      <x:c r="C14" s="714" t="str">
        <x:v>Ds;E</x:v>
      </x:c>
      <x:c r="D14" s="714" t="str">
        <x:v>Riserva / rotazione</x:v>
      </x:c>
      <x:c r="E14" s="714" t="n">
        <x:v>8</x:v>
      </x:c>
      <x:c r="F14" s="714" t="n">
        <x:v>13</x:v>
      </x:c>
      <x:c r="G14" s="714" t="str">
        <x:v>Utile</x:v>
      </x:c>
      <x:c r="H14" s="714" t="str"/>
      <x:c r="I14" s="715" t="str">
        <x:v>Scommessa da ultimi slot, senza sovrapprezzo.</x:v>
      </x:c>
    </x:row>
    <x:row r="15">
      <x:c r="A15" s="713" t="str">
        <x:v>Difensore</x:v>
      </x:c>
      <x:c r="B15" s="714" t="str">
        <x:f>IF((COUNTIF(Asta!$B$4:$B$47,"Spinazzola")+COUNTIF(Asta!$D$4:$D$47,"Spinazzola")+COUNTIF(Asta!$F$4:$F$47,"Spinazzola")+COUNTIF(Asta!$H$4:$H$47,"Spinazzola")+COUNTIF(Asta!$J$4:$J$47,"Spinazzola")+COUNTIF(Asta!$L$4:$L$47,"Spinazzola")+COUNTIF(Asta!$N$4:$N$47,"Spinazzola")+COUNTIF(Asta!$P$4:$P$47,"Spinazzola")+COUNTIF(Asta!$R$4:$R$47,"Spinazzola")+COUNTIF(Asta!$T$4:$T$47,"Spinazzola"))&gt;0,REGEXREPLACE("Spinazzola","(.)","$1"&amp;UNICHAR(822)),"Spinazzola")</x:f>
        <x:v>Spinazzola</x:v>
      </x:c>
      <x:c r="C15" s="714" t="str">
        <x:v>Ds;E</x:v>
      </x:c>
      <x:c r="D15" s="714" t="str">
        <x:v>Titolare / ballottaggio</x:v>
      </x:c>
      <x:c r="E15" s="714" t="n">
        <x:v>8</x:v>
      </x:c>
      <x:c r="F15" s="714" t="n">
        <x:v>12</x:v>
      </x:c>
      <x:c r="G15" s="714" t="str">
        <x:v>Utile</x:v>
      </x:c>
      <x:c r="H15" s="714" t="str"/>
      <x:c r="I15" s="715" t="str">
        <x:v>Scommessa con upside: prendilo a prezzo controllato.</x:v>
      </x:c>
    </x:row>
    <x:row r="16">
      <x:c r="A16" s="713" t="str">
        <x:v>Difensore</x:v>
      </x:c>
      <x:c r="B16" s="714" t="str">
        <x:f>IF((COUNTIF(Asta!$B$4:$B$47,"Buongiorno")+COUNTIF(Asta!$D$4:$D$47,"Buongiorno")+COUNTIF(Asta!$F$4:$F$47,"Buongiorno")+COUNTIF(Asta!$H$4:$H$47,"Buongiorno")+COUNTIF(Asta!$J$4:$J$47,"Buongiorno")+COUNTIF(Asta!$L$4:$L$47,"Buongiorno")+COUNTIF(Asta!$N$4:$N$47,"Buongiorno")+COUNTIF(Asta!$P$4:$P$47,"Buongiorno")+COUNTIF(Asta!$R$4:$R$47,"Buongiorno")+COUNTIF(Asta!$T$4:$T$47,"Buongiorno"))&gt;0,REGEXREPLACE("Buongiorno","(.)","$1"&amp;UNICHAR(822)),"Buongiorno")</x:f>
        <x:v>Buongiorno</x:v>
      </x:c>
      <x:c r="C16" s="714" t="str">
        <x:v>Dc</x:v>
      </x:c>
      <x:c r="D16" s="714" t="str">
        <x:v>Riserva / rotazione</x:v>
      </x:c>
      <x:c r="E16" s="714" t="n">
        <x:v>7</x:v>
      </x:c>
      <x:c r="F16" s="714" t="n">
        <x:v>9</x:v>
      </x:c>
      <x:c r="G16" s="714" t="str">
        <x:v>Scommessa</x:v>
      </x:c>
      <x:c r="H16" s="714" t="str"/>
      <x:c r="I16" s="715" t="str">
        <x:v>Scommessa da ultimi slot, senza sovrapprezzo.</x:v>
      </x:c>
    </x:row>
    <x:row r="17">
      <x:c r="A17" s="713" t="str">
        <x:v>Difensore</x:v>
      </x:c>
      <x:c r="B17" s="714" t="str">
        <x:f>IF((COUNTIF(Asta!$B$4:$B$47,"Beukema")+COUNTIF(Asta!$D$4:$D$47,"Beukema")+COUNTIF(Asta!$F$4:$F$47,"Beukema")+COUNTIF(Asta!$H$4:$H$47,"Beukema")+COUNTIF(Asta!$J$4:$J$47,"Beukema")+COUNTIF(Asta!$L$4:$L$47,"Beukema")+COUNTIF(Asta!$N$4:$N$47,"Beukema")+COUNTIF(Asta!$P$4:$P$47,"Beukema")+COUNTIF(Asta!$R$4:$R$47,"Beukema")+COUNTIF(Asta!$T$4:$T$47,"Beukema"))&gt;0,REGEXREPLACE("Beukema","(.)","$1"&amp;UNICHAR(822)),"Beukema")</x:f>
        <x:v>Beukema</x:v>
      </x:c>
      <x:c r="C17" s="714" t="str">
        <x:v>Dc</x:v>
      </x:c>
      <x:c r="D17" s="714" t="str">
        <x:v>Riserva / rotazione</x:v>
      </x:c>
      <x:c r="E17" s="714" t="n">
        <x:v>6</x:v>
      </x:c>
      <x:c r="F17" s="714" t="n">
        <x:v>8</x:v>
      </x:c>
      <x:c r="G17" s="714" t="str">
        <x:v>Scommessa</x:v>
      </x:c>
      <x:c r="H17" s="714" t="str"/>
      <x:c r="I17" s="715" t="str">
        <x:v>Scommessa da ultimi slot, senza sovrapprezzo.</x:v>
      </x:c>
    </x:row>
    <x:row r="18">
      <x:c r="A18" s="713" t="str">
        <x:v>Difensore</x:v>
      </x:c>
      <x:c r="B18" s="714" t="str">
        <x:f>IF((COUNTIF(Asta!$B$4:$B$47,"Olivera")+COUNTIF(Asta!$D$4:$D$47,"Olivera")+COUNTIF(Asta!$F$4:$F$47,"Olivera")+COUNTIF(Asta!$H$4:$H$47,"Olivera")+COUNTIF(Asta!$J$4:$J$47,"Olivera")+COUNTIF(Asta!$L$4:$L$47,"Olivera")+COUNTIF(Asta!$N$4:$N$47,"Olivera")+COUNTIF(Asta!$P$4:$P$47,"Olivera")+COUNTIF(Asta!$R$4:$R$47,"Olivera")+COUNTIF(Asta!$T$4:$T$47,"Olivera"))&gt;0,REGEXREPLACE("Olivera","(.)","$1"&amp;UNICHAR(822)),"Olivera")</x:f>
        <x:v>Olivera</x:v>
      </x:c>
      <x:c r="C18" s="714" t="str">
        <x:v>B;Ds;E</x:v>
      </x:c>
      <x:c r="D18" s="714" t="str">
        <x:v>Ballottaggio</x:v>
      </x:c>
      <x:c r="E18" s="714" t="n">
        <x:v>5</x:v>
      </x:c>
      <x:c r="F18" s="714" t="n">
        <x:v>7</x:v>
      </x:c>
      <x:c r="G18" s="714" t="str">
        <x:v>Scommessa</x:v>
      </x:c>
      <x:c r="H18" s="714" t="str"/>
      <x:c r="I18" s="715" t="str">
        <x:v>Solo a pochi crediti: minutaggio non garantito.</x:v>
      </x:c>
    </x:row>
    <x:row r="19">
      <x:c r="A19" s="713" t="str">
        <x:v>Difensore</x:v>
      </x:c>
      <x:c r="B19" s="714" t="str">
        <x:f>IF((COUNTIF(Asta!$B$4:$B$47,"Marin R.")+COUNTIF(Asta!$D$4:$D$47,"Marin R.")+COUNTIF(Asta!$F$4:$F$47,"Marin R.")+COUNTIF(Asta!$H$4:$H$47,"Marin R.")+COUNTIF(Asta!$J$4:$J$47,"Marin R.")+COUNTIF(Asta!$L$4:$L$47,"Marin R.")+COUNTIF(Asta!$N$4:$N$47,"Marin R.")+COUNTIF(Asta!$P$4:$P$47,"Marin R.")+COUNTIF(Asta!$R$4:$R$47,"Marin R.")+COUNTIF(Asta!$T$4:$T$47,"Marin R."))&gt;0,REGEXREPLACE("Marin R.","(.)","$1"&amp;UNICHAR(822)),"Marin R.")</x:f>
        <x:v>Marin R.</x:v>
      </x:c>
      <x:c r="C19" s="714" t="str">
        <x:v>Dc</x:v>
      </x:c>
      <x:c r="D19" s="714" t="str">
        <x:v>Titolare / ballottaggio</x:v>
      </x:c>
      <x:c r="E19" s="714" t="n">
        <x:v>2</x:v>
      </x:c>
      <x:c r="F19" s="714" t="n">
        <x:v>3</x:v>
      </x:c>
      <x:c r="G19" s="714" t="str">
        <x:v>Copertura</x:v>
      </x:c>
      <x:c r="H19" s="714" t="str"/>
      <x:c r="I19" s="715" t="str">
        <x:v>Solo a pochi crediti: minutaggio non garantito.</x:v>
      </x:c>
    </x:row>
    <x:row r="20">
      <x:c r="A20" s="713" t="str">
        <x:v>Difensore</x:v>
      </x:c>
      <x:c r="B20" s="714" t="str">
        <x:f>IF((COUNTIF(Asta!$B$4:$B$47,"Marianucci")+COUNTIF(Asta!$D$4:$D$47,"Marianucci")+COUNTIF(Asta!$F$4:$F$47,"Marianucci")+COUNTIF(Asta!$H$4:$H$47,"Marianucci")+COUNTIF(Asta!$J$4:$J$47,"Marianucci")+COUNTIF(Asta!$L$4:$L$47,"Marianucci")+COUNTIF(Asta!$N$4:$N$47,"Marianucci")+COUNTIF(Asta!$P$4:$P$47,"Marianucci")+COUNTIF(Asta!$R$4:$R$47,"Marianucci")+COUNTIF(Asta!$T$4:$T$47,"Marianucci"))&gt;0,REGEXREPLACE("Marianucci","(.)","$1"&amp;UNICHAR(822)),"Marianucci")</x:f>
        <x:v>Marianucci</x:v>
      </x:c>
      <x:c r="C20" s="714" t="str">
        <x:v>Dc</x:v>
      </x:c>
      <x:c r="D20" s="714" t="str">
        <x:v>Riserva / rotazione</x:v>
      </x:c>
      <x:c r="E20" s="714" t="n">
        <x:v>1</x:v>
      </x:c>
      <x:c r="F20" s="714" t="n">
        <x:v>3</x:v>
      </x:c>
      <x:c r="G20" s="714" t="str">
        <x:v>Copertura</x:v>
      </x:c>
      <x:c r="H20" s="714" t="str"/>
      <x:c r="I20" s="715" t="str">
        <x:v>Copertura/ultimo slot: da prendere a 1-2 crediti.</x:v>
      </x:c>
    </x:row>
    <x:row r="21">
      <x:c r="A21" s="713" t="str">
        <x:v>Difensore</x:v>
      </x:c>
      <x:c r="B21" s="714" t="str">
        <x:f>IF((COUNTIF(Asta!$B$4:$B$47,"Mazzocchi")+COUNTIF(Asta!$D$4:$D$47,"Mazzocchi")+COUNTIF(Asta!$F$4:$F$47,"Mazzocchi")+COUNTIF(Asta!$H$4:$H$47,"Mazzocchi")+COUNTIF(Asta!$J$4:$J$47,"Mazzocchi")+COUNTIF(Asta!$L$4:$L$47,"Mazzocchi")+COUNTIF(Asta!$N$4:$N$47,"Mazzocchi")+COUNTIF(Asta!$P$4:$P$47,"Mazzocchi")+COUNTIF(Asta!$R$4:$R$47,"Mazzocchi")+COUNTIF(Asta!$T$4:$T$47,"Mazzocchi"))&gt;0,REGEXREPLACE("Mazzocchi","(.)","$1"&amp;UNICHAR(822)),"Mazzocchi")</x:f>
        <x:v>Mazzocchi</x:v>
      </x:c>
      <x:c r="C21" s="714" t="str">
        <x:v>Dd;Ds;E</x:v>
      </x:c>
      <x:c r="D21" s="714" t="str">
        <x:v>Riserva / rotazione</x:v>
      </x:c>
      <x:c r="E21" s="714" t="n">
        <x:v>1</x:v>
      </x:c>
      <x:c r="F21" s="714" t="n">
        <x:v>2</x:v>
      </x:c>
      <x:c r="G21" s="714" t="str">
        <x:v>Copertura</x:v>
      </x:c>
      <x:c r="H21" s="714" t="str"/>
      <x:c r="I21" s="715" t="str">
        <x:v>Copertura/ultimo slot: da prendere a 1-2 crediti.</x:v>
      </x:c>
    </x:row>
    <x:row r="22">
      <x:c r="A22" s="716" t="str">
        <x:v>Centrocampista</x:v>
      </x:c>
      <x:c r="B22" s="717" t="str">
        <x:f>IF((COUNTIF(Asta!$B$4:$B$47,"McTominay")+COUNTIF(Asta!$D$4:$D$47,"McTominay")+COUNTIF(Asta!$F$4:$F$47,"McTominay")+COUNTIF(Asta!$H$4:$H$47,"McTominay")+COUNTIF(Asta!$J$4:$J$47,"McTominay")+COUNTIF(Asta!$L$4:$L$47,"McTominay")+COUNTIF(Asta!$N$4:$N$47,"McTominay")+COUNTIF(Asta!$P$4:$P$47,"McTominay")+COUNTIF(Asta!$R$4:$R$47,"McTominay")+COUNTIF(Asta!$T$4:$T$47,"McTominay"))&gt;0,REGEXREPLACE("McTominay","(.)","$1"&amp;UNICHAR(822)),"McTominay")</x:f>
        <x:v>McTominay</x:v>
      </x:c>
      <x:c r="C22" s="717" t="str">
        <x:v>C;T</x:v>
      </x:c>
      <x:c r="D22" s="717" t="str">
        <x:v>Titolare</x:v>
      </x:c>
      <x:c r="E22" s="717" t="n">
        <x:v>28</x:v>
      </x:c>
      <x:c r="F22" s="717" t="n">
        <x:v>121</x:v>
      </x:c>
      <x:c r="G22" s="717" t="str">
        <x:v>Top</x:v>
      </x:c>
      <x:c r="H22" s="717" t="str"/>
      <x:c r="I22" s="718" t="str">
        <x:v>Da puntare: titolarità e alto potenziale fantacalcistico.</x:v>
      </x:c>
    </x:row>
    <x:row r="23">
      <x:c r="A23" s="716" t="str">
        <x:v>Centrocampista</x:v>
      </x:c>
      <x:c r="B23" s="717" t="str">
        <x:f>IF((COUNTIF(Asta!$B$4:$B$47,"De Bruyne")+COUNTIF(Asta!$D$4:$D$47,"De Bruyne")+COUNTIF(Asta!$F$4:$F$47,"De Bruyne")+COUNTIF(Asta!$H$4:$H$47,"De Bruyne")+COUNTIF(Asta!$J$4:$J$47,"De Bruyne")+COUNTIF(Asta!$L$4:$L$47,"De Bruyne")+COUNTIF(Asta!$N$4:$N$47,"De Bruyne")+COUNTIF(Asta!$P$4:$P$47,"De Bruyne")+COUNTIF(Asta!$R$4:$R$47,"De Bruyne")+COUNTIF(Asta!$T$4:$T$47,"De Bruyne"))&gt;0,REGEXREPLACE("De Bruyne","(.)","$1"&amp;UNICHAR(822)),"De Bruyne")</x:f>
        <x:v>De Bruyne</x:v>
      </x:c>
      <x:c r="C23" s="717" t="str">
        <x:v>T</x:v>
      </x:c>
      <x:c r="D23" s="717" t="str">
        <x:v>Titolare / ballottaggio</x:v>
      </x:c>
      <x:c r="E23" s="717" t="n">
        <x:v>15</x:v>
      </x:c>
      <x:c r="F23" s="717" t="n">
        <x:v>50</x:v>
      </x:c>
      <x:c r="G23" s="717" t="str">
        <x:v>Premium</x:v>
      </x:c>
      <x:c r="H23" s="717" t="str">
        <x:v>Rigorista · Piazzati</x:v>
      </x:c>
      <x:c r="I23" s="718" t="str">
        <x:v>Interessante per bonus, ma non pagarlo come titolare fisso. Plus importante: è indicato tra i rigoristi.</x:v>
      </x:c>
    </x:row>
    <x:row r="24">
      <x:c r="A24" s="716" t="str">
        <x:v>Centrocampista</x:v>
      </x:c>
      <x:c r="B24" s="717" t="str">
        <x:f>IF((COUNTIF(Asta!$B$4:$B$47,"Zambo Anguissa")+COUNTIF(Asta!$D$4:$D$47,"Zambo Anguissa")+COUNTIF(Asta!$F$4:$F$47,"Zambo Anguissa")+COUNTIF(Asta!$H$4:$H$47,"Zambo Anguissa")+COUNTIF(Asta!$J$4:$J$47,"Zambo Anguissa")+COUNTIF(Asta!$L$4:$L$47,"Zambo Anguissa")+COUNTIF(Asta!$N$4:$N$47,"Zambo Anguissa")+COUNTIF(Asta!$P$4:$P$47,"Zambo Anguissa")+COUNTIF(Asta!$R$4:$R$47,"Zambo Anguissa")+COUNTIF(Asta!$T$4:$T$47,"Zambo Anguissa"))&gt;0,REGEXREPLACE("Zambo Anguissa","(.)","$1"&amp;UNICHAR(822)),"Zambo Anguissa")</x:f>
        <x:v>Zambo Anguissa</x:v>
      </x:c>
      <x:c r="C24" s="717" t="str">
        <x:v>C</x:v>
      </x:c>
      <x:c r="D24" s="717" t="str">
        <x:v>Ballottaggio</x:v>
      </x:c>
      <x:c r="E24" s="717" t="n">
        <x:v>11</x:v>
      </x:c>
      <x:c r="F24" s="717" t="n">
        <x:v>28</x:v>
      </x:c>
      <x:c r="G24" s="717" t="str">
        <x:v>Buon titolare</x:v>
      </x:c>
      <x:c r="H24" s="717" t="str"/>
      <x:c r="I24" s="718" t="str">
        <x:v>Interessante per bonus, ma non pagarlo come titolare fisso.</x:v>
      </x:c>
    </x:row>
    <x:row r="25">
      <x:c r="A25" s="716" t="str">
        <x:v>Centrocampista</x:v>
      </x:c>
      <x:c r="B25" s="717" t="str">
        <x:f>IF((COUNTIF(Asta!$B$4:$B$47,"Politano")+COUNTIF(Asta!$D$4:$D$47,"Politano")+COUNTIF(Asta!$F$4:$F$47,"Politano")+COUNTIF(Asta!$H$4:$H$47,"Politano")+COUNTIF(Asta!$J$4:$J$47,"Politano")+COUNTIF(Asta!$L$4:$L$47,"Politano")+COUNTIF(Asta!$N$4:$N$47,"Politano")+COUNTIF(Asta!$P$4:$P$47,"Politano")+COUNTIF(Asta!$R$4:$R$47,"Politano")+COUNTIF(Asta!$T$4:$T$47,"Politano"))&gt;0,REGEXREPLACE("Politano","(.)","$1"&amp;UNICHAR(822)),"Politano")</x:f>
        <x:v>Politano</x:v>
      </x:c>
      <x:c r="C25" s="717" t="str">
        <x:v>W</x:v>
      </x:c>
      <x:c r="D25" s="717" t="str">
        <x:v>Titolare / ballottaggio</x:v>
      </x:c>
      <x:c r="E25" s="717" t="n">
        <x:v>10</x:v>
      </x:c>
      <x:c r="F25" s="717" t="n">
        <x:v>24</x:v>
      </x:c>
      <x:c r="G25" s="717" t="str">
        <x:v>Buon titolare</x:v>
      </x:c>
      <x:c r="H25" s="717" t="str">
        <x:v>Rigorista · Piazzati</x:v>
      </x:c>
      <x:c r="I25" s="718" t="str">
        <x:v>Interessante per bonus, ma non pagarlo come titolare fisso. Plus importante: è indicato tra i rigoristi.</x:v>
      </x:c>
    </x:row>
    <x:row r="26">
      <x:c r="A26" s="716" t="str">
        <x:v>Centrocampista</x:v>
      </x:c>
      <x:c r="B26" s="717" t="str">
        <x:f>IF((COUNTIF(Asta!$B$4:$B$47,"Vergara")+COUNTIF(Asta!$D$4:$D$47,"Vergara")+COUNTIF(Asta!$F$4:$F$47,"Vergara")+COUNTIF(Asta!$H$4:$H$47,"Vergara")+COUNTIF(Asta!$J$4:$J$47,"Vergara")+COUNTIF(Asta!$L$4:$L$47,"Vergara")+COUNTIF(Asta!$N$4:$N$47,"Vergara")+COUNTIF(Asta!$P$4:$P$47,"Vergara")+COUNTIF(Asta!$R$4:$R$47,"Vergara")+COUNTIF(Asta!$T$4:$T$47,"Vergara"))&gt;0,REGEXREPLACE("Vergara","(.)","$1"&amp;UNICHAR(822)),"Vergara")</x:f>
        <x:v>Vergara</x:v>
      </x:c>
      <x:c r="C26" s="717" t="str">
        <x:v>W;T</x:v>
      </x:c>
      <x:c r="D26" s="717" t="str">
        <x:v>Ballottaggio</x:v>
      </x:c>
      <x:c r="E26" s="717" t="n">
        <x:v>8</x:v>
      </x:c>
      <x:c r="F26" s="717" t="n">
        <x:v>17</x:v>
      </x:c>
      <x:c r="G26" s="717" t="str">
        <x:v>Utile</x:v>
      </x:c>
      <x:c r="H26" s="717" t="str"/>
      <x:c r="I26" s="718" t="str">
        <x:v>Scommessa con upside: prendilo a prezzo controllato.</x:v>
      </x:c>
    </x:row>
    <x:row r="27">
      <x:c r="A27" s="716" t="str">
        <x:v>Centrocampista</x:v>
      </x:c>
      <x:c r="B27" s="717" t="str">
        <x:f>IF((COUNTIF(Asta!$B$4:$B$47,"Lobotka")+COUNTIF(Asta!$D$4:$D$47,"Lobotka")+COUNTIF(Asta!$F$4:$F$47,"Lobotka")+COUNTIF(Asta!$H$4:$H$47,"Lobotka")+COUNTIF(Asta!$J$4:$J$47,"Lobotka")+COUNTIF(Asta!$L$4:$L$47,"Lobotka")+COUNTIF(Asta!$N$4:$N$47,"Lobotka")+COUNTIF(Asta!$P$4:$P$47,"Lobotka")+COUNTIF(Asta!$R$4:$R$47,"Lobotka")+COUNTIF(Asta!$T$4:$T$47,"Lobotka"))&gt;0,REGEXREPLACE("Lobotka","(.)","$1"&amp;UNICHAR(822)),"Lobotka")</x:f>
        <x:v>Lobotka</x:v>
      </x:c>
      <x:c r="C27" s="717" t="str">
        <x:v>M;C</x:v>
      </x:c>
      <x:c r="D27" s="717" t="str">
        <x:v>Titolare</x:v>
      </x:c>
      <x:c r="E27" s="717" t="n">
        <x:v>7</x:v>
      </x:c>
      <x:c r="F27" s="717" t="n">
        <x:v>10</x:v>
      </x:c>
      <x:c r="G27" s="717" t="str">
        <x:v>Utile</x:v>
      </x:c>
      <x:c r="H27" s="717" t="str"/>
      <x:c r="I27" s="718" t="str">
        <x:v>Profilo utile per minutaggio e rotazioni; buon rapporto costo/titolarità.</x:v>
      </x:c>
    </x:row>
    <x:row r="28">
      <x:c r="A28" s="716" t="str">
        <x:v>Centrocampista</x:v>
      </x:c>
      <x:c r="B28" s="717" t="str">
        <x:f>IF((COUNTIF(Asta!$B$4:$B$47,"Folorunsho")+COUNTIF(Asta!$D$4:$D$47,"Folorunsho")+COUNTIF(Asta!$F$4:$F$47,"Folorunsho")+COUNTIF(Asta!$H$4:$H$47,"Folorunsho")+COUNTIF(Asta!$J$4:$J$47,"Folorunsho")+COUNTIF(Asta!$L$4:$L$47,"Folorunsho")+COUNTIF(Asta!$N$4:$N$47,"Folorunsho")+COUNTIF(Asta!$P$4:$P$47,"Folorunsho")+COUNTIF(Asta!$R$4:$R$47,"Folorunsho")+COUNTIF(Asta!$T$4:$T$47,"Folorunsho"))&gt;0,REGEXREPLACE("Folorunsho","(.)","$1"&amp;UNICHAR(822)),"Folorunsho")</x:f>
        <x:v>Folorunsho</x:v>
      </x:c>
      <x:c r="C28" s="717" t="str">
        <x:v>C;T</x:v>
      </x:c>
      <x:c r="D28" s="717" t="str">
        <x:v>Riserva / rotazione</x:v>
      </x:c>
      <x:c r="E28" s="717" t="n">
        <x:v>4</x:v>
      </x:c>
      <x:c r="F28" s="717" t="n">
        <x:v>5</x:v>
      </x:c>
      <x:c r="G28" s="717" t="str">
        <x:v>Scommessa</x:v>
      </x:c>
      <x:c r="H28" s="717" t="str"/>
      <x:c r="I28" s="718" t="str">
        <x:v>Copertura/ultimo slot: da prendere a 1-2 crediti.</x:v>
      </x:c>
    </x:row>
    <x:row r="29">
      <x:c r="A29" s="716" t="str">
        <x:v>Centrocampista</x:v>
      </x:c>
      <x:c r="B29" s="717" t="str">
        <x:f>IF((COUNTIF(Asta!$B$4:$B$47,"Gilmour")+COUNTIF(Asta!$D$4:$D$47,"Gilmour")+COUNTIF(Asta!$F$4:$F$47,"Gilmour")+COUNTIF(Asta!$H$4:$H$47,"Gilmour")+COUNTIF(Asta!$J$4:$J$47,"Gilmour")+COUNTIF(Asta!$L$4:$L$47,"Gilmour")+COUNTIF(Asta!$N$4:$N$47,"Gilmour")+COUNTIF(Asta!$P$4:$P$47,"Gilmour")+COUNTIF(Asta!$R$4:$R$47,"Gilmour")+COUNTIF(Asta!$T$4:$T$47,"Gilmour"))&gt;0,REGEXREPLACE("Gilmour","(.)","$1"&amp;UNICHAR(822)),"Gilmour")</x:f>
        <x:v>Gilmour</x:v>
      </x:c>
      <x:c r="C29" s="717" t="str">
        <x:v>M;C</x:v>
      </x:c>
      <x:c r="D29" s="717" t="str">
        <x:v>Riserva / rotazione</x:v>
      </x:c>
      <x:c r="E29" s="717" t="n">
        <x:v>3</x:v>
      </x:c>
      <x:c r="F29" s="717" t="n">
        <x:v>5</x:v>
      </x:c>
      <x:c r="G29" s="717" t="str">
        <x:v>Scommessa</x:v>
      </x:c>
      <x:c r="H29" s="717" t="str"/>
      <x:c r="I29" s="718" t="str">
        <x:v>Copertura/ultimo slot: da prendere a 1-2 crediti.</x:v>
      </x:c>
    </x:row>
    <x:row r="30">
      <x:c r="A30" s="719" t="str">
        <x:v>Attaccante</x:v>
      </x:c>
      <x:c r="B30" s="720" t="str">
        <x:f>IF((COUNTIF(Asta!$B$4:$B$47,"Hojlund")+COUNTIF(Asta!$D$4:$D$47,"Hojlund")+COUNTIF(Asta!$F$4:$F$47,"Hojlund")+COUNTIF(Asta!$H$4:$H$47,"Hojlund")+COUNTIF(Asta!$J$4:$J$47,"Hojlund")+COUNTIF(Asta!$L$4:$L$47,"Hojlund")+COUNTIF(Asta!$N$4:$N$47,"Hojlund")+COUNTIF(Asta!$P$4:$P$47,"Hojlund")+COUNTIF(Asta!$R$4:$R$47,"Hojlund")+COUNTIF(Asta!$T$4:$T$47,"Hojlund"))&gt;0,REGEXREPLACE("Hojlund","(.)","$1"&amp;UNICHAR(822)),"Hojlund")</x:f>
        <x:v>Hojlund</x:v>
      </x:c>
      <x:c r="C30" s="720" t="str">
        <x:v>Pc</x:v>
      </x:c>
      <x:c r="D30" s="720" t="str">
        <x:v>Titolare</x:v>
      </x:c>
      <x:c r="E30" s="720" t="n">
        <x:v>28</x:v>
      </x:c>
      <x:c r="F30" s="720" t="n">
        <x:v>137</x:v>
      </x:c>
      <x:c r="G30" s="720" t="str">
        <x:v>Top</x:v>
      </x:c>
      <x:c r="H30" s="720" t="str">
        <x:v>Rigorista</x:v>
      </x:c>
      <x:c r="I30" s="721" t="str">
        <x:v>Da puntare: titolarità e alto potenziale fantacalcistico. Plus importante: è indicato tra i rigoristi.</x:v>
      </x:c>
    </x:row>
    <x:row r="31">
      <x:c r="A31" s="719" t="str">
        <x:v>Attaccante</x:v>
      </x:c>
      <x:c r="B31" s="720" t="str">
        <x:f>IF((COUNTIF(Asta!$B$4:$B$47,"Santos A.")+COUNTIF(Asta!$D$4:$D$47,"Santos A.")+COUNTIF(Asta!$F$4:$F$47,"Santos A.")+COUNTIF(Asta!$H$4:$H$47,"Santos A.")+COUNTIF(Asta!$J$4:$J$47,"Santos A.")+COUNTIF(Asta!$L$4:$L$47,"Santos A.")+COUNTIF(Asta!$N$4:$N$47,"Santos A.")+COUNTIF(Asta!$P$4:$P$47,"Santos A.")+COUNTIF(Asta!$R$4:$R$47,"Santos A.")+COUNTIF(Asta!$T$4:$T$47,"Santos A."))&gt;0,REGEXREPLACE("Santos A.","(.)","$1"&amp;UNICHAR(822)),"Santos A.")</x:f>
        <x:v>Santos A.</x:v>
      </x:c>
      <x:c r="C31" s="720" t="str">
        <x:v>W;A</x:v>
      </x:c>
      <x:c r="D31" s="720" t="str">
        <x:v>Titolare / ballottaggio</x:v>
      </x:c>
      <x:c r="E31" s="720" t="n">
        <x:v>14</x:v>
      </x:c>
      <x:c r="F31" s="720" t="n">
        <x:v>30</x:v>
      </x:c>
      <x:c r="G31" s="720" t="str">
        <x:v>Buon titolare</x:v>
      </x:c>
      <x:c r="H31" s="720" t="str"/>
      <x:c r="I31" s="721" t="str">
        <x:v>Interessante per bonus, ma non pagarlo come titolare fisso.</x:v>
      </x:c>
    </x:row>
    <x:row r="32">
      <x:c r="A32" s="719" t="str">
        <x:v>Attaccante</x:v>
      </x:c>
      <x:c r="B32" s="720" t="str">
        <x:f>IF((COUNTIF(Asta!$B$4:$B$47,"Lukaku")+COUNTIF(Asta!$D$4:$D$47,"Lukaku")+COUNTIF(Asta!$F$4:$F$47,"Lukaku")+COUNTIF(Asta!$H$4:$H$47,"Lukaku")+COUNTIF(Asta!$J$4:$J$47,"Lukaku")+COUNTIF(Asta!$L$4:$L$47,"Lukaku")+COUNTIF(Asta!$N$4:$N$47,"Lukaku")+COUNTIF(Asta!$P$4:$P$47,"Lukaku")+COUNTIF(Asta!$R$4:$R$47,"Lukaku")+COUNTIF(Asta!$T$4:$T$47,"Lukaku"))&gt;0,REGEXREPLACE("Lukaku","(.)","$1"&amp;UNICHAR(822)),"Lukaku")</x:f>
        <x:v>Lukaku</x:v>
      </x:c>
      <x:c r="C32" s="720" t="str">
        <x:v>Pc</x:v>
      </x:c>
      <x:c r="D32" s="720" t="str">
        <x:v>Riserva / rotazione</x:v>
      </x:c>
      <x:c r="E32" s="720" t="n">
        <x:v>10</x:v>
      </x:c>
      <x:c r="F32" s="720" t="n">
        <x:v>23</x:v>
      </x:c>
      <x:c r="G32" s="720" t="str">
        <x:v>Buon titolare con rischio minutaggio</x:v>
      </x:c>
      <x:c r="H32" s="720" t="str"/>
      <x:c r="I32" s="721" t="str">
        <x:v>Qualità interessante ma minutaggio incerto: occasione solo se il prezzo scende.</x:v>
      </x:c>
    </x:row>
    <x:row r="33">
      <x:c r="A33" s="719" t="str">
        <x:v>Attaccante</x:v>
      </x:c>
      <x:c r="B33" s="720" t="str">
        <x:f>IF((COUNTIF(Asta!$B$4:$B$47,"Neres")+COUNTIF(Asta!$D$4:$D$47,"Neres")+COUNTIF(Asta!$F$4:$F$47,"Neres")+COUNTIF(Asta!$H$4:$H$47,"Neres")+COUNTIF(Asta!$J$4:$J$47,"Neres")+COUNTIF(Asta!$L$4:$L$47,"Neres")+COUNTIF(Asta!$N$4:$N$47,"Neres")+COUNTIF(Asta!$P$4:$P$47,"Neres")+COUNTIF(Asta!$R$4:$R$47,"Neres")+COUNTIF(Asta!$T$4:$T$47,"Neres"))&gt;0,REGEXREPLACE("Neres","(.)","$1"&amp;UNICHAR(822)),"Neres")</x:f>
        <x:v>Neres</x:v>
      </x:c>
      <x:c r="C33" s="720" t="str">
        <x:v>W;A</x:v>
      </x:c>
      <x:c r="D33" s="720" t="str">
        <x:v>Ballottaggio</x:v>
      </x:c>
      <x:c r="E33" s="720" t="n">
        <x:v>6</x:v>
      </x:c>
      <x:c r="F33" s="720" t="n">
        <x:v>11</x:v>
      </x:c>
      <x:c r="G33" s="720" t="str">
        <x:v>Utile</x:v>
      </x:c>
      <x:c r="H33" s="720" t="str">
        <x:v>Piazzati</x:v>
      </x:c>
      <x:c r="I33" s="721" t="str">
        <x:v>Scommessa con upside: prendilo a prezzo controllato. Buon plus: può battere calci piazzati.</x:v>
      </x:c>
    </x:row>
    <x:row r="34">
      <x:c r="A34" s="719" t="str">
        <x:v>Attaccante</x:v>
      </x:c>
      <x:c r="B34" s="720" t="str">
        <x:f>IF((COUNTIF(Asta!$B$4:$B$47,"Giovane")+COUNTIF(Asta!$D$4:$D$47,"Giovane")+COUNTIF(Asta!$F$4:$F$47,"Giovane")+COUNTIF(Asta!$H$4:$H$47,"Giovane")+COUNTIF(Asta!$J$4:$J$47,"Giovane")+COUNTIF(Asta!$L$4:$L$47,"Giovane")+COUNTIF(Asta!$N$4:$N$47,"Giovane")+COUNTIF(Asta!$P$4:$P$47,"Giovane")+COUNTIF(Asta!$R$4:$R$47,"Giovane")+COUNTIF(Asta!$T$4:$T$47,"Giovane"))&gt;0,REGEXREPLACE("Giovane","(.)","$1"&amp;UNICHAR(822)),"Giovane")</x:f>
        <x:v>Giovane</x:v>
      </x:c>
      <x:c r="C34" s="720" t="str">
        <x:v>A</x:v>
      </x:c>
      <x:c r="D34" s="720" t="str">
        <x:v>Riserva / rotazione</x:v>
      </x:c>
      <x:c r="E34" s="720" t="n">
        <x:v>4</x:v>
      </x:c>
      <x:c r="F34" s="720" t="n">
        <x:v>5</x:v>
      </x:c>
      <x:c r="G34" s="720" t="str">
        <x:v>Scommessa</x:v>
      </x:c>
      <x:c r="H34" s="720" t="str"/>
      <x:c r="I34" s="721" t="str">
        <x:v>Copertura/ultimo slot: da prendere a 1-2 crediti.</x:v>
      </x:c>
    </x:row>
    <x:row r="35">
      <x:c r="A35" s="719" t="str">
        <x:v>Attaccante</x:v>
      </x:c>
      <x:c r="B35" s="720" t="str">
        <x:f>IF((COUNTIF(Asta!$B$4:$B$47,"Lang")+COUNTIF(Asta!$D$4:$D$47,"Lang")+COUNTIF(Asta!$F$4:$F$47,"Lang")+COUNTIF(Asta!$H$4:$H$47,"Lang")+COUNTIF(Asta!$J$4:$J$47,"Lang")+COUNTIF(Asta!$L$4:$L$47,"Lang")+COUNTIF(Asta!$N$4:$N$47,"Lang")+COUNTIF(Asta!$P$4:$P$47,"Lang")+COUNTIF(Asta!$R$4:$R$47,"Lang")+COUNTIF(Asta!$T$4:$T$47,"Lang"))&gt;0,REGEXREPLACE("Lang","(.)","$1"&amp;UNICHAR(822)),"Lang")</x:f>
        <x:v>Lang</x:v>
      </x:c>
      <x:c r="C35" s="720" t="str">
        <x:v>A</x:v>
      </x:c>
      <x:c r="D35" s="720" t="str">
        <x:v>Riserva / rotazione</x:v>
      </x:c>
      <x:c r="E35" s="720" t="n">
        <x:v>3</x:v>
      </x:c>
      <x:c r="F35" s="720" t="n">
        <x:v>5</x:v>
      </x:c>
      <x:c r="G35" s="720" t="str">
        <x:v>Scommessa</x:v>
      </x:c>
      <x:c r="H35" s="720" t="str"/>
      <x:c r="I35" s="721" t="str">
        <x:v>Copertura/ultimo slot: da prendere a 1-2 crediti.</x:v>
      </x:c>
    </x:row>
    <x:row r="36">
      <x:c r="A36" s="722" t="str">
        <x:v>Attaccante</x:v>
      </x:c>
      <x:c r="B36" s="723" t="str">
        <x:f>IF((COUNTIF(Asta!$B$4:$B$47,"Lucca")+COUNTIF(Asta!$D$4:$D$47,"Lucca")+COUNTIF(Asta!$F$4:$F$47,"Lucca")+COUNTIF(Asta!$H$4:$H$47,"Lucca")+COUNTIF(Asta!$J$4:$J$47,"Lucca")+COUNTIF(Asta!$L$4:$L$47,"Lucca")+COUNTIF(Asta!$N$4:$N$47,"Lucca")+COUNTIF(Asta!$P$4:$P$47,"Lucca")+COUNTIF(Asta!$R$4:$R$47,"Lucca")+COUNTIF(Asta!$T$4:$T$47,"Lucca"))&gt;0,REGEXREPLACE("Lucca","(.)","$1"&amp;UNICHAR(822)),"Lucca")</x:f>
        <x:v>Lucca</x:v>
      </x:c>
      <x:c r="C36" s="723" t="str">
        <x:v>Pc</x:v>
      </x:c>
      <x:c r="D36" s="723" t="str">
        <x:v>Riserva / rotazione</x:v>
      </x:c>
      <x:c r="E36" s="723" t="n">
        <x:v>3</x:v>
      </x:c>
      <x:c r="F36" s="723" t="n">
        <x:v>5</x:v>
      </x:c>
      <x:c r="G36" s="723" t="str">
        <x:v>Scommessa</x:v>
      </x:c>
      <x:c r="H36" s="723" t="str"/>
      <x:c r="I36" s="724" t="str">
        <x:v>Copertura/ultimo slot: da prendere a 1-2 crediti.</x:v>
      </x:c>
    </x:row>
    <x:row r="38">
      <x:c r="A38" s="630" t="str">
        <x:v>Fonte formazione/ballottaggi/rigoristi: Fantacalcio.it, aggiornamento 09/09/2026 — https://www.fantacalcio.it/news/calcio-italia/06_08_2026/asta-fantacalcio-le-probabili-formazioni-della-serie-a-enilive-2026-27-495558</x:v>
      </x:c>
      <x:c r="B38" s="630"/>
      <x:c r="C38" s="630"/>
      <x:c r="D38" s="630"/>
      <x:c r="E38" s="630"/>
      <x:c r="F38" s="630"/>
      <x:c r="G38" s="630"/>
      <x:c r="H38" s="630"/>
      <x:c r="I38" s="630"/>
    </x:row>
  </x:sheetData>
  <x:mergeCells>
    <x:mergeCell ref="A1:I1"/>
    <x:mergeCell ref="B4:I4"/>
    <x:mergeCell ref="B5:I5"/>
    <x:mergeCell ref="D3:I3"/>
    <x:mergeCell ref="D6:I6"/>
    <x:mergeCell ref="A38:I38"/>
  </x:mergeCells>
  <x:conditionalFormatting sqref="D9:D36">
    <x:cfRule type="expression" dxfId="30" priority="1">
      <x:formula>D9="Titolare"</x:formula>
    </x:cfRule>
    <x:cfRule type="expression" dxfId="31" priority="2">
      <x:formula>ISNUMBER(SEARCH("Ballottaggio",D9))</x:formula>
    </x:cfRule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1" hidden="0" customWidth="1"/>
    <x:col min="3" max="3" width="18" hidden="0" customWidth="1"/>
    <x:col min="4" max="4" width="23" hidden="0" customWidth="1"/>
    <x:col min="5" max="5" width="11" hidden="0" customWidth="1"/>
    <x:col min="6" max="6" width="12" hidden="0" customWidth="1"/>
    <x:col min="7" max="7" width="24" hidden="0" customWidth="1"/>
    <x:col min="8" max="8" width="20" hidden="0" customWidth="1"/>
    <x:col min="9" max="9" width="48" hidden="0" customWidth="1"/>
  </x:cols>
  <x:sheetData>
    <x:row r="1" ht="30" customHeight="1">
      <x:c r="A1" s="642" t="str">
        <x:v>PARMA — GUIDA ASTA 2026/27</x:v>
      </x:c>
      <x:c r="B1" s="643"/>
      <x:c r="C1" s="643"/>
      <x:c r="D1" s="643"/>
      <x:c r="E1" s="643"/>
      <x:c r="F1" s="643"/>
      <x:c r="G1" s="643"/>
      <x:c r="H1" s="643"/>
      <x:c r="I1" s="644"/>
    </x:row>
    <x:row r="3">
      <x:c r="A3" s="663" t="str">
        <x:v>Allenatore</x:v>
      </x:c>
      <x:c r="B3" s="681" t="str">
        <x:v>Carlos Cuesta</x:v>
      </x:c>
      <x:c r="C3" s="673" t="str">
        <x:v>Modulo</x:v>
      </x:c>
      <x:c r="D3" s="681" t="str">
        <x:v>3-5-2</x:v>
      </x:c>
      <x:c r="E3" s="681"/>
      <x:c r="F3" s="681"/>
      <x:c r="G3" s="681"/>
      <x:c r="H3" s="681"/>
      <x:c r="I3" s="682"/>
    </x:row>
    <x:row r="4" ht="38" customHeight="1">
      <x:c r="A4" s="664" t="str">
        <x:v>Formazione titolare</x:v>
      </x:c>
      <x:c r="B4" s="683" t="str">
        <x:v>Corvi; Delprato, Troilo, Diego Carlos; Britschgi, Bernabè, Keita, Ordonez, Valeri; Romero, Tourè</x:v>
      </x:c>
      <x:c r="C4" s="676" t="str"/>
      <x:c r="D4" s="683" t="str"/>
      <x:c r="E4" s="683"/>
      <x:c r="F4" s="683"/>
      <x:c r="G4" s="683"/>
      <x:c r="H4" s="683"/>
      <x:c r="I4" s="684"/>
    </x:row>
    <x:row r="5" ht="38" customHeight="1">
      <x:c r="A5" s="664" t="str">
        <x:v>Ballottaggi</x:v>
      </x:c>
      <x:c r="B5" s="683" t="str">
        <x:v>Corvi/Daffara; Romero/Lontani; Britschgi/Fabbian</x:v>
      </x:c>
      <x:c r="C5" s="676" t="str"/>
      <x:c r="D5" s="683" t="str"/>
      <x:c r="E5" s="683"/>
      <x:c r="F5" s="683"/>
      <x:c r="G5" s="683"/>
      <x:c r="H5" s="683"/>
      <x:c r="I5" s="684"/>
    </x:row>
    <x:row r="6">
      <x:c r="A6" s="665" t="str">
        <x:v>Rigoristi</x:v>
      </x:c>
      <x:c r="B6" s="685" t="str">
        <x:v>Tourè, Romero, Valeri</x:v>
      </x:c>
      <x:c r="C6" s="679" t="str">
        <x:v>Calci piazzati</x:v>
      </x:c>
      <x:c r="D6" s="685" t="str">
        <x:v>Bernabè, Nicolussi Caviglia, Valeri</x:v>
      </x:c>
      <x:c r="E6" s="685"/>
      <x:c r="F6" s="685"/>
      <x:c r="G6" s="685"/>
      <x:c r="H6" s="685"/>
      <x:c r="I6" s="686"/>
    </x:row>
    <x:row r="8" ht="30" customHeight="1">
      <x:c r="A8" s="698" t="str">
        <x:v>Ruolo</x:v>
      </x:c>
      <x:c r="B8" s="699" t="str">
        <x:v>Calciatore</x:v>
      </x:c>
      <x:c r="C8" s="699" t="str">
        <x:v>Posizione</x:v>
      </x:c>
      <x:c r="D8" s="699" t="str">
        <x:v>Status</x:v>
      </x:c>
      <x:c r="E8" s="699" t="str">
        <x:v>Quotazione</x:v>
      </x:c>
      <x:c r="F8" s="699" t="str">
        <x:v>FVM su 504</x:v>
      </x:c>
      <x:c r="G8" s="699" t="str">
        <x:v>Fascia asta</x:v>
      </x:c>
      <x:c r="H8" s="699" t="str">
        <x:v>Specialità</x:v>
      </x:c>
      <x:c r="I8" s="700" t="str">
        <x:v>Consiglio Fantacalcio</x:v>
      </x:c>
    </x:row>
    <x:row r="9">
      <x:c r="A9" s="707" t="str">
        <x:v>Portiere</x:v>
      </x:c>
      <x:c r="B9" s="708" t="str">
        <x:f>IF((COUNTIF(Asta!$B$4:$B$47,"Suzuki")+COUNTIF(Asta!$D$4:$D$47,"Suzuki")+COUNTIF(Asta!$F$4:$F$47,"Suzuki")+COUNTIF(Asta!$H$4:$H$47,"Suzuki")+COUNTIF(Asta!$J$4:$J$47,"Suzuki")+COUNTIF(Asta!$L$4:$L$47,"Suzuki")+COUNTIF(Asta!$N$4:$N$47,"Suzuki")+COUNTIF(Asta!$P$4:$P$47,"Suzuki")+COUNTIF(Asta!$R$4:$R$47,"Suzuki")+COUNTIF(Asta!$T$4:$T$47,"Suzuki"))&gt;0,REGEXREPLACE("Suzuki","(.)","$1"&amp;UNICHAR(822)),"Suzuki")</x:f>
        <x:v>Suzuki</x:v>
      </x:c>
      <x:c r="C9" s="708" t="str">
        <x:v>Por</x:v>
      </x:c>
      <x:c r="D9" s="708" t="str">
        <x:v>Riserva / rotazione</x:v>
      </x:c>
      <x:c r="E9" s="708" t="n">
        <x:v>7</x:v>
      </x:c>
      <x:c r="F9" s="708" t="n">
        <x:v>10</x:v>
      </x:c>
      <x:c r="G9" s="708" t="str">
        <x:v>Utile</x:v>
      </x:c>
      <x:c r="H9" s="708" t="str"/>
      <x:c r="I9" s="709" t="str">
        <x:v>Solo come secondo/terzo portiere o copertura del titolare.</x:v>
      </x:c>
    </x:row>
    <x:row r="10">
      <x:c r="A10" s="710" t="str">
        <x:v>Portiere</x:v>
      </x:c>
      <x:c r="B10" s="711" t="str">
        <x:f>IF((COUNTIF(Asta!$B$4:$B$47,"Daffara")+COUNTIF(Asta!$D$4:$D$47,"Daffara")+COUNTIF(Asta!$F$4:$F$47,"Daffara")+COUNTIF(Asta!$H$4:$H$47,"Daffara")+COUNTIF(Asta!$J$4:$J$47,"Daffara")+COUNTIF(Asta!$L$4:$L$47,"Daffara")+COUNTIF(Asta!$N$4:$N$47,"Daffara")+COUNTIF(Asta!$P$4:$P$47,"Daffara")+COUNTIF(Asta!$R$4:$R$47,"Daffara")+COUNTIF(Asta!$T$4:$T$47,"Daffara"))&gt;0,REGEXREPLACE("Daffara","(.)","$1"&amp;UNICHAR(822)),"Daffara")</x:f>
        <x:v>Daffara</x:v>
      </x:c>
      <x:c r="C10" s="711" t="str">
        <x:v>Por</x:v>
      </x:c>
      <x:c r="D10" s="711" t="str">
        <x:v>Ballottaggio</x:v>
      </x:c>
      <x:c r="E10" s="711" t="n">
        <x:v>7</x:v>
      </x:c>
      <x:c r="F10" s="711" t="n">
        <x:v>3</x:v>
      </x:c>
      <x:c r="G10" s="711" t="str">
        <x:v>Copertura</x:v>
      </x:c>
      <x:c r="H10" s="711" t="str"/>
      <x:c r="I10" s="712" t="str">
        <x:v>Da prendere solo insieme al concorrente: rischio rotazioni tra i pali.</x:v>
      </x:c>
    </x:row>
    <x:row r="11">
      <x:c r="A11" s="710" t="str">
        <x:v>Portiere</x:v>
      </x:c>
      <x:c r="B11" s="711" t="str">
        <x:f>IF((COUNTIF(Asta!$B$4:$B$47,"Corvi")+COUNTIF(Asta!$D$4:$D$47,"Corvi")+COUNTIF(Asta!$F$4:$F$47,"Corvi")+COUNTIF(Asta!$H$4:$H$47,"Corvi")+COUNTIF(Asta!$J$4:$J$47,"Corvi")+COUNTIF(Asta!$L$4:$L$47,"Corvi")+COUNTIF(Asta!$N$4:$N$47,"Corvi")+COUNTIF(Asta!$P$4:$P$47,"Corvi")+COUNTIF(Asta!$R$4:$R$47,"Corvi")+COUNTIF(Asta!$T$4:$T$47,"Corvi"))&gt;0,REGEXREPLACE("Corvi","(.)","$1"&amp;UNICHAR(822)),"Corvi")</x:f>
        <x:v>Corvi</x:v>
      </x:c>
      <x:c r="C11" s="711" t="str">
        <x:v>Por</x:v>
      </x:c>
      <x:c r="D11" s="711" t="str">
        <x:v>Titolare / ballottaggio</x:v>
      </x:c>
      <x:c r="E11" s="711" t="n">
        <x:v>1</x:v>
      </x:c>
      <x:c r="F11" s="711" t="n">
        <x:v>1</x:v>
      </x:c>
      <x:c r="G11" s="711" t="str">
        <x:v>Copertura</x:v>
      </x:c>
      <x:c r="H11" s="711" t="str"/>
      <x:c r="I11" s="712" t="str">
        <x:v>Da prendere solo insieme al concorrente: rischio rotazioni tra i pali.</x:v>
      </x:c>
    </x:row>
    <x:row r="12">
      <x:c r="A12" s="713" t="str">
        <x:v>Difensore</x:v>
      </x:c>
      <x:c r="B12" s="714" t="str">
        <x:f>IF((COUNTIF(Asta!$B$4:$B$47,"Valeri")+COUNTIF(Asta!$D$4:$D$47,"Valeri")+COUNTIF(Asta!$F$4:$F$47,"Valeri")+COUNTIF(Asta!$H$4:$H$47,"Valeri")+COUNTIF(Asta!$J$4:$J$47,"Valeri")+COUNTIF(Asta!$L$4:$L$47,"Valeri")+COUNTIF(Asta!$N$4:$N$47,"Valeri")+COUNTIF(Asta!$P$4:$P$47,"Valeri")+COUNTIF(Asta!$R$4:$R$47,"Valeri")+COUNTIF(Asta!$T$4:$T$47,"Valeri"))&gt;0,REGEXREPLACE("Valeri","(.)","$1"&amp;UNICHAR(822)),"Valeri")</x:f>
        <x:v>Valeri</x:v>
      </x:c>
      <x:c r="C12" s="714" t="str">
        <x:v>Ds;E</x:v>
      </x:c>
      <x:c r="D12" s="714" t="str">
        <x:v>Titolare</x:v>
      </x:c>
      <x:c r="E12" s="714" t="n">
        <x:v>8</x:v>
      </x:c>
      <x:c r="F12" s="714" t="n">
        <x:v>12</x:v>
      </x:c>
      <x:c r="G12" s="714" t="str">
        <x:v>Utile</x:v>
      </x:c>
      <x:c r="H12" s="714" t="str">
        <x:v>Rigorista · Piazzati</x:v>
      </x:c>
      <x:c r="I12" s="715" t="str">
        <x:v>Profilo utile per minutaggio e rotazioni; buon rapporto costo/titolarità. Plus importante: è indicato tra i rigoristi.</x:v>
      </x:c>
    </x:row>
    <x:row r="13">
      <x:c r="A13" s="713" t="str">
        <x:v>Difensore</x:v>
      </x:c>
      <x:c r="B13" s="714" t="str">
        <x:f>IF((COUNTIF(Asta!$B$4:$B$47,"Delprato")+COUNTIF(Asta!$D$4:$D$47,"Delprato")+COUNTIF(Asta!$F$4:$F$47,"Delprato")+COUNTIF(Asta!$H$4:$H$47,"Delprato")+COUNTIF(Asta!$J$4:$J$47,"Delprato")+COUNTIF(Asta!$L$4:$L$47,"Delprato")+COUNTIF(Asta!$N$4:$N$47,"Delprato")+COUNTIF(Asta!$P$4:$P$47,"Delprato")+COUNTIF(Asta!$R$4:$R$47,"Delprato")+COUNTIF(Asta!$T$4:$T$47,"Delprato"))&gt;0,REGEXREPLACE("Delprato","(.)","$1"&amp;UNICHAR(822)),"Delprato")</x:f>
        <x:v>Delprato</x:v>
      </x:c>
      <x:c r="C13" s="714" t="str">
        <x:v>B;Dd;E</x:v>
      </x:c>
      <x:c r="D13" s="714" t="str">
        <x:v>Titolare</x:v>
      </x:c>
      <x:c r="E13" s="714" t="n">
        <x:v>8</x:v>
      </x:c>
      <x:c r="F13" s="714" t="n">
        <x:v>11</x:v>
      </x:c>
      <x:c r="G13" s="714" t="str">
        <x:v>Utile</x:v>
      </x:c>
      <x:c r="H13" s="714" t="str"/>
      <x:c r="I13" s="715" t="str">
        <x:v>Profilo utile per minutaggio e rotazioni; buon rapporto costo/titolarità.</x:v>
      </x:c>
    </x:row>
    <x:row r="14">
      <x:c r="A14" s="713" t="str">
        <x:v>Difensore</x:v>
      </x:c>
      <x:c r="B14" s="714" t="str">
        <x:f>IF((COUNTIF(Asta!$B$4:$B$47,"Circati")+COUNTIF(Asta!$D$4:$D$47,"Circati")+COUNTIF(Asta!$F$4:$F$47,"Circati")+COUNTIF(Asta!$H$4:$H$47,"Circati")+COUNTIF(Asta!$J$4:$J$47,"Circati")+COUNTIF(Asta!$L$4:$L$47,"Circati")+COUNTIF(Asta!$N$4:$N$47,"Circati")+COUNTIF(Asta!$P$4:$P$47,"Circati")+COUNTIF(Asta!$R$4:$R$47,"Circati")+COUNTIF(Asta!$T$4:$T$47,"Circati"))&gt;0,REGEXREPLACE("Circati","(.)","$1"&amp;UNICHAR(822)),"Circati")</x:f>
        <x:v>Circati</x:v>
      </x:c>
      <x:c r="C14" s="714" t="str">
        <x:v>Dc</x:v>
      </x:c>
      <x:c r="D14" s="714" t="str">
        <x:v>Riserva / rotazione</x:v>
      </x:c>
      <x:c r="E14" s="714" t="n">
        <x:v>6</x:v>
      </x:c>
      <x:c r="F14" s="714" t="n">
        <x:v>9</x:v>
      </x:c>
      <x:c r="G14" s="714" t="str">
        <x:v>Scommessa</x:v>
      </x:c>
      <x:c r="H14" s="714" t="str"/>
      <x:c r="I14" s="715" t="str">
        <x:v>Scommessa da ultimi slot, senza sovrapprezzo.</x:v>
      </x:c>
    </x:row>
    <x:row r="15">
      <x:c r="A15" s="713" t="str">
        <x:v>Difensore</x:v>
      </x:c>
      <x:c r="B15" s="714" t="str">
        <x:f>IF((COUNTIF(Asta!$B$4:$B$47,"Britschgi")+COUNTIF(Asta!$D$4:$D$47,"Britschgi")+COUNTIF(Asta!$F$4:$F$47,"Britschgi")+COUNTIF(Asta!$H$4:$H$47,"Britschgi")+COUNTIF(Asta!$J$4:$J$47,"Britschgi")+COUNTIF(Asta!$L$4:$L$47,"Britschgi")+COUNTIF(Asta!$N$4:$N$47,"Britschgi")+COUNTIF(Asta!$P$4:$P$47,"Britschgi")+COUNTIF(Asta!$R$4:$R$47,"Britschgi")+COUNTIF(Asta!$T$4:$T$47,"Britschgi"))&gt;0,REGEXREPLACE("Britschgi","(.)","$1"&amp;UNICHAR(822)),"Britschgi")</x:f>
        <x:v>Britschgi</x:v>
      </x:c>
      <x:c r="C15" s="714" t="str">
        <x:v>Dd;Ds;E</x:v>
      </x:c>
      <x:c r="D15" s="714" t="str">
        <x:v>Titolare / ballottaggio</x:v>
      </x:c>
      <x:c r="E15" s="714" t="n">
        <x:v>3</x:v>
      </x:c>
      <x:c r="F15" s="714" t="n">
        <x:v>5</x:v>
      </x:c>
      <x:c r="G15" s="714" t="str">
        <x:v>Scommessa</x:v>
      </x:c>
      <x:c r="H15" s="714" t="str"/>
      <x:c r="I15" s="715" t="str">
        <x:v>Solo a pochi crediti: minutaggio non garantito.</x:v>
      </x:c>
    </x:row>
    <x:row r="16">
      <x:c r="A16" s="713" t="str">
        <x:v>Difensore</x:v>
      </x:c>
      <x:c r="B16" s="714" t="str">
        <x:f>IF((COUNTIF(Asta!$B$4:$B$47,"Valenti")+COUNTIF(Asta!$D$4:$D$47,"Valenti")+COUNTIF(Asta!$F$4:$F$47,"Valenti")+COUNTIF(Asta!$H$4:$H$47,"Valenti")+COUNTIF(Asta!$J$4:$J$47,"Valenti")+COUNTIF(Asta!$L$4:$L$47,"Valenti")+COUNTIF(Asta!$N$4:$N$47,"Valenti")+COUNTIF(Asta!$P$4:$P$47,"Valenti")+COUNTIF(Asta!$R$4:$R$47,"Valenti")+COUNTIF(Asta!$T$4:$T$47,"Valenti"))&gt;0,REGEXREPLACE("Valenti","(.)","$1"&amp;UNICHAR(822)),"Valenti")</x:f>
        <x:v>Valenti</x:v>
      </x:c>
      <x:c r="C16" s="714" t="str">
        <x:v>Dc</x:v>
      </x:c>
      <x:c r="D16" s="714" t="str">
        <x:v>Riserva / rotazione</x:v>
      </x:c>
      <x:c r="E16" s="714" t="n">
        <x:v>4</x:v>
      </x:c>
      <x:c r="F16" s="714" t="n">
        <x:v>5</x:v>
      </x:c>
      <x:c r="G16" s="714" t="str">
        <x:v>Scommessa</x:v>
      </x:c>
      <x:c r="H16" s="714" t="str"/>
      <x:c r="I16" s="715" t="str">
        <x:v>Copertura/ultimo slot: da prendere a 1-2 crediti.</x:v>
      </x:c>
    </x:row>
    <x:row r="17">
      <x:c r="A17" s="713" t="str">
        <x:v>Difensore</x:v>
      </x:c>
      <x:c r="B17" s="714" t="str">
        <x:f>IF((COUNTIF(Asta!$B$4:$B$47,"Troilo")+COUNTIF(Asta!$D$4:$D$47,"Troilo")+COUNTIF(Asta!$F$4:$F$47,"Troilo")+COUNTIF(Asta!$H$4:$H$47,"Troilo")+COUNTIF(Asta!$J$4:$J$47,"Troilo")+COUNTIF(Asta!$L$4:$L$47,"Troilo")+COUNTIF(Asta!$N$4:$N$47,"Troilo")+COUNTIF(Asta!$P$4:$P$47,"Troilo")+COUNTIF(Asta!$R$4:$R$47,"Troilo")+COUNTIF(Asta!$T$4:$T$47,"Troilo"))&gt;0,REGEXREPLACE("Troilo","(.)","$1"&amp;UNICHAR(822)),"Troilo")</x:f>
        <x:v>Troilo</x:v>
      </x:c>
      <x:c r="C17" s="714" t="str">
        <x:v>Dc</x:v>
      </x:c>
      <x:c r="D17" s="714" t="str">
        <x:v>Titolare</x:v>
      </x:c>
      <x:c r="E17" s="714" t="n">
        <x:v>3</x:v>
      </x:c>
      <x:c r="F17" s="714" t="n">
        <x:v>4</x:v>
      </x:c>
      <x:c r="G17" s="714" t="str">
        <x:v>Scommessa</x:v>
      </x:c>
      <x:c r="H17" s="714" t="str"/>
      <x:c r="I17" s="715" t="str">
        <x:v>Titolare low cost: utile per completare il reparto.</x:v>
      </x:c>
    </x:row>
    <x:row r="18">
      <x:c r="A18" s="713" t="str">
        <x:v>Difensore</x:v>
      </x:c>
      <x:c r="B18" s="714" t="str">
        <x:f>IF((COUNTIF(Asta!$B$4:$B$47,"Ndiaye")+COUNTIF(Asta!$D$4:$D$47,"Ndiaye")+COUNTIF(Asta!$F$4:$F$47,"Ndiaye")+COUNTIF(Asta!$H$4:$H$47,"Ndiaye")+COUNTIF(Asta!$J$4:$J$47,"Ndiaye")+COUNTIF(Asta!$L$4:$L$47,"Ndiaye")+COUNTIF(Asta!$N$4:$N$47,"Ndiaye")+COUNTIF(Asta!$P$4:$P$47,"Ndiaye")+COUNTIF(Asta!$R$4:$R$47,"Ndiaye")+COUNTIF(Asta!$T$4:$T$47,"Ndiaye"))&gt;0,REGEXREPLACE("Ndiaye","(.)","$1"&amp;UNICHAR(822)),"Ndiaye")</x:f>
        <x:v>Ndiaye</x:v>
      </x:c>
      <x:c r="C18" s="714" t="str">
        <x:v>Dc</x:v>
      </x:c>
      <x:c r="D18" s="714" t="str">
        <x:v>Riserva / rotazione</x:v>
      </x:c>
      <x:c r="E18" s="714" t="n">
        <x:v>1</x:v>
      </x:c>
      <x:c r="F18" s="714" t="n">
        <x:v>2</x:v>
      </x:c>
      <x:c r="G18" s="714" t="str">
        <x:v>Copertura</x:v>
      </x:c>
      <x:c r="H18" s="714" t="str"/>
      <x:c r="I18" s="715" t="str">
        <x:v>Copertura/ultimo slot: da prendere a 1-2 crediti.</x:v>
      </x:c>
    </x:row>
    <x:row r="19">
      <x:c r="A19" s="713" t="str">
        <x:v>Difensore</x:v>
      </x:c>
      <x:c r="B19" s="714" t="str">
        <x:f>IF((COUNTIF(Asta!$B$4:$B$47,"Carboni F.")+COUNTIF(Asta!$D$4:$D$47,"Carboni F.")+COUNTIF(Asta!$F$4:$F$47,"Carboni F.")+COUNTIF(Asta!$H$4:$H$47,"Carboni F.")+COUNTIF(Asta!$J$4:$J$47,"Carboni F.")+COUNTIF(Asta!$L$4:$L$47,"Carboni F.")+COUNTIF(Asta!$N$4:$N$47,"Carboni F.")+COUNTIF(Asta!$P$4:$P$47,"Carboni F.")+COUNTIF(Asta!$R$4:$R$47,"Carboni F.")+COUNTIF(Asta!$T$4:$T$47,"Carboni F."))&gt;0,REGEXREPLACE("Carboni F.","(.)","$1"&amp;UNICHAR(822)),"Carboni F.")</x:f>
        <x:v>Carboni F.</x:v>
      </x:c>
      <x:c r="C19" s="714" t="str">
        <x:v>Ds;E</x:v>
      </x:c>
      <x:c r="D19" s="714" t="str">
        <x:v>Riserva / rotazione</x:v>
      </x:c>
      <x:c r="E19" s="714" t="n">
        <x:v>1</x:v>
      </x:c>
      <x:c r="F19" s="714" t="n">
        <x:v>2</x:v>
      </x:c>
      <x:c r="G19" s="714" t="str">
        <x:v>Copertura</x:v>
      </x:c>
      <x:c r="H19" s="714" t="str"/>
      <x:c r="I19" s="715" t="str">
        <x:v>Copertura/ultimo slot: da prendere a 1-2 crediti.</x:v>
      </x:c>
    </x:row>
    <x:row r="20">
      <x:c r="A20" s="716" t="str">
        <x:v>Centrocampista</x:v>
      </x:c>
      <x:c r="B20" s="717" t="str">
        <x:f>IF((COUNTIF(Asta!$B$4:$B$47,"Bernabè")+COUNTIF(Asta!$D$4:$D$47,"Bernabè")+COUNTIF(Asta!$F$4:$F$47,"Bernabè")+COUNTIF(Asta!$H$4:$H$47,"Bernabè")+COUNTIF(Asta!$J$4:$J$47,"Bernabè")+COUNTIF(Asta!$L$4:$L$47,"Bernabè")+COUNTIF(Asta!$N$4:$N$47,"Bernabè")+COUNTIF(Asta!$P$4:$P$47,"Bernabè")+COUNTIF(Asta!$R$4:$R$47,"Bernabè")+COUNTIF(Asta!$T$4:$T$47,"Bernabè"))&gt;0,REGEXREPLACE("Bernabè","(.)","$1"&amp;UNICHAR(822)),"Bernabè")</x:f>
        <x:v>Bernabè</x:v>
      </x:c>
      <x:c r="C20" s="717" t="str">
        <x:v>C</x:v>
      </x:c>
      <x:c r="D20" s="717" t="str">
        <x:v>Titolare</x:v>
      </x:c>
      <x:c r="E20" s="717" t="n">
        <x:v>7</x:v>
      </x:c>
      <x:c r="F20" s="717" t="n">
        <x:v>18</x:v>
      </x:c>
      <x:c r="G20" s="717" t="str">
        <x:v>Utile</x:v>
      </x:c>
      <x:c r="H20" s="717" t="str">
        <x:v>Piazzati</x:v>
      </x:c>
      <x:c r="I20" s="718" t="str">
        <x:v>Profilo utile per minutaggio e rotazioni; buon rapporto costo/titolarità. Buon plus: può battere calci piazzati.</x:v>
      </x:c>
    </x:row>
    <x:row r="21">
      <x:c r="A21" s="716" t="str">
        <x:v>Centrocampista</x:v>
      </x:c>
      <x:c r="B21" s="717" t="str">
        <x:f>IF((COUNTIF(Asta!$B$4:$B$47,"Nicolussi Caviglia")+COUNTIF(Asta!$D$4:$D$47,"Nicolussi Caviglia")+COUNTIF(Asta!$F$4:$F$47,"Nicolussi Caviglia")+COUNTIF(Asta!$H$4:$H$47,"Nicolussi Caviglia")+COUNTIF(Asta!$J$4:$J$47,"Nicolussi Caviglia")+COUNTIF(Asta!$L$4:$L$47,"Nicolussi Caviglia")+COUNTIF(Asta!$N$4:$N$47,"Nicolussi Caviglia")+COUNTIF(Asta!$P$4:$P$47,"Nicolussi Caviglia")+COUNTIF(Asta!$R$4:$R$47,"Nicolussi Caviglia")+COUNTIF(Asta!$T$4:$T$47,"Nicolussi Caviglia"))&gt;0,REGEXREPLACE("Nicolussi Caviglia","(.)","$1"&amp;UNICHAR(822)),"Nicolussi Caviglia")</x:f>
        <x:v>Nicolussi Caviglia</x:v>
      </x:c>
      <x:c r="C21" s="717" t="str">
        <x:v>M;C</x:v>
      </x:c>
      <x:c r="D21" s="717" t="str">
        <x:v>Riserva / rotazione</x:v>
      </x:c>
      <x:c r="E21" s="717" t="n">
        <x:v>6</x:v>
      </x:c>
      <x:c r="F21" s="717" t="n">
        <x:v>9</x:v>
      </x:c>
      <x:c r="G21" s="717" t="str">
        <x:v>Scommessa</x:v>
      </x:c>
      <x:c r="H21" s="717" t="str">
        <x:v>Piazzati</x:v>
      </x:c>
      <x:c r="I21" s="718" t="str">
        <x:v>Scommessa da ultimi slot, senza sovrapprezzo. Buon plus: può battere calci piazzati.</x:v>
      </x:c>
    </x:row>
    <x:row r="22">
      <x:c r="A22" s="716" t="str">
        <x:v>Centrocampista</x:v>
      </x:c>
      <x:c r="B22" s="717" t="str">
        <x:f>IF((COUNTIF(Asta!$B$4:$B$47,"Ondrejka")+COUNTIF(Asta!$D$4:$D$47,"Ondrejka")+COUNTIF(Asta!$F$4:$F$47,"Ondrejka")+COUNTIF(Asta!$H$4:$H$47,"Ondrejka")+COUNTIF(Asta!$J$4:$J$47,"Ondrejka")+COUNTIF(Asta!$L$4:$L$47,"Ondrejka")+COUNTIF(Asta!$N$4:$N$47,"Ondrejka")+COUNTIF(Asta!$P$4:$P$47,"Ondrejka")+COUNTIF(Asta!$R$4:$R$47,"Ondrejka")+COUNTIF(Asta!$T$4:$T$47,"Ondrejka"))&gt;0,REGEXREPLACE("Ondrejka","(.)","$1"&amp;UNICHAR(822)),"Ondrejka")</x:f>
        <x:v>Ondrejka</x:v>
      </x:c>
      <x:c r="C22" s="717" t="str">
        <x:v>W;A</x:v>
      </x:c>
      <x:c r="D22" s="717" t="str">
        <x:v>Riserva / rotazione</x:v>
      </x:c>
      <x:c r="E22" s="717" t="n">
        <x:v>5</x:v>
      </x:c>
      <x:c r="F22" s="717" t="n">
        <x:v>9</x:v>
      </x:c>
      <x:c r="G22" s="717" t="str">
        <x:v>Scommessa</x:v>
      </x:c>
      <x:c r="H22" s="717" t="str"/>
      <x:c r="I22" s="718" t="str">
        <x:v>Scommessa da ultimi slot, senza sovrapprezzo.</x:v>
      </x:c>
    </x:row>
    <x:row r="23">
      <x:c r="A23" s="716" t="str">
        <x:v>Centrocampista</x:v>
      </x:c>
      <x:c r="B23" s="717" t="str">
        <x:f>IF((COUNTIF(Asta!$B$4:$B$47,"Keita M.")+COUNTIF(Asta!$D$4:$D$47,"Keita M.")+COUNTIF(Asta!$F$4:$F$47,"Keita M.")+COUNTIF(Asta!$H$4:$H$47,"Keita M.")+COUNTIF(Asta!$J$4:$J$47,"Keita M.")+COUNTIF(Asta!$L$4:$L$47,"Keita M.")+COUNTIF(Asta!$N$4:$N$47,"Keita M.")+COUNTIF(Asta!$P$4:$P$47,"Keita M.")+COUNTIF(Asta!$R$4:$R$47,"Keita M.")+COUNTIF(Asta!$T$4:$T$47,"Keita M."))&gt;0,REGEXREPLACE("Keita M.","(.)","$1"&amp;UNICHAR(822)),"Keita M.")</x:f>
        <x:v>Keita M.</x:v>
      </x:c>
      <x:c r="C23" s="717" t="str">
        <x:v>M;C</x:v>
      </x:c>
      <x:c r="D23" s="717" t="str">
        <x:v>Titolare</x:v>
      </x:c>
      <x:c r="E23" s="717" t="n">
        <x:v>5</x:v>
      </x:c>
      <x:c r="F23" s="717" t="n">
        <x:v>8</x:v>
      </x:c>
      <x:c r="G23" s="717" t="str">
        <x:v>Scommessa</x:v>
      </x:c>
      <x:c r="H23" s="717" t="str"/>
      <x:c r="I23" s="718" t="str">
        <x:v>Titolare low cost: utile per completare il reparto.</x:v>
      </x:c>
    </x:row>
    <x:row r="24">
      <x:c r="A24" s="716" t="str">
        <x:v>Centrocampista</x:v>
      </x:c>
      <x:c r="B24" s="717" t="str">
        <x:f>IF((COUNTIF(Asta!$B$4:$B$47,"Almqvist")+COUNTIF(Asta!$D$4:$D$47,"Almqvist")+COUNTIF(Asta!$F$4:$F$47,"Almqvist")+COUNTIF(Asta!$H$4:$H$47,"Almqvist")+COUNTIF(Asta!$J$4:$J$47,"Almqvist")+COUNTIF(Asta!$L$4:$L$47,"Almqvist")+COUNTIF(Asta!$N$4:$N$47,"Almqvist")+COUNTIF(Asta!$P$4:$P$47,"Almqvist")+COUNTIF(Asta!$R$4:$R$47,"Almqvist")+COUNTIF(Asta!$T$4:$T$47,"Almqvist"))&gt;0,REGEXREPLACE("Almqvist","(.)","$1"&amp;UNICHAR(822)),"Almqvist")</x:f>
        <x:v>Almqvist</x:v>
      </x:c>
      <x:c r="C24" s="717" t="str">
        <x:v>W;A</x:v>
      </x:c>
      <x:c r="D24" s="717" t="str">
        <x:v>Riserva / rotazione</x:v>
      </x:c>
      <x:c r="E24" s="717" t="n">
        <x:v>4</x:v>
      </x:c>
      <x:c r="F24" s="717" t="n">
        <x:v>7</x:v>
      </x:c>
      <x:c r="G24" s="717" t="str">
        <x:v>Scommessa</x:v>
      </x:c>
      <x:c r="H24" s="717" t="str"/>
      <x:c r="I24" s="718" t="str">
        <x:v>Copertura/ultimo slot: da prendere a 1-2 crediti.</x:v>
      </x:c>
    </x:row>
    <x:row r="25">
      <x:c r="A25" s="716" t="str">
        <x:v>Centrocampista</x:v>
      </x:c>
      <x:c r="B25" s="717" t="str">
        <x:f>IF((COUNTIF(Asta!$B$4:$B$47,"Diallo O.")+COUNTIF(Asta!$D$4:$D$47,"Diallo O.")+COUNTIF(Asta!$F$4:$F$47,"Diallo O.")+COUNTIF(Asta!$H$4:$H$47,"Diallo O.")+COUNTIF(Asta!$J$4:$J$47,"Diallo O.")+COUNTIF(Asta!$L$4:$L$47,"Diallo O.")+COUNTIF(Asta!$N$4:$N$47,"Diallo O.")+COUNTIF(Asta!$P$4:$P$47,"Diallo O.")+COUNTIF(Asta!$R$4:$R$47,"Diallo O.")+COUNTIF(Asta!$T$4:$T$47,"Diallo O."))&gt;0,REGEXREPLACE("Diallo O.","(.)","$1"&amp;UNICHAR(822)),"Diallo O.")</x:f>
        <x:v>Diallo O.</x:v>
      </x:c>
      <x:c r="C25" s="717" t="str">
        <x:v>W;A</x:v>
      </x:c>
      <x:c r="D25" s="717" t="str">
        <x:v>Riserva / rotazione</x:v>
      </x:c>
      <x:c r="E25" s="717" t="n">
        <x:v>3</x:v>
      </x:c>
      <x:c r="F25" s="717" t="n">
        <x:v>6</x:v>
      </x:c>
      <x:c r="G25" s="717" t="str">
        <x:v>Scommessa</x:v>
      </x:c>
      <x:c r="H25" s="717" t="str"/>
      <x:c r="I25" s="718" t="str">
        <x:v>Copertura/ultimo slot: da prendere a 1-2 crediti.</x:v>
      </x:c>
    </x:row>
    <x:row r="26">
      <x:c r="A26" s="716" t="str">
        <x:v>Centrocampista</x:v>
      </x:c>
      <x:c r="B26" s="717" t="str">
        <x:f>IF((COUNTIF(Asta!$B$4:$B$47,"Sorensen O.")+COUNTIF(Asta!$D$4:$D$47,"Sorensen O.")+COUNTIF(Asta!$F$4:$F$47,"Sorensen O.")+COUNTIF(Asta!$H$4:$H$47,"Sorensen O.")+COUNTIF(Asta!$J$4:$J$47,"Sorensen O.")+COUNTIF(Asta!$L$4:$L$47,"Sorensen O.")+COUNTIF(Asta!$N$4:$N$47,"Sorensen O.")+COUNTIF(Asta!$P$4:$P$47,"Sorensen O.")+COUNTIF(Asta!$R$4:$R$47,"Sorensen O.")+COUNTIF(Asta!$T$4:$T$47,"Sorensen O."))&gt;0,REGEXREPLACE("Sorensen O.","(.)","$1"&amp;UNICHAR(822)),"Sorensen O.")</x:f>
        <x:v>Sorensen O.</x:v>
      </x:c>
      <x:c r="C26" s="717" t="str">
        <x:v>C</x:v>
      </x:c>
      <x:c r="D26" s="717" t="str">
        <x:v>Riserva / rotazione</x:v>
      </x:c>
      <x:c r="E26" s="717" t="n">
        <x:v>3</x:v>
      </x:c>
      <x:c r="F26" s="717" t="n">
        <x:v>6</x:v>
      </x:c>
      <x:c r="G26" s="717" t="str">
        <x:v>Scommessa</x:v>
      </x:c>
      <x:c r="H26" s="717" t="str"/>
      <x:c r="I26" s="718" t="str">
        <x:v>Copertura/ultimo slot: da prendere a 1-2 crediti.</x:v>
      </x:c>
    </x:row>
    <x:row r="27">
      <x:c r="A27" s="716" t="str">
        <x:v>Centrocampista</x:v>
      </x:c>
      <x:c r="B27" s="717" t="str">
        <x:f>IF((COUNTIF(Asta!$B$4:$B$47,"Ordonez C.")+COUNTIF(Asta!$D$4:$D$47,"Ordonez C.")+COUNTIF(Asta!$F$4:$F$47,"Ordonez C.")+COUNTIF(Asta!$H$4:$H$47,"Ordonez C.")+COUNTIF(Asta!$J$4:$J$47,"Ordonez C.")+COUNTIF(Asta!$L$4:$L$47,"Ordonez C.")+COUNTIF(Asta!$N$4:$N$47,"Ordonez C.")+COUNTIF(Asta!$P$4:$P$47,"Ordonez C.")+COUNTIF(Asta!$R$4:$R$47,"Ordonez C.")+COUNTIF(Asta!$T$4:$T$47,"Ordonez C."))&gt;0,REGEXREPLACE("Ordonez C.","(.)","$1"&amp;UNICHAR(822)),"Ordonez C.")</x:f>
        <x:v>Ordonez C.</x:v>
      </x:c>
      <x:c r="C27" s="717" t="str">
        <x:v>M;C</x:v>
      </x:c>
      <x:c r="D27" s="717" t="str">
        <x:v>Titolare</x:v>
      </x:c>
      <x:c r="E27" s="717" t="n">
        <x:v>2</x:v>
      </x:c>
      <x:c r="F27" s="717" t="n">
        <x:v>3</x:v>
      </x:c>
      <x:c r="G27" s="717" t="str">
        <x:v>Copertura</x:v>
      </x:c>
      <x:c r="H27" s="717" t="str"/>
      <x:c r="I27" s="718" t="str">
        <x:v>Titolare low cost: utile per completare il reparto.</x:v>
      </x:c>
    </x:row>
    <x:row r="28">
      <x:c r="A28" s="716" t="str">
        <x:v>Centrocampista</x:v>
      </x:c>
      <x:c r="B28" s="717" t="str">
        <x:f>IF((COUNTIF(Asta!$B$4:$B$47,"Cremaschi")+COUNTIF(Asta!$D$4:$D$47,"Cremaschi")+COUNTIF(Asta!$F$4:$F$47,"Cremaschi")+COUNTIF(Asta!$H$4:$H$47,"Cremaschi")+COUNTIF(Asta!$J$4:$J$47,"Cremaschi")+COUNTIF(Asta!$L$4:$L$47,"Cremaschi")+COUNTIF(Asta!$N$4:$N$47,"Cremaschi")+COUNTIF(Asta!$P$4:$P$47,"Cremaschi")+COUNTIF(Asta!$R$4:$R$47,"Cremaschi")+COUNTIF(Asta!$T$4:$T$47,"Cremaschi"))&gt;0,REGEXREPLACE("Cremaschi","(.)","$1"&amp;UNICHAR(822)),"Cremaschi")</x:f>
        <x:v>Cremaschi</x:v>
      </x:c>
      <x:c r="C28" s="717" t="str">
        <x:v>E;C</x:v>
      </x:c>
      <x:c r="D28" s="717" t="str">
        <x:v>Riserva / rotazione</x:v>
      </x:c>
      <x:c r="E28" s="717" t="n">
        <x:v>1</x:v>
      </x:c>
      <x:c r="F28" s="717" t="n">
        <x:v>2</x:v>
      </x:c>
      <x:c r="G28" s="717" t="str">
        <x:v>Copertura</x:v>
      </x:c>
      <x:c r="H28" s="717" t="str"/>
      <x:c r="I28" s="718" t="str">
        <x:v>Copertura/ultimo slot: da prendere a 1-2 crediti.</x:v>
      </x:c>
    </x:row>
    <x:row r="29">
      <x:c r="A29" s="719" t="str">
        <x:v>Attaccante</x:v>
      </x:c>
      <x:c r="B29" s="720" t="str">
        <x:f>IF((COUNTIF(Asta!$B$4:$B$47,"Pellegrino M.")+COUNTIF(Asta!$D$4:$D$47,"Pellegrino M.")+COUNTIF(Asta!$F$4:$F$47,"Pellegrino M.")+COUNTIF(Asta!$H$4:$H$47,"Pellegrino M.")+COUNTIF(Asta!$J$4:$J$47,"Pellegrino M.")+COUNTIF(Asta!$L$4:$L$47,"Pellegrino M.")+COUNTIF(Asta!$N$4:$N$47,"Pellegrino M.")+COUNTIF(Asta!$P$4:$P$47,"Pellegrino M.")+COUNTIF(Asta!$R$4:$R$47,"Pellegrino M.")+COUNTIF(Asta!$T$4:$T$47,"Pellegrino M."))&gt;0,REGEXREPLACE("Pellegrino M.","(.)","$1"&amp;UNICHAR(822)),"Pellegrino M.")</x:f>
        <x:v>Pellegrino M.</x:v>
      </x:c>
      <x:c r="C29" s="720" t="str">
        <x:v>Pc</x:v>
      </x:c>
      <x:c r="D29" s="720" t="str">
        <x:v>Riserva / rotazione</x:v>
      </x:c>
      <x:c r="E29" s="720" t="n">
        <x:v>15</x:v>
      </x:c>
      <x:c r="F29" s="720" t="n">
        <x:v>41</x:v>
      </x:c>
      <x:c r="G29" s="720" t="str">
        <x:v>Buon titolare con rischio minutaggio</x:v>
      </x:c>
      <x:c r="H29" s="720" t="str"/>
      <x:c r="I29" s="721" t="str">
        <x:v>Qualità interessante ma minutaggio incerto: occasione solo se il prezzo scende.</x:v>
      </x:c>
    </x:row>
    <x:row r="30">
      <x:c r="A30" s="719" t="str">
        <x:v>Attaccante</x:v>
      </x:c>
      <x:c r="B30" s="720" t="str">
        <x:f>IF((COUNTIF(Asta!$B$4:$B$47,"Frigan")+COUNTIF(Asta!$D$4:$D$47,"Frigan")+COUNTIF(Asta!$F$4:$F$47,"Frigan")+COUNTIF(Asta!$H$4:$H$47,"Frigan")+COUNTIF(Asta!$J$4:$J$47,"Frigan")+COUNTIF(Asta!$L$4:$L$47,"Frigan")+COUNTIF(Asta!$N$4:$N$47,"Frigan")+COUNTIF(Asta!$P$4:$P$47,"Frigan")+COUNTIF(Asta!$R$4:$R$47,"Frigan")+COUNTIF(Asta!$T$4:$T$47,"Frigan"))&gt;0,REGEXREPLACE("Frigan","(.)","$1"&amp;UNICHAR(822)),"Frigan")</x:f>
        <x:v>Frigan</x:v>
      </x:c>
      <x:c r="C30" s="720" t="str">
        <x:v>A</x:v>
      </x:c>
      <x:c r="D30" s="720" t="str">
        <x:v>Riserva / rotazione</x:v>
      </x:c>
      <x:c r="E30" s="720" t="n">
        <x:v>5</x:v>
      </x:c>
      <x:c r="F30" s="720" t="n">
        <x:v>7</x:v>
      </x:c>
      <x:c r="G30" s="720" t="str">
        <x:v>Scommessa</x:v>
      </x:c>
      <x:c r="H30" s="720" t="str"/>
      <x:c r="I30" s="721" t="str">
        <x:v>Copertura/ultimo slot: da prendere a 1-2 crediti.</x:v>
      </x:c>
    </x:row>
    <x:row r="31">
      <x:c r="A31" s="722" t="str">
        <x:v>Attaccante</x:v>
      </x:c>
      <x:c r="B31" s="723" t="str">
        <x:f>IF((COUNTIF(Asta!$B$4:$B$47,"Elphege")+COUNTIF(Asta!$D$4:$D$47,"Elphege")+COUNTIF(Asta!$F$4:$F$47,"Elphege")+COUNTIF(Asta!$H$4:$H$47,"Elphege")+COUNTIF(Asta!$J$4:$J$47,"Elphege")+COUNTIF(Asta!$L$4:$L$47,"Elphege")+COUNTIF(Asta!$N$4:$N$47,"Elphege")+COUNTIF(Asta!$P$4:$P$47,"Elphege")+COUNTIF(Asta!$R$4:$R$47,"Elphege")+COUNTIF(Asta!$T$4:$T$47,"Elphege"))&gt;0,REGEXREPLACE("Elphege","(.)","$1"&amp;UNICHAR(822)),"Elphege")</x:f>
        <x:v>Elphege</x:v>
      </x:c>
      <x:c r="C31" s="723" t="str">
        <x:v>Pc</x:v>
      </x:c>
      <x:c r="D31" s="723" t="str">
        <x:v>Riserva / rotazione</x:v>
      </x:c>
      <x:c r="E31" s="723" t="n">
        <x:v>3</x:v>
      </x:c>
      <x:c r="F31" s="723" t="n">
        <x:v>6</x:v>
      </x:c>
      <x:c r="G31" s="723" t="str">
        <x:v>Scommessa</x:v>
      </x:c>
      <x:c r="H31" s="723" t="str"/>
      <x:c r="I31" s="724" t="str">
        <x:v>Copertura/ultimo slot: da prendere a 1-2 crediti.</x:v>
      </x:c>
    </x:row>
    <x:row r="33">
      <x:c r="A33" s="630" t="str">
        <x:v>Fonte formazione/ballottaggi/rigoristi: Fantacalcio.it, aggiornamento 09/09/2026 — https://www.fantacalcio.it/news/calcio-italia/06_08_2026/asta-fantacalcio-le-probabili-formazioni-della-serie-a-enilive-2026-27-495558</x:v>
      </x:c>
      <x:c r="B33" s="630"/>
      <x:c r="C33" s="630"/>
      <x:c r="D33" s="630"/>
      <x:c r="E33" s="630"/>
      <x:c r="F33" s="630"/>
      <x:c r="G33" s="630"/>
      <x:c r="H33" s="630"/>
      <x:c r="I33" s="630"/>
    </x:row>
  </x:sheetData>
  <x:mergeCells>
    <x:mergeCell ref="A1:I1"/>
    <x:mergeCell ref="B4:I4"/>
    <x:mergeCell ref="B5:I5"/>
    <x:mergeCell ref="D3:I3"/>
    <x:mergeCell ref="D6:I6"/>
    <x:mergeCell ref="A33:I33"/>
  </x:mergeCells>
  <x:conditionalFormatting sqref="D9:D31">
    <x:cfRule type="expression" dxfId="32" priority="1">
      <x:formula>D9="Titolare"</x:formula>
    </x:cfRule>
    <x:cfRule type="expression" dxfId="33" priority="2">
      <x:formula>ISNUMBER(SEARCH("Ballottaggio",D9))</x:formula>
    </x:cfRule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1" hidden="0" customWidth="1"/>
    <x:col min="3" max="3" width="18" hidden="0" customWidth="1"/>
    <x:col min="4" max="4" width="23" hidden="0" customWidth="1"/>
    <x:col min="5" max="5" width="11" hidden="0" customWidth="1"/>
    <x:col min="6" max="6" width="12" hidden="0" customWidth="1"/>
    <x:col min="7" max="7" width="24" hidden="0" customWidth="1"/>
    <x:col min="8" max="8" width="20" hidden="0" customWidth="1"/>
    <x:col min="9" max="9" width="48" hidden="0" customWidth="1"/>
  </x:cols>
  <x:sheetData>
    <x:row r="1" ht="30" customHeight="1">
      <x:c r="A1" s="642" t="str">
        <x:v>ROMA — GUIDA ASTA 2026/27</x:v>
      </x:c>
      <x:c r="B1" s="643"/>
      <x:c r="C1" s="643"/>
      <x:c r="D1" s="643"/>
      <x:c r="E1" s="643"/>
      <x:c r="F1" s="643"/>
      <x:c r="G1" s="643"/>
      <x:c r="H1" s="643"/>
      <x:c r="I1" s="644"/>
    </x:row>
    <x:row r="3">
      <x:c r="A3" s="663" t="str">
        <x:v>Allenatore</x:v>
      </x:c>
      <x:c r="B3" s="681" t="str">
        <x:v>Gian Piero Gasperini</x:v>
      </x:c>
      <x:c r="C3" s="673" t="str">
        <x:v>Modulo</x:v>
      </x:c>
      <x:c r="D3" s="681" t="str">
        <x:v>3-4-2-1</x:v>
      </x:c>
      <x:c r="E3" s="681"/>
      <x:c r="F3" s="681"/>
      <x:c r="G3" s="681"/>
      <x:c r="H3" s="681"/>
      <x:c r="I3" s="682"/>
    </x:row>
    <x:row r="4" ht="38" customHeight="1">
      <x:c r="A4" s="664" t="str">
        <x:v>Formazione titolare</x:v>
      </x:c>
      <x:c r="B4" s="683" t="str">
        <x:v>Svilar; Mancini, N’Dicka, Hermoso; Molina, Koné, Cristante, Wesley; Dybala, Mora; Malen</x:v>
      </x:c>
      <x:c r="C4" s="676" t="str"/>
      <x:c r="D4" s="683" t="str"/>
      <x:c r="E4" s="683"/>
      <x:c r="F4" s="683"/>
      <x:c r="G4" s="683"/>
      <x:c r="H4" s="683"/>
      <x:c r="I4" s="684"/>
    </x:row>
    <x:row r="5" ht="38" customHeight="1">
      <x:c r="A5" s="664" t="str">
        <x:v>Ballottaggi</x:v>
      </x:c>
      <x:c r="B5" s="683" t="str">
        <x:v>Mora/Soulè</x:v>
      </x:c>
      <x:c r="C5" s="676" t="str"/>
      <x:c r="D5" s="683" t="str"/>
      <x:c r="E5" s="683"/>
      <x:c r="F5" s="683"/>
      <x:c r="G5" s="683"/>
      <x:c r="H5" s="683"/>
      <x:c r="I5" s="684"/>
    </x:row>
    <x:row r="6">
      <x:c r="A6" s="665" t="str">
        <x:v>Rigoristi</x:v>
      </x:c>
      <x:c r="B6" s="685" t="str">
        <x:v>Malen, Dybala, Castro</x:v>
      </x:c>
      <x:c r="C6" s="679" t="str">
        <x:v>Calci piazzati</x:v>
      </x:c>
      <x:c r="D6" s="685" t="str">
        <x:v>Dybala, Malen, Pellegrini</x:v>
      </x:c>
      <x:c r="E6" s="685"/>
      <x:c r="F6" s="685"/>
      <x:c r="G6" s="685"/>
      <x:c r="H6" s="685"/>
      <x:c r="I6" s="686"/>
    </x:row>
    <x:row r="8" ht="30" customHeight="1">
      <x:c r="A8" s="698" t="str">
        <x:v>Ruolo</x:v>
      </x:c>
      <x:c r="B8" s="699" t="str">
        <x:v>Calciatore</x:v>
      </x:c>
      <x:c r="C8" s="699" t="str">
        <x:v>Posizione</x:v>
      </x:c>
      <x:c r="D8" s="699" t="str">
        <x:v>Status</x:v>
      </x:c>
      <x:c r="E8" s="699" t="str">
        <x:v>Quotazione</x:v>
      </x:c>
      <x:c r="F8" s="699" t="str">
        <x:v>FVM su 504</x:v>
      </x:c>
      <x:c r="G8" s="699" t="str">
        <x:v>Fascia asta</x:v>
      </x:c>
      <x:c r="H8" s="699" t="str">
        <x:v>Specialità</x:v>
      </x:c>
      <x:c r="I8" s="700" t="str">
        <x:v>Consiglio Fantacalcio</x:v>
      </x:c>
    </x:row>
    <x:row r="9">
      <x:c r="A9" s="707" t="str">
        <x:v>Portiere</x:v>
      </x:c>
      <x:c r="B9" s="708" t="str">
        <x:f>IF((COUNTIF(Asta!$B$4:$B$47,"Svilar")+COUNTIF(Asta!$D$4:$D$47,"Svilar")+COUNTIF(Asta!$F$4:$F$47,"Svilar")+COUNTIF(Asta!$H$4:$H$47,"Svilar")+COUNTIF(Asta!$J$4:$J$47,"Svilar")+COUNTIF(Asta!$L$4:$L$47,"Svilar")+COUNTIF(Asta!$N$4:$N$47,"Svilar")+COUNTIF(Asta!$P$4:$P$47,"Svilar")+COUNTIF(Asta!$R$4:$R$47,"Svilar")+COUNTIF(Asta!$T$4:$T$47,"Svilar"))&gt;0,REGEXREPLACE("Svilar","(.)","$1"&amp;UNICHAR(822)),"Svilar")</x:f>
        <x:v>Svilar</x:v>
      </x:c>
      <x:c r="C9" s="708" t="str">
        <x:v>Por</x:v>
      </x:c>
      <x:c r="D9" s="708" t="str">
        <x:v>Titolare</x:v>
      </x:c>
      <x:c r="E9" s="708" t="n">
        <x:v>18</x:v>
      </x:c>
      <x:c r="F9" s="708" t="n">
        <x:v>33</x:v>
      </x:c>
      <x:c r="G9" s="708" t="str">
        <x:v>Buon titolare</x:v>
      </x:c>
      <x:c r="H9" s="708" t="str"/>
      <x:c r="I9" s="709" t="str">
        <x:v>Portiere da prendere come titolare di reparto; profilo affidabile per continuità.</x:v>
      </x:c>
    </x:row>
    <x:row r="10">
      <x:c r="A10" s="710" t="str">
        <x:v>Portiere</x:v>
      </x:c>
      <x:c r="B10" s="711" t="str">
        <x:f>IF((COUNTIF(Asta!$B$4:$B$47,"De Marzi")+COUNTIF(Asta!$D$4:$D$47,"De Marzi")+COUNTIF(Asta!$F$4:$F$47,"De Marzi")+COUNTIF(Asta!$H$4:$H$47,"De Marzi")+COUNTIF(Asta!$J$4:$J$47,"De Marzi")+COUNTIF(Asta!$L$4:$L$47,"De Marzi")+COUNTIF(Asta!$N$4:$N$47,"De Marzi")+COUNTIF(Asta!$P$4:$P$47,"De Marzi")+COUNTIF(Asta!$R$4:$R$47,"De Marzi")+COUNTIF(Asta!$T$4:$T$47,"De Marzi"))&gt;0,REGEXREPLACE("De Marzi","(.)","$1"&amp;UNICHAR(822)),"De Marzi")</x:f>
        <x:v>De Marzi</x:v>
      </x:c>
      <x:c r="C10" s="711" t="str">
        <x:v>Por</x:v>
      </x:c>
      <x:c r="D10" s="711" t="str">
        <x:v>Riserva / rotazione</x:v>
      </x:c>
      <x:c r="E10" s="711" t="n">
        <x:v>1</x:v>
      </x:c>
      <x:c r="F10" s="711" t="n">
        <x:v>1</x:v>
      </x:c>
      <x:c r="G10" s="711" t="str">
        <x:v>Copertura</x:v>
      </x:c>
      <x:c r="H10" s="711" t="str"/>
      <x:c r="I10" s="712" t="str">
        <x:v>Solo come secondo/terzo portiere o copertura del titolare.</x:v>
      </x:c>
    </x:row>
    <x:row r="11">
      <x:c r="A11" s="710" t="str">
        <x:v>Portiere</x:v>
      </x:c>
      <x:c r="B11" s="711" t="str">
        <x:f>IF((COUNTIF(Asta!$B$4:$B$47,"Gollini")+COUNTIF(Asta!$D$4:$D$47,"Gollini")+COUNTIF(Asta!$F$4:$F$47,"Gollini")+COUNTIF(Asta!$H$4:$H$47,"Gollini")+COUNTIF(Asta!$J$4:$J$47,"Gollini")+COUNTIF(Asta!$L$4:$L$47,"Gollini")+COUNTIF(Asta!$N$4:$N$47,"Gollini")+COUNTIF(Asta!$P$4:$P$47,"Gollini")+COUNTIF(Asta!$R$4:$R$47,"Gollini")+COUNTIF(Asta!$T$4:$T$47,"Gollini"))&gt;0,REGEXREPLACE("Gollini","(.)","$1"&amp;UNICHAR(822)),"Gollini")</x:f>
        <x:v>Gollini</x:v>
      </x:c>
      <x:c r="C11" s="711" t="str">
        <x:v>Por</x:v>
      </x:c>
      <x:c r="D11" s="711" t="str">
        <x:v>Riserva / rotazione</x:v>
      </x:c>
      <x:c r="E11" s="711" t="n">
        <x:v>1</x:v>
      </x:c>
      <x:c r="F11" s="711" t="n">
        <x:v>1</x:v>
      </x:c>
      <x:c r="G11" s="711" t="str">
        <x:v>Copertura</x:v>
      </x:c>
      <x:c r="H11" s="711" t="str"/>
      <x:c r="I11" s="712" t="str">
        <x:v>Solo come secondo/terzo portiere o copertura del titolare.</x:v>
      </x:c>
    </x:row>
    <x:row r="12">
      <x:c r="A12" s="713" t="str">
        <x:v>Difensore</x:v>
      </x:c>
      <x:c r="B12" s="714" t="str">
        <x:f>IF((COUNTIF(Asta!$B$4:$B$47,"Wesley")+COUNTIF(Asta!$D$4:$D$47,"Wesley")+COUNTIF(Asta!$F$4:$F$47,"Wesley")+COUNTIF(Asta!$H$4:$H$47,"Wesley")+COUNTIF(Asta!$J$4:$J$47,"Wesley")+COUNTIF(Asta!$L$4:$L$47,"Wesley")+COUNTIF(Asta!$N$4:$N$47,"Wesley")+COUNTIF(Asta!$P$4:$P$47,"Wesley")+COUNTIF(Asta!$R$4:$R$47,"Wesley")+COUNTIF(Asta!$T$4:$T$47,"Wesley"))&gt;0,REGEXREPLACE("Wesley","(.)","$1"&amp;UNICHAR(822)),"Wesley")</x:f>
        <x:v>Wesley</x:v>
      </x:c>
      <x:c r="C12" s="714" t="str">
        <x:v>E</x:v>
      </x:c>
      <x:c r="D12" s="714" t="str">
        <x:v>Titolare</x:v>
      </x:c>
      <x:c r="E12" s="714" t="n">
        <x:v>17</x:v>
      </x:c>
      <x:c r="F12" s="714" t="n">
        <x:v>45</x:v>
      </x:c>
      <x:c r="G12" s="714" t="str">
        <x:v>Premium</x:v>
      </x:c>
      <x:c r="H12" s="714" t="str"/>
      <x:c r="I12" s="715" t="str">
        <x:v>Da puntare: titolarità e alto potenziale fantacalcistico.</x:v>
      </x:c>
    </x:row>
    <x:row r="13">
      <x:c r="A13" s="713" t="str">
        <x:v>Difensore</x:v>
      </x:c>
      <x:c r="B13" s="714" t="str">
        <x:f>IF((COUNTIF(Asta!$B$4:$B$47,"Mancini")+COUNTIF(Asta!$D$4:$D$47,"Mancini")+COUNTIF(Asta!$F$4:$F$47,"Mancini")+COUNTIF(Asta!$H$4:$H$47,"Mancini")+COUNTIF(Asta!$J$4:$J$47,"Mancini")+COUNTIF(Asta!$L$4:$L$47,"Mancini")+COUNTIF(Asta!$N$4:$N$47,"Mancini")+COUNTIF(Asta!$P$4:$P$47,"Mancini")+COUNTIF(Asta!$R$4:$R$47,"Mancini")+COUNTIF(Asta!$T$4:$T$47,"Mancini"))&gt;0,REGEXREPLACE("Mancini","(.)","$1"&amp;UNICHAR(822)),"Mancini")</x:f>
        <x:v>Mancini</x:v>
      </x:c>
      <x:c r="C13" s="714" t="str">
        <x:v>Dc</x:v>
      </x:c>
      <x:c r="D13" s="714" t="str">
        <x:v>Titolare</x:v>
      </x:c>
      <x:c r="E13" s="714" t="n">
        <x:v>15</x:v>
      </x:c>
      <x:c r="F13" s="714" t="n">
        <x:v>25</x:v>
      </x:c>
      <x:c r="G13" s="714" t="str">
        <x:v>Buon titolare</x:v>
      </x:c>
      <x:c r="H13" s="714" t="str"/>
      <x:c r="I13" s="715" t="str">
        <x:v>Buon titolare di rosa, da prendere senza inseguire troppo il prezzo.</x:v>
      </x:c>
    </x:row>
    <x:row r="14">
      <x:c r="A14" s="713" t="str">
        <x:v>Difensore</x:v>
      </x:c>
      <x:c r="B14" s="714" t="str">
        <x:f>IF((COUNTIF(Asta!$B$4:$B$47,"N'Dicka")+COUNTIF(Asta!$D$4:$D$47,"N'Dicka")+COUNTIF(Asta!$F$4:$F$47,"N'Dicka")+COUNTIF(Asta!$H$4:$H$47,"N'Dicka")+COUNTIF(Asta!$J$4:$J$47,"N'Dicka")+COUNTIF(Asta!$L$4:$L$47,"N'Dicka")+COUNTIF(Asta!$N$4:$N$47,"N'Dicka")+COUNTIF(Asta!$P$4:$P$47,"N'Dicka")+COUNTIF(Asta!$R$4:$R$47,"N'Dicka")+COUNTIF(Asta!$T$4:$T$47,"N'Dicka"))&gt;0,REGEXREPLACE("N'Dicka","(.)","$1"&amp;UNICHAR(822)),"N'Dicka")</x:f>
        <x:v>N'Dicka</x:v>
      </x:c>
      <x:c r="C14" s="714" t="str">
        <x:v>Dc</x:v>
      </x:c>
      <x:c r="D14" s="714" t="str">
        <x:v>Riserva / rotazione</x:v>
      </x:c>
      <x:c r="E14" s="714" t="n">
        <x:v>13</x:v>
      </x:c>
      <x:c r="F14" s="714" t="n">
        <x:v>22</x:v>
      </x:c>
      <x:c r="G14" s="714" t="str">
        <x:v>Utile</x:v>
      </x:c>
      <x:c r="H14" s="714" t="str"/>
      <x:c r="I14" s="715" t="str">
        <x:v>Scommessa da ultimi slot, senza sovrapprezzo.</x:v>
      </x:c>
    </x:row>
    <x:row r="15">
      <x:c r="A15" s="713" t="str">
        <x:v>Difensore</x:v>
      </x:c>
      <x:c r="B15" s="714" t="str">
        <x:f>IF((COUNTIF(Asta!$B$4:$B$47,"Hermoso")+COUNTIF(Asta!$D$4:$D$47,"Hermoso")+COUNTIF(Asta!$F$4:$F$47,"Hermoso")+COUNTIF(Asta!$H$4:$H$47,"Hermoso")+COUNTIF(Asta!$J$4:$J$47,"Hermoso")+COUNTIF(Asta!$L$4:$L$47,"Hermoso")+COUNTIF(Asta!$N$4:$N$47,"Hermoso")+COUNTIF(Asta!$P$4:$P$47,"Hermoso")+COUNTIF(Asta!$R$4:$R$47,"Hermoso")+COUNTIF(Asta!$T$4:$T$47,"Hermoso"))&gt;0,REGEXREPLACE("Hermoso","(.)","$1"&amp;UNICHAR(822)),"Hermoso")</x:f>
        <x:v>Hermoso</x:v>
      </x:c>
      <x:c r="C15" s="714" t="str">
        <x:v>Dc</x:v>
      </x:c>
      <x:c r="D15" s="714" t="str">
        <x:v>Titolare</x:v>
      </x:c>
      <x:c r="E15" s="714" t="n">
        <x:v>10</x:v>
      </x:c>
      <x:c r="F15" s="714" t="n">
        <x:v>13</x:v>
      </x:c>
      <x:c r="G15" s="714" t="str">
        <x:v>Utile</x:v>
      </x:c>
      <x:c r="H15" s="714" t="str"/>
      <x:c r="I15" s="715" t="str">
        <x:v>Profilo utile per minutaggio e rotazioni; buon rapporto costo/titolarità.</x:v>
      </x:c>
    </x:row>
    <x:row r="16">
      <x:c r="A16" s="713" t="str">
        <x:v>Difensore</x:v>
      </x:c>
      <x:c r="B16" s="714" t="str">
        <x:f>IF((COUNTIF(Asta!$B$4:$B$47,"Koulierakis")+COUNTIF(Asta!$D$4:$D$47,"Koulierakis")+COUNTIF(Asta!$F$4:$F$47,"Koulierakis")+COUNTIF(Asta!$H$4:$H$47,"Koulierakis")+COUNTIF(Asta!$J$4:$J$47,"Koulierakis")+COUNTIF(Asta!$L$4:$L$47,"Koulierakis")+COUNTIF(Asta!$N$4:$N$47,"Koulierakis")+COUNTIF(Asta!$P$4:$P$47,"Koulierakis")+COUNTIF(Asta!$R$4:$R$47,"Koulierakis")+COUNTIF(Asta!$T$4:$T$47,"Koulierakis"))&gt;0,REGEXREPLACE("Koulierakis","(.)","$1"&amp;UNICHAR(822)),"Koulierakis")</x:f>
        <x:v>Koulierakis</x:v>
      </x:c>
      <x:c r="C16" s="714" t="str">
        <x:v>Dc</x:v>
      </x:c>
      <x:c r="D16" s="714" t="str">
        <x:v>Riserva / rotazione</x:v>
      </x:c>
      <x:c r="E16" s="714" t="n">
        <x:v>8</x:v>
      </x:c>
      <x:c r="F16" s="714" t="n">
        <x:v>10</x:v>
      </x:c>
      <x:c r="G16" s="714" t="str">
        <x:v>Utile</x:v>
      </x:c>
      <x:c r="H16" s="714" t="str"/>
      <x:c r="I16" s="715" t="str">
        <x:v>Scommessa da ultimi slot, senza sovrapprezzo.</x:v>
      </x:c>
    </x:row>
    <x:row r="17">
      <x:c r="A17" s="713" t="str">
        <x:v>Difensore</x:v>
      </x:c>
      <x:c r="B17" s="714" t="str">
        <x:f>IF((COUNTIF(Asta!$B$4:$B$47,"Rensch")+COUNTIF(Asta!$D$4:$D$47,"Rensch")+COUNTIF(Asta!$F$4:$F$47,"Rensch")+COUNTIF(Asta!$H$4:$H$47,"Rensch")+COUNTIF(Asta!$J$4:$J$47,"Rensch")+COUNTIF(Asta!$L$4:$L$47,"Rensch")+COUNTIF(Asta!$N$4:$N$47,"Rensch")+COUNTIF(Asta!$P$4:$P$47,"Rensch")+COUNTIF(Asta!$R$4:$R$47,"Rensch")+COUNTIF(Asta!$T$4:$T$47,"Rensch"))&gt;0,REGEXREPLACE("Rensch","(.)","$1"&amp;UNICHAR(822)),"Rensch")</x:f>
        <x:v>Rensch</x:v>
      </x:c>
      <x:c r="C17" s="714" t="str">
        <x:v>B;Dd;E</x:v>
      </x:c>
      <x:c r="D17" s="714" t="str">
        <x:v>Riserva / rotazione</x:v>
      </x:c>
      <x:c r="E17" s="714" t="n">
        <x:v>5</x:v>
      </x:c>
      <x:c r="F17" s="714" t="n">
        <x:v>8</x:v>
      </x:c>
      <x:c r="G17" s="714" t="str">
        <x:v>Scommessa</x:v>
      </x:c>
      <x:c r="H17" s="714" t="str"/>
      <x:c r="I17" s="715" t="str">
        <x:v>Scommessa da ultimi slot, senza sovrapprezzo.</x:v>
      </x:c>
    </x:row>
    <x:row r="18">
      <x:c r="A18" s="713" t="str">
        <x:v>Difensore</x:v>
      </x:c>
      <x:c r="B18" s="714" t="str">
        <x:f>IF((COUNTIF(Asta!$B$4:$B$47,"Angelino")+COUNTIF(Asta!$D$4:$D$47,"Angelino")+COUNTIF(Asta!$F$4:$F$47,"Angelino")+COUNTIF(Asta!$H$4:$H$47,"Angelino")+COUNTIF(Asta!$J$4:$J$47,"Angelino")+COUNTIF(Asta!$L$4:$L$47,"Angelino")+COUNTIF(Asta!$N$4:$N$47,"Angelino")+COUNTIF(Asta!$P$4:$P$47,"Angelino")+COUNTIF(Asta!$R$4:$R$47,"Angelino")+COUNTIF(Asta!$T$4:$T$47,"Angelino"))&gt;0,REGEXREPLACE("Angelino","(.)","$1"&amp;UNICHAR(822)),"Angelino")</x:f>
        <x:v>Angelino</x:v>
      </x:c>
      <x:c r="C18" s="714" t="str">
        <x:v>E</x:v>
      </x:c>
      <x:c r="D18" s="714" t="str">
        <x:v>Riserva / rotazione</x:v>
      </x:c>
      <x:c r="E18" s="714" t="n">
        <x:v>3</x:v>
      </x:c>
      <x:c r="F18" s="714" t="n">
        <x:v>6</x:v>
      </x:c>
      <x:c r="G18" s="714" t="str">
        <x:v>Scommessa</x:v>
      </x:c>
      <x:c r="H18" s="714" t="str"/>
      <x:c r="I18" s="715" t="str">
        <x:v>Copertura/ultimo slot: da prendere a 1-2 crediti.</x:v>
      </x:c>
    </x:row>
    <x:row r="19">
      <x:c r="A19" s="713" t="str">
        <x:v>Difensore</x:v>
      </x:c>
      <x:c r="B19" s="714" t="str">
        <x:f>IF((COUNTIF(Asta!$B$4:$B$47,"Ghilardi")+COUNTIF(Asta!$D$4:$D$47,"Ghilardi")+COUNTIF(Asta!$F$4:$F$47,"Ghilardi")+COUNTIF(Asta!$H$4:$H$47,"Ghilardi")+COUNTIF(Asta!$J$4:$J$47,"Ghilardi")+COUNTIF(Asta!$L$4:$L$47,"Ghilardi")+COUNTIF(Asta!$N$4:$N$47,"Ghilardi")+COUNTIF(Asta!$P$4:$P$47,"Ghilardi")+COUNTIF(Asta!$R$4:$R$47,"Ghilardi")+COUNTIF(Asta!$T$4:$T$47,"Ghilardi"))&gt;0,REGEXREPLACE("Ghilardi","(.)","$1"&amp;UNICHAR(822)),"Ghilardi")</x:f>
        <x:v>Ghilardi</x:v>
      </x:c>
      <x:c r="C19" s="714" t="str">
        <x:v>Dc</x:v>
      </x:c>
      <x:c r="D19" s="714" t="str">
        <x:v>Riserva / rotazione</x:v>
      </x:c>
      <x:c r="E19" s="714" t="n">
        <x:v>4</x:v>
      </x:c>
      <x:c r="F19" s="714" t="n">
        <x:v>5</x:v>
      </x:c>
      <x:c r="G19" s="714" t="str">
        <x:v>Scommessa</x:v>
      </x:c>
      <x:c r="H19" s="714" t="str"/>
      <x:c r="I19" s="715" t="str">
        <x:v>Copertura/ultimo slot: da prendere a 1-2 crediti.</x:v>
      </x:c>
    </x:row>
    <x:row r="20">
      <x:c r="A20" s="713" t="str">
        <x:v>Difensore</x:v>
      </x:c>
      <x:c r="B20" s="714" t="str">
        <x:f>IF((COUNTIF(Asta!$B$4:$B$47,"Ziolkowski")+COUNTIF(Asta!$D$4:$D$47,"Ziolkowski")+COUNTIF(Asta!$F$4:$F$47,"Ziolkowski")+COUNTIF(Asta!$H$4:$H$47,"Ziolkowski")+COUNTIF(Asta!$J$4:$J$47,"Ziolkowski")+COUNTIF(Asta!$L$4:$L$47,"Ziolkowski")+COUNTIF(Asta!$N$4:$N$47,"Ziolkowski")+COUNTIF(Asta!$P$4:$P$47,"Ziolkowski")+COUNTIF(Asta!$R$4:$R$47,"Ziolkowski")+COUNTIF(Asta!$T$4:$T$47,"Ziolkowski"))&gt;0,REGEXREPLACE("Ziolkowski","(.)","$1"&amp;UNICHAR(822)),"Ziolkowski")</x:f>
        <x:v>Ziolkowski</x:v>
      </x:c>
      <x:c r="C20" s="714" t="str">
        <x:v>Dc</x:v>
      </x:c>
      <x:c r="D20" s="714" t="str">
        <x:v>Riserva / rotazione</x:v>
      </x:c>
      <x:c r="E20" s="714" t="n">
        <x:v>1</x:v>
      </x:c>
      <x:c r="F20" s="714" t="n">
        <x:v>1</x:v>
      </x:c>
      <x:c r="G20" s="714" t="str">
        <x:v>Copertura</x:v>
      </x:c>
      <x:c r="H20" s="714" t="str"/>
      <x:c r="I20" s="715" t="str">
        <x:v>Copertura/ultimo slot: da prendere a 1-2 crediti.</x:v>
      </x:c>
    </x:row>
    <x:row r="21">
      <x:c r="A21" s="716" t="str">
        <x:v>Centrocampista</x:v>
      </x:c>
      <x:c r="B21" s="717" t="str">
        <x:f>IF((COUNTIF(Asta!$B$4:$B$47,"Konè M.")+COUNTIF(Asta!$D$4:$D$47,"Konè M.")+COUNTIF(Asta!$F$4:$F$47,"Konè M.")+COUNTIF(Asta!$H$4:$H$47,"Konè M.")+COUNTIF(Asta!$J$4:$J$47,"Konè M.")+COUNTIF(Asta!$L$4:$L$47,"Konè M.")+COUNTIF(Asta!$N$4:$N$47,"Konè M.")+COUNTIF(Asta!$P$4:$P$47,"Konè M.")+COUNTIF(Asta!$R$4:$R$47,"Konè M.")+COUNTIF(Asta!$T$4:$T$47,"Konè M."))&gt;0,REGEXREPLACE("Konè M.","(.)","$1"&amp;UNICHAR(822)),"Konè M.")</x:f>
        <x:v>Konè M.</x:v>
      </x:c>
      <x:c r="C21" s="717" t="str">
        <x:v>M;C</x:v>
      </x:c>
      <x:c r="D21" s="717" t="str">
        <x:v>Titolare</x:v>
      </x:c>
      <x:c r="E21" s="717" t="n">
        <x:v>10</x:v>
      </x:c>
      <x:c r="F21" s="717" t="n">
        <x:v>21</x:v>
      </x:c>
      <x:c r="G21" s="717" t="str">
        <x:v>Utile</x:v>
      </x:c>
      <x:c r="H21" s="717" t="str"/>
      <x:c r="I21" s="718" t="str">
        <x:v>Profilo utile per minutaggio e rotazioni; buon rapporto costo/titolarità.</x:v>
      </x:c>
    </x:row>
    <x:row r="22">
      <x:c r="A22" s="716" t="str">
        <x:v>Centrocampista</x:v>
      </x:c>
      <x:c r="B22" s="717" t="str">
        <x:f>IF((COUNTIF(Asta!$B$4:$B$47,"Cristante")+COUNTIF(Asta!$D$4:$D$47,"Cristante")+COUNTIF(Asta!$F$4:$F$47,"Cristante")+COUNTIF(Asta!$H$4:$H$47,"Cristante")+COUNTIF(Asta!$J$4:$J$47,"Cristante")+COUNTIF(Asta!$L$4:$L$47,"Cristante")+COUNTIF(Asta!$N$4:$N$47,"Cristante")+COUNTIF(Asta!$P$4:$P$47,"Cristante")+COUNTIF(Asta!$R$4:$R$47,"Cristante")+COUNTIF(Asta!$T$4:$T$47,"Cristante"))&gt;0,REGEXREPLACE("Cristante","(.)","$1"&amp;UNICHAR(822)),"Cristante")</x:f>
        <x:v>Cristante</x:v>
      </x:c>
      <x:c r="C22" s="717" t="str">
        <x:v>M;C</x:v>
      </x:c>
      <x:c r="D22" s="717" t="str">
        <x:v>Titolare</x:v>
      </x:c>
      <x:c r="E22" s="717" t="n">
        <x:v>8</x:v>
      </x:c>
      <x:c r="F22" s="717" t="n">
        <x:v>15</x:v>
      </x:c>
      <x:c r="G22" s="717" t="str">
        <x:v>Utile</x:v>
      </x:c>
      <x:c r="H22" s="717" t="str"/>
      <x:c r="I22" s="718" t="str">
        <x:v>Profilo utile per minutaggio e rotazioni; buon rapporto costo/titolarità.</x:v>
      </x:c>
    </x:row>
    <x:row r="23">
      <x:c r="A23" s="716" t="str">
        <x:v>Centrocampista</x:v>
      </x:c>
      <x:c r="B23" s="717" t="str">
        <x:f>IF((COUNTIF(Asta!$B$4:$B$47,"El Aynaoui")+COUNTIF(Asta!$D$4:$D$47,"El Aynaoui")+COUNTIF(Asta!$F$4:$F$47,"El Aynaoui")+COUNTIF(Asta!$H$4:$H$47,"El Aynaoui")+COUNTIF(Asta!$J$4:$J$47,"El Aynaoui")+COUNTIF(Asta!$L$4:$L$47,"El Aynaoui")+COUNTIF(Asta!$N$4:$N$47,"El Aynaoui")+COUNTIF(Asta!$P$4:$P$47,"El Aynaoui")+COUNTIF(Asta!$R$4:$R$47,"El Aynaoui")+COUNTIF(Asta!$T$4:$T$47,"El Aynaoui"))&gt;0,REGEXREPLACE("El Aynaoui","(.)","$1"&amp;UNICHAR(822)),"El Aynaoui")</x:f>
        <x:v>El Aynaoui</x:v>
      </x:c>
      <x:c r="C23" s="717" t="str">
        <x:v>M;C</x:v>
      </x:c>
      <x:c r="D23" s="717" t="str">
        <x:v>Riserva / rotazione</x:v>
      </x:c>
      <x:c r="E23" s="717" t="n">
        <x:v>4</x:v>
      </x:c>
      <x:c r="F23" s="717" t="n">
        <x:v>9</x:v>
      </x:c>
      <x:c r="G23" s="717" t="str">
        <x:v>Scommessa</x:v>
      </x:c>
      <x:c r="H23" s="717" t="str"/>
      <x:c r="I23" s="718" t="str">
        <x:v>Scommessa da ultimi slot, senza sovrapprezzo.</x:v>
      </x:c>
    </x:row>
    <x:row r="24">
      <x:c r="A24" s="716" t="str">
        <x:v>Centrocampista</x:v>
      </x:c>
      <x:c r="B24" s="717" t="str">
        <x:f>IF((COUNTIF(Asta!$B$4:$B$47,"Pisilli")+COUNTIF(Asta!$D$4:$D$47,"Pisilli")+COUNTIF(Asta!$F$4:$F$47,"Pisilli")+COUNTIF(Asta!$H$4:$H$47,"Pisilli")+COUNTIF(Asta!$J$4:$J$47,"Pisilli")+COUNTIF(Asta!$L$4:$L$47,"Pisilli")+COUNTIF(Asta!$N$4:$N$47,"Pisilli")+COUNTIF(Asta!$P$4:$P$47,"Pisilli")+COUNTIF(Asta!$R$4:$R$47,"Pisilli")+COUNTIF(Asta!$T$4:$T$47,"Pisilli"))&gt;0,REGEXREPLACE("Pisilli","(.)","$1"&amp;UNICHAR(822)),"Pisilli")</x:f>
        <x:v>Pisilli</x:v>
      </x:c>
      <x:c r="C24" s="717" t="str">
        <x:v>C</x:v>
      </x:c>
      <x:c r="D24" s="717" t="str">
        <x:v>Riserva / rotazione</x:v>
      </x:c>
      <x:c r="E24" s="717" t="n">
        <x:v>5</x:v>
      </x:c>
      <x:c r="F24" s="717" t="n">
        <x:v>9</x:v>
      </x:c>
      <x:c r="G24" s="717" t="str">
        <x:v>Scommessa</x:v>
      </x:c>
      <x:c r="H24" s="717" t="str"/>
      <x:c r="I24" s="718" t="str">
        <x:v>Scommessa da ultimi slot, senza sovrapprezzo.</x:v>
      </x:c>
    </x:row>
    <x:row r="25">
      <x:c r="A25" s="719" t="str">
        <x:v>Attaccante</x:v>
      </x:c>
      <x:c r="B25" s="720" t="str">
        <x:f>IF((COUNTIF(Asta!$B$4:$B$47,"Malen")+COUNTIF(Asta!$D$4:$D$47,"Malen")+COUNTIF(Asta!$F$4:$F$47,"Malen")+COUNTIF(Asta!$H$4:$H$47,"Malen")+COUNTIF(Asta!$J$4:$J$47,"Malen")+COUNTIF(Asta!$L$4:$L$47,"Malen")+COUNTIF(Asta!$N$4:$N$47,"Malen")+COUNTIF(Asta!$P$4:$P$47,"Malen")+COUNTIF(Asta!$R$4:$R$47,"Malen")+COUNTIF(Asta!$T$4:$T$47,"Malen"))&gt;0,REGEXREPLACE("Malen","(.)","$1"&amp;UNICHAR(822)),"Malen")</x:f>
        <x:v>Malen</x:v>
      </x:c>
      <x:c r="C25" s="720" t="str">
        <x:v>Pc</x:v>
      </x:c>
      <x:c r="D25" s="720" t="str">
        <x:v>Titolare</x:v>
      </x:c>
      <x:c r="E25" s="720" t="n">
        <x:v>34</x:v>
      </x:c>
      <x:c r="F25" s="720" t="n">
        <x:v>184</x:v>
      </x:c>
      <x:c r="G25" s="720" t="str">
        <x:v>Top</x:v>
      </x:c>
      <x:c r="H25" s="720" t="str">
        <x:v>Rigorista · Piazzati</x:v>
      </x:c>
      <x:c r="I25" s="721" t="str">
        <x:v>Da puntare: titolarità e alto potenziale fantacalcistico. Plus importante: è indicato tra i rigoristi.</x:v>
      </x:c>
    </x:row>
    <x:row r="26">
      <x:c r="A26" s="719" t="str">
        <x:v>Attaccante</x:v>
      </x:c>
      <x:c r="B26" s="720" t="str">
        <x:f>IF((COUNTIF(Asta!$B$4:$B$47,"Castro S.")+COUNTIF(Asta!$D$4:$D$47,"Castro S.")+COUNTIF(Asta!$F$4:$F$47,"Castro S.")+COUNTIF(Asta!$H$4:$H$47,"Castro S.")+COUNTIF(Asta!$J$4:$J$47,"Castro S.")+COUNTIF(Asta!$L$4:$L$47,"Castro S.")+COUNTIF(Asta!$N$4:$N$47,"Castro S.")+COUNTIF(Asta!$P$4:$P$47,"Castro S.")+COUNTIF(Asta!$R$4:$R$47,"Castro S.")+COUNTIF(Asta!$T$4:$T$47,"Castro S."))&gt;0,REGEXREPLACE("Castro S.","(.)","$1"&amp;UNICHAR(822)),"Castro S.")</x:f>
        <x:v>Castro S.</x:v>
      </x:c>
      <x:c r="C26" s="720" t="str">
        <x:v>Pc</x:v>
      </x:c>
      <x:c r="D26" s="720" t="str">
        <x:v>Riserva / rotazione</x:v>
      </x:c>
      <x:c r="E26" s="720" t="n">
        <x:v>14</x:v>
      </x:c>
      <x:c r="F26" s="720" t="n">
        <x:v>42</x:v>
      </x:c>
      <x:c r="G26" s="720" t="str">
        <x:v>Buon titolare con rischio minutaggio</x:v>
      </x:c>
      <x:c r="H26" s="720" t="str">
        <x:v>Rigorista</x:v>
      </x:c>
      <x:c r="I26" s="721" t="str">
        <x:v>Qualità interessante ma minutaggio incerto: occasione solo se il prezzo scende. Plus importante: è indicato tra i rigoristi.</x:v>
      </x:c>
    </x:row>
    <x:row r="27">
      <x:c r="A27" s="719" t="str">
        <x:v>Attaccante</x:v>
      </x:c>
      <x:c r="B27" s="720" t="str">
        <x:f>IF((COUNTIF(Asta!$B$4:$B$47,"Dybala")+COUNTIF(Asta!$D$4:$D$47,"Dybala")+COUNTIF(Asta!$F$4:$F$47,"Dybala")+COUNTIF(Asta!$H$4:$H$47,"Dybala")+COUNTIF(Asta!$J$4:$J$47,"Dybala")+COUNTIF(Asta!$L$4:$L$47,"Dybala")+COUNTIF(Asta!$N$4:$N$47,"Dybala")+COUNTIF(Asta!$P$4:$P$47,"Dybala")+COUNTIF(Asta!$R$4:$R$47,"Dybala")+COUNTIF(Asta!$T$4:$T$47,"Dybala"))&gt;0,REGEXREPLACE("Dybala","(.)","$1"&amp;UNICHAR(822)),"Dybala")</x:f>
        <x:v>Dybala</x:v>
      </x:c>
      <x:c r="C27" s="720" t="str">
        <x:v>A</x:v>
      </x:c>
      <x:c r="D27" s="720" t="str">
        <x:v>Titolare</x:v>
      </x:c>
      <x:c r="E27" s="720" t="n">
        <x:v>14</x:v>
      </x:c>
      <x:c r="F27" s="720" t="n">
        <x:v>34</x:v>
      </x:c>
      <x:c r="G27" s="720" t="str">
        <x:v>Buon titolare</x:v>
      </x:c>
      <x:c r="H27" s="720" t="str">
        <x:v>Rigorista · Piazzati</x:v>
      </x:c>
      <x:c r="I27" s="721" t="str">
        <x:v>Buon titolare di rosa, da prendere senza inseguire troppo il prezzo. Plus importante: è indicato tra i rigoristi.</x:v>
      </x:c>
    </x:row>
    <x:row r="28">
      <x:c r="A28" s="719" t="str">
        <x:v>Attaccante</x:v>
      </x:c>
      <x:c r="B28" s="720" t="str">
        <x:f>IF((COUNTIF(Asta!$B$4:$B$47,"Soulè")+COUNTIF(Asta!$D$4:$D$47,"Soulè")+COUNTIF(Asta!$F$4:$F$47,"Soulè")+COUNTIF(Asta!$H$4:$H$47,"Soulè")+COUNTIF(Asta!$J$4:$J$47,"Soulè")+COUNTIF(Asta!$L$4:$L$47,"Soulè")+COUNTIF(Asta!$N$4:$N$47,"Soulè")+COUNTIF(Asta!$P$4:$P$47,"Soulè")+COUNTIF(Asta!$R$4:$R$47,"Soulè")+COUNTIF(Asta!$T$4:$T$47,"Soulè"))&gt;0,REGEXREPLACE("Soulè","(.)","$1"&amp;UNICHAR(822)),"Soulè")</x:f>
        <x:v>Soulè</x:v>
      </x:c>
      <x:c r="C28" s="720" t="str">
        <x:v>A</x:v>
      </x:c>
      <x:c r="D28" s="720" t="str">
        <x:v>Ballottaggio</x:v>
      </x:c>
      <x:c r="E28" s="720" t="n">
        <x:v>12</x:v>
      </x:c>
      <x:c r="F28" s="720" t="n">
        <x:v>28</x:v>
      </x:c>
      <x:c r="G28" s="720" t="str">
        <x:v>Buon titolare</x:v>
      </x:c>
      <x:c r="H28" s="720" t="str"/>
      <x:c r="I28" s="721" t="str">
        <x:v>Interessante per bonus, ma non pagarlo come titolare fisso.</x:v>
      </x:c>
    </x:row>
    <x:row r="29">
      <x:c r="A29" s="722" t="str">
        <x:v>Attaccante</x:v>
      </x:c>
      <x:c r="B29" s="723" t="str">
        <x:f>IF((COUNTIF(Asta!$B$4:$B$47,"Vaz")+COUNTIF(Asta!$D$4:$D$47,"Vaz")+COUNTIF(Asta!$F$4:$F$47,"Vaz")+COUNTIF(Asta!$H$4:$H$47,"Vaz")+COUNTIF(Asta!$J$4:$J$47,"Vaz")+COUNTIF(Asta!$L$4:$L$47,"Vaz")+COUNTIF(Asta!$N$4:$N$47,"Vaz")+COUNTIF(Asta!$P$4:$P$47,"Vaz")+COUNTIF(Asta!$R$4:$R$47,"Vaz")+COUNTIF(Asta!$T$4:$T$47,"Vaz"))&gt;0,REGEXREPLACE("Vaz","(.)","$1"&amp;UNICHAR(822)),"Vaz")</x:f>
        <x:v>Vaz</x:v>
      </x:c>
      <x:c r="C29" s="723" t="str">
        <x:v>Pc</x:v>
      </x:c>
      <x:c r="D29" s="723" t="str">
        <x:v>Riserva / rotazione</x:v>
      </x:c>
      <x:c r="E29" s="723" t="n">
        <x:v>1</x:v>
      </x:c>
      <x:c r="F29" s="723" t="n">
        <x:v>2</x:v>
      </x:c>
      <x:c r="G29" s="723" t="str">
        <x:v>Copertura</x:v>
      </x:c>
      <x:c r="H29" s="723" t="str"/>
      <x:c r="I29" s="724" t="str">
        <x:v>Copertura/ultimo slot: da prendere a 1-2 crediti.</x:v>
      </x:c>
    </x:row>
    <x:row r="31">
      <x:c r="A31" s="630" t="str">
        <x:v>Fonte formazione/ballottaggi/rigoristi: Fantacalcio.it, aggiornamento 09/09/2026 — https://www.fantacalcio.it/news/calcio-italia/06_08_2026/asta-fantacalcio-le-probabili-formazioni-della-serie-a-enilive-2026-27-495558</x:v>
      </x:c>
      <x:c r="B31" s="630"/>
      <x:c r="C31" s="630"/>
      <x:c r="D31" s="630"/>
      <x:c r="E31" s="630"/>
      <x:c r="F31" s="630"/>
      <x:c r="G31" s="630"/>
      <x:c r="H31" s="630"/>
      <x:c r="I31" s="630"/>
    </x:row>
  </x:sheetData>
  <x:mergeCells>
    <x:mergeCell ref="A1:I1"/>
    <x:mergeCell ref="B4:I4"/>
    <x:mergeCell ref="B5:I5"/>
    <x:mergeCell ref="D3:I3"/>
    <x:mergeCell ref="D6:I6"/>
    <x:mergeCell ref="A31:I31"/>
  </x:mergeCells>
  <x:conditionalFormatting sqref="D9:D29">
    <x:cfRule type="expression" dxfId="34" priority="1">
      <x:formula>D9="Titolare"</x:formula>
    </x:cfRule>
    <x:cfRule type="expression" dxfId="35" priority="2">
      <x:formula>ISNUMBER(SEARCH("Ballottaggio",D9))</x:formula>
    </x:cfRule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1" hidden="0" customWidth="1"/>
    <x:col min="3" max="3" width="18" hidden="0" customWidth="1"/>
    <x:col min="4" max="4" width="23" hidden="0" customWidth="1"/>
    <x:col min="5" max="5" width="11" hidden="0" customWidth="1"/>
    <x:col min="6" max="6" width="12" hidden="0" customWidth="1"/>
    <x:col min="7" max="7" width="24" hidden="0" customWidth="1"/>
    <x:col min="8" max="8" width="20" hidden="0" customWidth="1"/>
    <x:col min="9" max="9" width="48" hidden="0" customWidth="1"/>
  </x:cols>
  <x:sheetData>
    <x:row r="1" ht="30" customHeight="1">
      <x:c r="A1" s="642" t="str">
        <x:v>SASSUOLO — GUIDA ASTA 2026/27</x:v>
      </x:c>
      <x:c r="B1" s="643"/>
      <x:c r="C1" s="643"/>
      <x:c r="D1" s="643"/>
      <x:c r="E1" s="643"/>
      <x:c r="F1" s="643"/>
      <x:c r="G1" s="643"/>
      <x:c r="H1" s="643"/>
      <x:c r="I1" s="644"/>
    </x:row>
    <x:row r="3">
      <x:c r="A3" s="663" t="str">
        <x:v>Allenatore</x:v>
      </x:c>
      <x:c r="B3" s="681" t="str">
        <x:v>Alberto Aquilani</x:v>
      </x:c>
      <x:c r="C3" s="673" t="str">
        <x:v>Modulo</x:v>
      </x:c>
      <x:c r="D3" s="681" t="str">
        <x:v>4-3-3</x:v>
      </x:c>
      <x:c r="E3" s="681"/>
      <x:c r="F3" s="681"/>
      <x:c r="G3" s="681"/>
      <x:c r="H3" s="681"/>
      <x:c r="I3" s="682"/>
    </x:row>
    <x:row r="4" ht="38" customHeight="1">
      <x:c r="A4" s="664" t="str">
        <x:v>Formazione titolare</x:v>
      </x:c>
      <x:c r="B4" s="683" t="str">
        <x:v>Muric; Van der Brempt, Idzes, Caleta-Car, Obrador; Thorstvedt, Matic, Adzic; Berardi, Esposito, Laurientè</x:v>
      </x:c>
      <x:c r="C4" s="676" t="str"/>
      <x:c r="D4" s="683" t="str"/>
      <x:c r="E4" s="683"/>
      <x:c r="F4" s="683"/>
      <x:c r="G4" s="683"/>
      <x:c r="H4" s="683"/>
      <x:c r="I4" s="684"/>
    </x:row>
    <x:row r="5" ht="38" customHeight="1">
      <x:c r="A5" s="664" t="str">
        <x:v>Ballottaggi</x:v>
      </x:c>
      <x:c r="B5" s="683" t="str">
        <x:v>Van der Brempt/Cinquegrano; Caleta-Car/Leysen; Obrador/Doig; Adzic/Bakola; Esposito/Bowie</x:v>
      </x:c>
      <x:c r="C5" s="676" t="str"/>
      <x:c r="D5" s="683" t="str"/>
      <x:c r="E5" s="683"/>
      <x:c r="F5" s="683"/>
      <x:c r="G5" s="683"/>
      <x:c r="H5" s="683"/>
      <x:c r="I5" s="684"/>
    </x:row>
    <x:row r="6">
      <x:c r="A6" s="665" t="str">
        <x:v>Rigoristi</x:v>
      </x:c>
      <x:c r="B6" s="685" t="str">
        <x:v>Berardi, Esposito, Laurientè</x:v>
      </x:c>
      <x:c r="C6" s="679" t="str">
        <x:v>Calci piazzati</x:v>
      </x:c>
      <x:c r="D6" s="685" t="str">
        <x:v>Berardi, Laurientè, Adzic</x:v>
      </x:c>
      <x:c r="E6" s="685"/>
      <x:c r="F6" s="685"/>
      <x:c r="G6" s="685"/>
      <x:c r="H6" s="685"/>
      <x:c r="I6" s="686"/>
    </x:row>
    <x:row r="8" ht="30" customHeight="1">
      <x:c r="A8" s="698" t="str">
        <x:v>Ruolo</x:v>
      </x:c>
      <x:c r="B8" s="699" t="str">
        <x:v>Calciatore</x:v>
      </x:c>
      <x:c r="C8" s="699" t="str">
        <x:v>Posizione</x:v>
      </x:c>
      <x:c r="D8" s="699" t="str">
        <x:v>Status</x:v>
      </x:c>
      <x:c r="E8" s="699" t="str">
        <x:v>Quotazione</x:v>
      </x:c>
      <x:c r="F8" s="699" t="str">
        <x:v>FVM su 504</x:v>
      </x:c>
      <x:c r="G8" s="699" t="str">
        <x:v>Fascia asta</x:v>
      </x:c>
      <x:c r="H8" s="699" t="str">
        <x:v>Specialità</x:v>
      </x:c>
      <x:c r="I8" s="700" t="str">
        <x:v>Consiglio Fantacalcio</x:v>
      </x:c>
    </x:row>
    <x:row r="9">
      <x:c r="A9" s="707" t="str">
        <x:v>Portiere</x:v>
      </x:c>
      <x:c r="B9" s="708" t="str">
        <x:f>IF((COUNTIF(Asta!$B$4:$B$47,"Muric")+COUNTIF(Asta!$D$4:$D$47,"Muric")+COUNTIF(Asta!$F$4:$F$47,"Muric")+COUNTIF(Asta!$H$4:$H$47,"Muric")+COUNTIF(Asta!$J$4:$J$47,"Muric")+COUNTIF(Asta!$L$4:$L$47,"Muric")+COUNTIF(Asta!$N$4:$N$47,"Muric")+COUNTIF(Asta!$P$4:$P$47,"Muric")+COUNTIF(Asta!$R$4:$R$47,"Muric")+COUNTIF(Asta!$T$4:$T$47,"Muric"))&gt;0,REGEXREPLACE("Muric","(.)","$1"&amp;UNICHAR(822)),"Muric")</x:f>
        <x:v>Muric</x:v>
      </x:c>
      <x:c r="C9" s="708" t="str">
        <x:v>Por</x:v>
      </x:c>
      <x:c r="D9" s="708" t="str">
        <x:v>Titolare</x:v>
      </x:c>
      <x:c r="E9" s="708" t="n">
        <x:v>7</x:v>
      </x:c>
      <x:c r="F9" s="708" t="n">
        <x:v>8</x:v>
      </x:c>
      <x:c r="G9" s="708" t="str">
        <x:v>Scommessa</x:v>
      </x:c>
      <x:c r="H9" s="708" t="str"/>
      <x:c r="I9" s="709" t="str">
        <x:v>Portiere da prendere come titolare di reparto, meglio se abbinato a un secondo portiere affidabile.</x:v>
      </x:c>
    </x:row>
    <x:row r="10">
      <x:c r="A10" s="710" t="str">
        <x:v>Portiere</x:v>
      </x:c>
      <x:c r="B10" s="711" t="str">
        <x:f>IF((COUNTIF(Asta!$B$4:$B$47,"Turati")+COUNTIF(Asta!$D$4:$D$47,"Turati")+COUNTIF(Asta!$F$4:$F$47,"Turati")+COUNTIF(Asta!$H$4:$H$47,"Turati")+COUNTIF(Asta!$J$4:$J$47,"Turati")+COUNTIF(Asta!$L$4:$L$47,"Turati")+COUNTIF(Asta!$N$4:$N$47,"Turati")+COUNTIF(Asta!$P$4:$P$47,"Turati")+COUNTIF(Asta!$R$4:$R$47,"Turati")+COUNTIF(Asta!$T$4:$T$47,"Turati"))&gt;0,REGEXREPLACE("Turati","(.)","$1"&amp;UNICHAR(822)),"Turati")</x:f>
        <x:v>Turati</x:v>
      </x:c>
      <x:c r="C10" s="711" t="str">
        <x:v>Por</x:v>
      </x:c>
      <x:c r="D10" s="711" t="str">
        <x:v>Riserva / rotazione</x:v>
      </x:c>
      <x:c r="E10" s="711" t="n">
        <x:v>1</x:v>
      </x:c>
      <x:c r="F10" s="711" t="n">
        <x:v>2</x:v>
      </x:c>
      <x:c r="G10" s="711" t="str">
        <x:v>Copertura</x:v>
      </x:c>
      <x:c r="H10" s="711" t="str"/>
      <x:c r="I10" s="712" t="str">
        <x:v>Solo come secondo/terzo portiere o copertura del titolare.</x:v>
      </x:c>
    </x:row>
    <x:row r="11">
      <x:c r="A11" s="710" t="str">
        <x:v>Portiere</x:v>
      </x:c>
      <x:c r="B11" s="711" t="str">
        <x:f>IF((COUNTIF(Asta!$B$4:$B$47,"Russo A.")+COUNTIF(Asta!$D$4:$D$47,"Russo A.")+COUNTIF(Asta!$F$4:$F$47,"Russo A.")+COUNTIF(Asta!$H$4:$H$47,"Russo A.")+COUNTIF(Asta!$J$4:$J$47,"Russo A.")+COUNTIF(Asta!$L$4:$L$47,"Russo A.")+COUNTIF(Asta!$N$4:$N$47,"Russo A.")+COUNTIF(Asta!$P$4:$P$47,"Russo A.")+COUNTIF(Asta!$R$4:$R$47,"Russo A.")+COUNTIF(Asta!$T$4:$T$47,"Russo A."))&gt;0,REGEXREPLACE("Russo A.","(.)","$1"&amp;UNICHAR(822)),"Russo A.")</x:f>
        <x:v>Russo A.</x:v>
      </x:c>
      <x:c r="C11" s="711" t="str">
        <x:v>Por</x:v>
      </x:c>
      <x:c r="D11" s="711" t="str">
        <x:v>Riserva / rotazione</x:v>
      </x:c>
      <x:c r="E11" s="711" t="n">
        <x:v>1</x:v>
      </x:c>
      <x:c r="F11" s="711" t="n">
        <x:v>1</x:v>
      </x:c>
      <x:c r="G11" s="711" t="str">
        <x:v>Copertura</x:v>
      </x:c>
      <x:c r="H11" s="711" t="str"/>
      <x:c r="I11" s="712" t="str">
        <x:v>Solo come secondo/terzo portiere o copertura del titolare.</x:v>
      </x:c>
    </x:row>
    <x:row r="12">
      <x:c r="A12" s="713" t="str">
        <x:v>Difensore</x:v>
      </x:c>
      <x:c r="B12" s="714" t="str">
        <x:f>IF((COUNTIF(Asta!$B$4:$B$47,"Doig")+COUNTIF(Asta!$D$4:$D$47,"Doig")+COUNTIF(Asta!$F$4:$F$47,"Doig")+COUNTIF(Asta!$H$4:$H$47,"Doig")+COUNTIF(Asta!$J$4:$J$47,"Doig")+COUNTIF(Asta!$L$4:$L$47,"Doig")+COUNTIF(Asta!$N$4:$N$47,"Doig")+COUNTIF(Asta!$P$4:$P$47,"Doig")+COUNTIF(Asta!$R$4:$R$47,"Doig")+COUNTIF(Asta!$T$4:$T$47,"Doig"))&gt;0,REGEXREPLACE("Doig","(.)","$1"&amp;UNICHAR(822)),"Doig")</x:f>
        <x:v>Doig</x:v>
      </x:c>
      <x:c r="C12" s="714" t="str">
        <x:v>Ds;E</x:v>
      </x:c>
      <x:c r="D12" s="714" t="str">
        <x:v>Ballottaggio</x:v>
      </x:c>
      <x:c r="E12" s="714" t="n">
        <x:v>4</x:v>
      </x:c>
      <x:c r="F12" s="714" t="n">
        <x:v>7</x:v>
      </x:c>
      <x:c r="G12" s="714" t="str">
        <x:v>Scommessa</x:v>
      </x:c>
      <x:c r="H12" s="714" t="str"/>
      <x:c r="I12" s="715" t="str">
        <x:v>Solo a pochi crediti: minutaggio non garantito.</x:v>
      </x:c>
    </x:row>
    <x:row r="13">
      <x:c r="A13" s="713" t="str">
        <x:v>Difensore</x:v>
      </x:c>
      <x:c r="B13" s="714" t="str">
        <x:f>IF((COUNTIF(Asta!$B$4:$B$47,"Candè")+COUNTIF(Asta!$D$4:$D$47,"Candè")+COUNTIF(Asta!$F$4:$F$47,"Candè")+COUNTIF(Asta!$H$4:$H$47,"Candè")+COUNTIF(Asta!$J$4:$J$47,"Candè")+COUNTIF(Asta!$L$4:$L$47,"Candè")+COUNTIF(Asta!$N$4:$N$47,"Candè")+COUNTIF(Asta!$P$4:$P$47,"Candè")+COUNTIF(Asta!$R$4:$R$47,"Candè")+COUNTIF(Asta!$T$4:$T$47,"Candè"))&gt;0,REGEXREPLACE("Candè","(.)","$1"&amp;UNICHAR(822)),"Candè")</x:f>
        <x:v>Candè</x:v>
      </x:c>
      <x:c r="C13" s="714" t="str">
        <x:v>Ds;Dc</x:v>
      </x:c>
      <x:c r="D13" s="714" t="str">
        <x:v>Riserva / rotazione</x:v>
      </x:c>
      <x:c r="E13" s="714" t="n">
        <x:v>3</x:v>
      </x:c>
      <x:c r="F13" s="714" t="n">
        <x:v>6</x:v>
      </x:c>
      <x:c r="G13" s="714" t="str">
        <x:v>Scommessa</x:v>
      </x:c>
      <x:c r="H13" s="714" t="str"/>
      <x:c r="I13" s="715" t="str">
        <x:v>Copertura/ultimo slot: da prendere a 1-2 crediti.</x:v>
      </x:c>
    </x:row>
    <x:row r="14">
      <x:c r="A14" s="713" t="str">
        <x:v>Difensore</x:v>
      </x:c>
      <x:c r="B14" s="714" t="str">
        <x:f>IF((COUNTIF(Asta!$B$4:$B$47,"Walukiewicz")+COUNTIF(Asta!$D$4:$D$47,"Walukiewicz")+COUNTIF(Asta!$F$4:$F$47,"Walukiewicz")+COUNTIF(Asta!$H$4:$H$47,"Walukiewicz")+COUNTIF(Asta!$J$4:$J$47,"Walukiewicz")+COUNTIF(Asta!$L$4:$L$47,"Walukiewicz")+COUNTIF(Asta!$N$4:$N$47,"Walukiewicz")+COUNTIF(Asta!$P$4:$P$47,"Walukiewicz")+COUNTIF(Asta!$R$4:$R$47,"Walukiewicz")+COUNTIF(Asta!$T$4:$T$47,"Walukiewicz"))&gt;0,REGEXREPLACE("Walukiewicz","(.)","$1"&amp;UNICHAR(822)),"Walukiewicz")</x:f>
        <x:v>Walukiewicz</x:v>
      </x:c>
      <x:c r="C14" s="714" t="str">
        <x:v>Dd;Dc</x:v>
      </x:c>
      <x:c r="D14" s="714" t="str">
        <x:v>Riserva / rotazione</x:v>
      </x:c>
      <x:c r="E14" s="714" t="n">
        <x:v>4</x:v>
      </x:c>
      <x:c r="F14" s="714" t="n">
        <x:v>5</x:v>
      </x:c>
      <x:c r="G14" s="714" t="str">
        <x:v>Scommessa</x:v>
      </x:c>
      <x:c r="H14" s="714" t="str"/>
      <x:c r="I14" s="715" t="str">
        <x:v>Copertura/ultimo slot: da prendere a 1-2 crediti.</x:v>
      </x:c>
    </x:row>
    <x:row r="15">
      <x:c r="A15" s="713" t="str">
        <x:v>Difensore</x:v>
      </x:c>
      <x:c r="B15" s="714" t="str">
        <x:f>IF((COUNTIF(Asta!$B$4:$B$47,"Missori")+COUNTIF(Asta!$D$4:$D$47,"Missori")+COUNTIF(Asta!$F$4:$F$47,"Missori")+COUNTIF(Asta!$H$4:$H$47,"Missori")+COUNTIF(Asta!$J$4:$J$47,"Missori")+COUNTIF(Asta!$L$4:$L$47,"Missori")+COUNTIF(Asta!$N$4:$N$47,"Missori")+COUNTIF(Asta!$P$4:$P$47,"Missori")+COUNTIF(Asta!$R$4:$R$47,"Missori")+COUNTIF(Asta!$T$4:$T$47,"Missori"))&gt;0,REGEXREPLACE("Missori","(.)","$1"&amp;UNICHAR(822)),"Missori")</x:f>
        <x:v>Missori</x:v>
      </x:c>
      <x:c r="C15" s="714" t="str">
        <x:v>Dd;E</x:v>
      </x:c>
      <x:c r="D15" s="714" t="str">
        <x:v>Riserva / rotazione</x:v>
      </x:c>
      <x:c r="E15" s="714" t="n">
        <x:v>1</x:v>
      </x:c>
      <x:c r="F15" s="714" t="n">
        <x:v>1</x:v>
      </x:c>
      <x:c r="G15" s="714" t="str">
        <x:v>Copertura</x:v>
      </x:c>
      <x:c r="H15" s="714" t="str"/>
      <x:c r="I15" s="715" t="str">
        <x:v>Copertura/ultimo slot: da prendere a 1-2 crediti.</x:v>
      </x:c>
    </x:row>
    <x:row r="16">
      <x:c r="A16" s="713" t="str">
        <x:v>Difensore</x:v>
      </x:c>
      <x:c r="B16" s="714" t="str">
        <x:f>IF((COUNTIF(Asta!$B$4:$B$47,"Idzes")+COUNTIF(Asta!$D$4:$D$47,"Idzes")+COUNTIF(Asta!$F$4:$F$47,"Idzes")+COUNTIF(Asta!$H$4:$H$47,"Idzes")+COUNTIF(Asta!$J$4:$J$47,"Idzes")+COUNTIF(Asta!$L$4:$L$47,"Idzes")+COUNTIF(Asta!$N$4:$N$47,"Idzes")+COUNTIF(Asta!$P$4:$P$47,"Idzes")+COUNTIF(Asta!$R$4:$R$47,"Idzes")+COUNTIF(Asta!$T$4:$T$47,"Idzes"))&gt;0,REGEXREPLACE("Idzes","(.)","$1"&amp;UNICHAR(822)),"Idzes")</x:f>
        <x:v>Idzes</x:v>
      </x:c>
      <x:c r="C16" s="714" t="str">
        <x:v>Dc</x:v>
      </x:c>
      <x:c r="D16" s="714" t="str">
        <x:v>Titolare</x:v>
      </x:c>
      <x:c r="E16" s="714" t="n">
        <x:v>7</x:v>
      </x:c>
      <x:c r="F16" s="714" t="n">
        <x:v>1</x:v>
      </x:c>
      <x:c r="G16" s="714" t="str">
        <x:v>Copertura</x:v>
      </x:c>
      <x:c r="H16" s="714" t="str"/>
      <x:c r="I16" s="715" t="str">
        <x:v>Titolare low cost: utile per completare il reparto.</x:v>
      </x:c>
    </x:row>
    <x:row r="17">
      <x:c r="A17" s="713" t="str">
        <x:v>Difensore</x:v>
      </x:c>
      <x:c r="B17" s="714" t="str">
        <x:f>IF((COUNTIF(Asta!$B$4:$B$47,"Pieragnolo")+COUNTIF(Asta!$D$4:$D$47,"Pieragnolo")+COUNTIF(Asta!$F$4:$F$47,"Pieragnolo")+COUNTIF(Asta!$H$4:$H$47,"Pieragnolo")+COUNTIF(Asta!$J$4:$J$47,"Pieragnolo")+COUNTIF(Asta!$L$4:$L$47,"Pieragnolo")+COUNTIF(Asta!$N$4:$N$47,"Pieragnolo")+COUNTIF(Asta!$P$4:$P$47,"Pieragnolo")+COUNTIF(Asta!$R$4:$R$47,"Pieragnolo")+COUNTIF(Asta!$T$4:$T$47,"Pieragnolo"))&gt;0,REGEXREPLACE("Pieragnolo","(.)","$1"&amp;UNICHAR(822)),"Pieragnolo")</x:f>
        <x:v>Pieragnolo</x:v>
      </x:c>
      <x:c r="C17" s="714" t="str">
        <x:v>Ds;E</x:v>
      </x:c>
      <x:c r="D17" s="714" t="str">
        <x:v>Riserva / rotazione</x:v>
      </x:c>
      <x:c r="E17" s="714" t="n">
        <x:v>1</x:v>
      </x:c>
      <x:c r="F17" s="714" t="n">
        <x:v>1</x:v>
      </x:c>
      <x:c r="G17" s="714" t="str">
        <x:v>Copertura</x:v>
      </x:c>
      <x:c r="H17" s="714" t="str"/>
      <x:c r="I17" s="715" t="str">
        <x:v>Copertura/ultimo slot: da prendere a 1-2 crediti.</x:v>
      </x:c>
    </x:row>
    <x:row r="18">
      <x:c r="A18" s="716" t="str">
        <x:v>Centrocampista</x:v>
      </x:c>
      <x:c r="B18" s="717" t="str">
        <x:f>IF((COUNTIF(Asta!$B$4:$B$47,"Thorstvedt")+COUNTIF(Asta!$D$4:$D$47,"Thorstvedt")+COUNTIF(Asta!$F$4:$F$47,"Thorstvedt")+COUNTIF(Asta!$H$4:$H$47,"Thorstvedt")+COUNTIF(Asta!$J$4:$J$47,"Thorstvedt")+COUNTIF(Asta!$L$4:$L$47,"Thorstvedt")+COUNTIF(Asta!$N$4:$N$47,"Thorstvedt")+COUNTIF(Asta!$P$4:$P$47,"Thorstvedt")+COUNTIF(Asta!$R$4:$R$47,"Thorstvedt")+COUNTIF(Asta!$T$4:$T$47,"Thorstvedt"))&gt;0,REGEXREPLACE("Thorstvedt","(.)","$1"&amp;UNICHAR(822)),"Thorstvedt")</x:f>
        <x:v>Thorstvedt</x:v>
      </x:c>
      <x:c r="C18" s="717" t="str">
        <x:v>C;T</x:v>
      </x:c>
      <x:c r="D18" s="717" t="str">
        <x:v>Titolare</x:v>
      </x:c>
      <x:c r="E18" s="717" t="n">
        <x:v>10</x:v>
      </x:c>
      <x:c r="F18" s="717" t="n">
        <x:v>21</x:v>
      </x:c>
      <x:c r="G18" s="717" t="str">
        <x:v>Utile</x:v>
      </x:c>
      <x:c r="H18" s="717" t="str"/>
      <x:c r="I18" s="718" t="str">
        <x:v>Profilo utile per minutaggio e rotazioni; buon rapporto costo/titolarità.</x:v>
      </x:c>
    </x:row>
    <x:row r="19">
      <x:c r="A19" s="716" t="str">
        <x:v>Centrocampista</x:v>
      </x:c>
      <x:c r="B19" s="717" t="str">
        <x:f>IF((COUNTIF(Asta!$B$4:$B$47,"Volpato")+COUNTIF(Asta!$D$4:$D$47,"Volpato")+COUNTIF(Asta!$F$4:$F$47,"Volpato")+COUNTIF(Asta!$H$4:$H$47,"Volpato")+COUNTIF(Asta!$J$4:$J$47,"Volpato")+COUNTIF(Asta!$L$4:$L$47,"Volpato")+COUNTIF(Asta!$N$4:$N$47,"Volpato")+COUNTIF(Asta!$P$4:$P$47,"Volpato")+COUNTIF(Asta!$R$4:$R$47,"Volpato")+COUNTIF(Asta!$T$4:$T$47,"Volpato"))&gt;0,REGEXREPLACE("Volpato","(.)","$1"&amp;UNICHAR(822)),"Volpato")</x:f>
        <x:v>Volpato</x:v>
      </x:c>
      <x:c r="C19" s="717" t="str">
        <x:v>W;T</x:v>
      </x:c>
      <x:c r="D19" s="717" t="str">
        <x:v>Riserva / rotazione</x:v>
      </x:c>
      <x:c r="E19" s="717" t="n">
        <x:v>7</x:v>
      </x:c>
      <x:c r="F19" s="717" t="n">
        <x:v>12</x:v>
      </x:c>
      <x:c r="G19" s="717" t="str">
        <x:v>Utile</x:v>
      </x:c>
      <x:c r="H19" s="717" t="str"/>
      <x:c r="I19" s="718" t="str">
        <x:v>Scommessa da ultimi slot, senza sovrapprezzo.</x:v>
      </x:c>
    </x:row>
    <x:row r="20">
      <x:c r="A20" s="716" t="str">
        <x:v>Centrocampista</x:v>
      </x:c>
      <x:c r="B20" s="717" t="str">
        <x:f>IF((COUNTIF(Asta!$B$4:$B$47,"Konè I.")+COUNTIF(Asta!$D$4:$D$47,"Konè I.")+COUNTIF(Asta!$F$4:$F$47,"Konè I.")+COUNTIF(Asta!$H$4:$H$47,"Konè I.")+COUNTIF(Asta!$J$4:$J$47,"Konè I.")+COUNTIF(Asta!$L$4:$L$47,"Konè I.")+COUNTIF(Asta!$N$4:$N$47,"Konè I.")+COUNTIF(Asta!$P$4:$P$47,"Konè I.")+COUNTIF(Asta!$R$4:$R$47,"Konè I.")+COUNTIF(Asta!$T$4:$T$47,"Konè I."))&gt;0,REGEXREPLACE("Konè I.","(.)","$1"&amp;UNICHAR(822)),"Konè I.")</x:f>
        <x:v>Konè I.</x:v>
      </x:c>
      <x:c r="C20" s="717" t="str">
        <x:v>C</x:v>
      </x:c>
      <x:c r="D20" s="717" t="str">
        <x:v>Riserva / rotazione</x:v>
      </x:c>
      <x:c r="E20" s="717" t="n">
        <x:v>9</x:v>
      </x:c>
      <x:c r="F20" s="717" t="n">
        <x:v>10</x:v>
      </x:c>
      <x:c r="G20" s="717" t="str">
        <x:v>Utile</x:v>
      </x:c>
      <x:c r="H20" s="717" t="str"/>
      <x:c r="I20" s="718" t="str">
        <x:v>Scommessa da ultimi slot, senza sovrapprezzo.</x:v>
      </x:c>
    </x:row>
    <x:row r="21">
      <x:c r="A21" s="716" t="str">
        <x:v>Centrocampista</x:v>
      </x:c>
      <x:c r="B21" s="717" t="str">
        <x:f>IF((COUNTIF(Asta!$B$4:$B$47,"Bakola")+COUNTIF(Asta!$D$4:$D$47,"Bakola")+COUNTIF(Asta!$F$4:$F$47,"Bakola")+COUNTIF(Asta!$H$4:$H$47,"Bakola")+COUNTIF(Asta!$J$4:$J$47,"Bakola")+COUNTIF(Asta!$L$4:$L$47,"Bakola")+COUNTIF(Asta!$N$4:$N$47,"Bakola")+COUNTIF(Asta!$P$4:$P$47,"Bakola")+COUNTIF(Asta!$R$4:$R$47,"Bakola")+COUNTIF(Asta!$T$4:$T$47,"Bakola"))&gt;0,REGEXREPLACE("Bakola","(.)","$1"&amp;UNICHAR(822)),"Bakola")</x:f>
        <x:v>Bakola</x:v>
      </x:c>
      <x:c r="C21" s="717" t="str">
        <x:v>C;T</x:v>
      </x:c>
      <x:c r="D21" s="717" t="str">
        <x:v>Ballottaggio</x:v>
      </x:c>
      <x:c r="E21" s="717" t="n">
        <x:v>5</x:v>
      </x:c>
      <x:c r="F21" s="717" t="n">
        <x:v>8</x:v>
      </x:c>
      <x:c r="G21" s="717" t="str">
        <x:v>Scommessa</x:v>
      </x:c>
      <x:c r="H21" s="717" t="str"/>
      <x:c r="I21" s="718" t="str">
        <x:v>Solo a pochi crediti: minutaggio non garantito.</x:v>
      </x:c>
    </x:row>
    <x:row r="22">
      <x:c r="A22" s="716" t="str">
        <x:v>Centrocampista</x:v>
      </x:c>
      <x:c r="B22" s="717" t="str">
        <x:f>IF((COUNTIF(Asta!$B$4:$B$47,"Matic")+COUNTIF(Asta!$D$4:$D$47,"Matic")+COUNTIF(Asta!$F$4:$F$47,"Matic")+COUNTIF(Asta!$H$4:$H$47,"Matic")+COUNTIF(Asta!$J$4:$J$47,"Matic")+COUNTIF(Asta!$L$4:$L$47,"Matic")+COUNTIF(Asta!$N$4:$N$47,"Matic")+COUNTIF(Asta!$P$4:$P$47,"Matic")+COUNTIF(Asta!$R$4:$R$47,"Matic")+COUNTIF(Asta!$T$4:$T$47,"Matic"))&gt;0,REGEXREPLACE("Matic","(.)","$1"&amp;UNICHAR(822)),"Matic")</x:f>
        <x:v>Matic</x:v>
      </x:c>
      <x:c r="C22" s="717" t="str">
        <x:v>M;C</x:v>
      </x:c>
      <x:c r="D22" s="717" t="str">
        <x:v>Titolare</x:v>
      </x:c>
      <x:c r="E22" s="717" t="n">
        <x:v>5</x:v>
      </x:c>
      <x:c r="F22" s="717" t="n">
        <x:v>8</x:v>
      </x:c>
      <x:c r="G22" s="717" t="str">
        <x:v>Scommessa</x:v>
      </x:c>
      <x:c r="H22" s="717" t="str"/>
      <x:c r="I22" s="718" t="str">
        <x:v>Titolare low cost: utile per completare il reparto.</x:v>
      </x:c>
    </x:row>
    <x:row r="23">
      <x:c r="A23" s="716" t="str">
        <x:v>Centrocampista</x:v>
      </x:c>
      <x:c r="B23" s="717" t="str">
        <x:f>IF((COUNTIF(Asta!$B$4:$B$47,"Adzic")+COUNTIF(Asta!$D$4:$D$47,"Adzic")+COUNTIF(Asta!$F$4:$F$47,"Adzic")+COUNTIF(Asta!$H$4:$H$47,"Adzic")+COUNTIF(Asta!$J$4:$J$47,"Adzic")+COUNTIF(Asta!$L$4:$L$47,"Adzic")+COUNTIF(Asta!$N$4:$N$47,"Adzic")+COUNTIF(Asta!$P$4:$P$47,"Adzic")+COUNTIF(Asta!$R$4:$R$47,"Adzic")+COUNTIF(Asta!$T$4:$T$47,"Adzic"))&gt;0,REGEXREPLACE("Adzic","(.)","$1"&amp;UNICHAR(822)),"Adzic")</x:f>
        <x:v>Adzic</x:v>
      </x:c>
      <x:c r="C23" s="717" t="str">
        <x:v>C;T</x:v>
      </x:c>
      <x:c r="D23" s="717" t="str">
        <x:v>Titolare / ballottaggio</x:v>
      </x:c>
      <x:c r="E23" s="717" t="n">
        <x:v>5</x:v>
      </x:c>
      <x:c r="F23" s="717" t="n">
        <x:v>7</x:v>
      </x:c>
      <x:c r="G23" s="717" t="str">
        <x:v>Scommessa</x:v>
      </x:c>
      <x:c r="H23" s="717" t="str">
        <x:v>Piazzati</x:v>
      </x:c>
      <x:c r="I23" s="718" t="str">
        <x:v>Solo a pochi crediti: minutaggio non garantito. Buon plus: può battere calci piazzati.</x:v>
      </x:c>
    </x:row>
    <x:row r="24">
      <x:c r="A24" s="716" t="str">
        <x:v>Centrocampista</x:v>
      </x:c>
      <x:c r="B24" s="717" t="str">
        <x:f>IF((COUNTIF(Asta!$B$4:$B$47,"Boloca")+COUNTIF(Asta!$D$4:$D$47,"Boloca")+COUNTIF(Asta!$F$4:$F$47,"Boloca")+COUNTIF(Asta!$H$4:$H$47,"Boloca")+COUNTIF(Asta!$J$4:$J$47,"Boloca")+COUNTIF(Asta!$L$4:$L$47,"Boloca")+COUNTIF(Asta!$N$4:$N$47,"Boloca")+COUNTIF(Asta!$P$4:$P$47,"Boloca")+COUNTIF(Asta!$R$4:$R$47,"Boloca")+COUNTIF(Asta!$T$4:$T$47,"Boloca"))&gt;0,REGEXREPLACE("Boloca","(.)","$1"&amp;UNICHAR(822)),"Boloca")</x:f>
        <x:v>Boloca</x:v>
      </x:c>
      <x:c r="C24" s="717" t="str">
        <x:v>M;C</x:v>
      </x:c>
      <x:c r="D24" s="717" t="str">
        <x:v>Riserva / rotazione</x:v>
      </x:c>
      <x:c r="E24" s="717" t="n">
        <x:v>2</x:v>
      </x:c>
      <x:c r="F24" s="717" t="n">
        <x:v>3</x:v>
      </x:c>
      <x:c r="G24" s="717" t="str">
        <x:v>Copertura</x:v>
      </x:c>
      <x:c r="H24" s="717" t="str"/>
      <x:c r="I24" s="718" t="str">
        <x:v>Copertura/ultimo slot: da prendere a 1-2 crediti.</x:v>
      </x:c>
    </x:row>
    <x:row r="25">
      <x:c r="A25" s="716" t="str">
        <x:v>Centrocampista</x:v>
      </x:c>
      <x:c r="B25" s="717" t="str">
        <x:f>IF((COUNTIF(Asta!$B$4:$B$47,"Lipani")+COUNTIF(Asta!$D$4:$D$47,"Lipani")+COUNTIF(Asta!$F$4:$F$47,"Lipani")+COUNTIF(Asta!$H$4:$H$47,"Lipani")+COUNTIF(Asta!$J$4:$J$47,"Lipani")+COUNTIF(Asta!$L$4:$L$47,"Lipani")+COUNTIF(Asta!$N$4:$N$47,"Lipani")+COUNTIF(Asta!$P$4:$P$47,"Lipani")+COUNTIF(Asta!$R$4:$R$47,"Lipani")+COUNTIF(Asta!$T$4:$T$47,"Lipani"))&gt;0,REGEXREPLACE("Lipani","(.)","$1"&amp;UNICHAR(822)),"Lipani")</x:f>
        <x:v>Lipani</x:v>
      </x:c>
      <x:c r="C25" s="717" t="str">
        <x:v>M;C</x:v>
      </x:c>
      <x:c r="D25" s="717" t="str">
        <x:v>Riserva / rotazione</x:v>
      </x:c>
      <x:c r="E25" s="717" t="n">
        <x:v>2</x:v>
      </x:c>
      <x:c r="F25" s="717" t="n">
        <x:v>3</x:v>
      </x:c>
      <x:c r="G25" s="717" t="str">
        <x:v>Copertura</x:v>
      </x:c>
      <x:c r="H25" s="717" t="str"/>
      <x:c r="I25" s="718" t="str">
        <x:v>Copertura/ultimo slot: da prendere a 1-2 crediti.</x:v>
      </x:c>
    </x:row>
    <x:row r="26">
      <x:c r="A26" s="716" t="str">
        <x:v>Centrocampista</x:v>
      </x:c>
      <x:c r="B26" s="717" t="str">
        <x:f>IF((COUNTIF(Asta!$B$4:$B$47,"Iannoni")+COUNTIF(Asta!$D$4:$D$47,"Iannoni")+COUNTIF(Asta!$F$4:$F$47,"Iannoni")+COUNTIF(Asta!$H$4:$H$47,"Iannoni")+COUNTIF(Asta!$J$4:$J$47,"Iannoni")+COUNTIF(Asta!$L$4:$L$47,"Iannoni")+COUNTIF(Asta!$N$4:$N$47,"Iannoni")+COUNTIF(Asta!$P$4:$P$47,"Iannoni")+COUNTIF(Asta!$R$4:$R$47,"Iannoni")+COUNTIF(Asta!$T$4:$T$47,"Iannoni"))&gt;0,REGEXREPLACE("Iannoni","(.)","$1"&amp;UNICHAR(822)),"Iannoni")</x:f>
        <x:v>Iannoni</x:v>
      </x:c>
      <x:c r="C26" s="717" t="str">
        <x:v>M;C</x:v>
      </x:c>
      <x:c r="D26" s="717" t="str">
        <x:v>Riserva / rotazione</x:v>
      </x:c>
      <x:c r="E26" s="717" t="n">
        <x:v>1</x:v>
      </x:c>
      <x:c r="F26" s="717" t="n">
        <x:v>1</x:v>
      </x:c>
      <x:c r="G26" s="717" t="str">
        <x:v>Copertura</x:v>
      </x:c>
      <x:c r="H26" s="717" t="str"/>
      <x:c r="I26" s="718" t="str">
        <x:v>Copertura/ultimo slot: da prendere a 1-2 crediti.</x:v>
      </x:c>
    </x:row>
    <x:row r="27">
      <x:c r="A27" s="719" t="str">
        <x:v>Attaccante</x:v>
      </x:c>
      <x:c r="B27" s="720" t="str">
        <x:f>IF((COUNTIF(Asta!$B$4:$B$47,"Berardi")+COUNTIF(Asta!$D$4:$D$47,"Berardi")+COUNTIF(Asta!$F$4:$F$47,"Berardi")+COUNTIF(Asta!$H$4:$H$47,"Berardi")+COUNTIF(Asta!$J$4:$J$47,"Berardi")+COUNTIF(Asta!$L$4:$L$47,"Berardi")+COUNTIF(Asta!$N$4:$N$47,"Berardi")+COUNTIF(Asta!$P$4:$P$47,"Berardi")+COUNTIF(Asta!$R$4:$R$47,"Berardi")+COUNTIF(Asta!$T$4:$T$47,"Berardi"))&gt;0,REGEXREPLACE("Berardi","(.)","$1"&amp;UNICHAR(822)),"Berardi")</x:f>
        <x:v>Berardi</x:v>
      </x:c>
      <x:c r="C27" s="720" t="str">
        <x:v>A</x:v>
      </x:c>
      <x:c r="D27" s="720" t="str">
        <x:v>Titolare</x:v>
      </x:c>
      <x:c r="E27" s="720" t="n">
        <x:v>18</x:v>
      </x:c>
      <x:c r="F27" s="720" t="n">
        <x:v>58</x:v>
      </x:c>
      <x:c r="G27" s="720" t="str">
        <x:v>Premium</x:v>
      </x:c>
      <x:c r="H27" s="720" t="str">
        <x:v>Rigorista · Piazzati</x:v>
      </x:c>
      <x:c r="I27" s="721" t="str">
        <x:v>Da puntare: titolarità e alto potenziale fantacalcistico. Plus importante: è indicato tra i rigoristi.</x:v>
      </x:c>
    </x:row>
    <x:row r="28">
      <x:c r="A28" s="719" t="str">
        <x:v>Attaccante</x:v>
      </x:c>
      <x:c r="B28" s="720" t="str">
        <x:f>IF((COUNTIF(Asta!$B$4:$B$47,"Laurientè")+COUNTIF(Asta!$D$4:$D$47,"Laurientè")+COUNTIF(Asta!$F$4:$F$47,"Laurientè")+COUNTIF(Asta!$H$4:$H$47,"Laurientè")+COUNTIF(Asta!$J$4:$J$47,"Laurientè")+COUNTIF(Asta!$L$4:$L$47,"Laurientè")+COUNTIF(Asta!$N$4:$N$47,"Laurientè")+COUNTIF(Asta!$P$4:$P$47,"Laurientè")+COUNTIF(Asta!$R$4:$R$47,"Laurientè")+COUNTIF(Asta!$T$4:$T$47,"Laurientè"))&gt;0,REGEXREPLACE("Laurientè","(.)","$1"&amp;UNICHAR(822)),"Laurientè")</x:f>
        <x:v>Laurientè</x:v>
      </x:c>
      <x:c r="C28" s="720" t="str">
        <x:v>A</x:v>
      </x:c>
      <x:c r="D28" s="720" t="str">
        <x:v>Titolare</x:v>
      </x:c>
      <x:c r="E28" s="720" t="n">
        <x:v>15</x:v>
      </x:c>
      <x:c r="F28" s="720" t="n">
        <x:v>44</x:v>
      </x:c>
      <x:c r="G28" s="720" t="str">
        <x:v>Buon titolare</x:v>
      </x:c>
      <x:c r="H28" s="720" t="str">
        <x:v>Rigorista · Piazzati</x:v>
      </x:c>
      <x:c r="I28" s="721" t="str">
        <x:v>Buon titolare di rosa, da prendere senza inseguire troppo il prezzo. Plus importante: è indicato tra i rigoristi.</x:v>
      </x:c>
    </x:row>
    <x:row r="29">
      <x:c r="A29" s="719" t="str">
        <x:v>Attaccante</x:v>
      </x:c>
      <x:c r="B29" s="720" t="str">
        <x:f>IF((COUNTIF(Asta!$B$4:$B$47,"Pinamonti")+COUNTIF(Asta!$D$4:$D$47,"Pinamonti")+COUNTIF(Asta!$F$4:$F$47,"Pinamonti")+COUNTIF(Asta!$H$4:$H$47,"Pinamonti")+COUNTIF(Asta!$J$4:$J$47,"Pinamonti")+COUNTIF(Asta!$L$4:$L$47,"Pinamonti")+COUNTIF(Asta!$N$4:$N$47,"Pinamonti")+COUNTIF(Asta!$P$4:$P$47,"Pinamonti")+COUNTIF(Asta!$R$4:$R$47,"Pinamonti")+COUNTIF(Asta!$T$4:$T$47,"Pinamonti"))&gt;0,REGEXREPLACE("Pinamonti","(.)","$1"&amp;UNICHAR(822)),"Pinamonti")</x:f>
        <x:v>Pinamonti</x:v>
      </x:c>
      <x:c r="C29" s="720" t="str">
        <x:v>Pc</x:v>
      </x:c>
      <x:c r="D29" s="720" t="str">
        <x:v>Riserva / rotazione</x:v>
      </x:c>
      <x:c r="E29" s="720" t="n">
        <x:v>13</x:v>
      </x:c>
      <x:c r="F29" s="720" t="n">
        <x:v>29</x:v>
      </x:c>
      <x:c r="G29" s="720" t="str">
        <x:v>Buon titolare con rischio minutaggio</x:v>
      </x:c>
      <x:c r="H29" s="720" t="str"/>
      <x:c r="I29" s="721" t="str">
        <x:v>Qualità interessante ma minutaggio incerto: occasione solo se il prezzo scende.</x:v>
      </x:c>
    </x:row>
    <x:row r="30">
      <x:c r="A30" s="719" t="str">
        <x:v>Attaccante</x:v>
      </x:c>
      <x:c r="B30" s="720" t="str">
        <x:f>IF((COUNTIF(Asta!$B$4:$B$47,"Bowie")+COUNTIF(Asta!$D$4:$D$47,"Bowie")+COUNTIF(Asta!$F$4:$F$47,"Bowie")+COUNTIF(Asta!$H$4:$H$47,"Bowie")+COUNTIF(Asta!$J$4:$J$47,"Bowie")+COUNTIF(Asta!$L$4:$L$47,"Bowie")+COUNTIF(Asta!$N$4:$N$47,"Bowie")+COUNTIF(Asta!$P$4:$P$47,"Bowie")+COUNTIF(Asta!$R$4:$R$47,"Bowie")+COUNTIF(Asta!$T$4:$T$47,"Bowie"))&gt;0,REGEXREPLACE("Bowie","(.)","$1"&amp;UNICHAR(822)),"Bowie")</x:f>
        <x:v>Bowie</x:v>
      </x:c>
      <x:c r="C30" s="720" t="str">
        <x:v>Pc</x:v>
      </x:c>
      <x:c r="D30" s="720" t="str">
        <x:v>Ballottaggio</x:v>
      </x:c>
      <x:c r="E30" s="720" t="n">
        <x:v>10</x:v>
      </x:c>
      <x:c r="F30" s="720" t="n">
        <x:v>20</x:v>
      </x:c>
      <x:c r="G30" s="720" t="str">
        <x:v>Utile</x:v>
      </x:c>
      <x:c r="H30" s="720" t="str"/>
      <x:c r="I30" s="721" t="str">
        <x:v>Scommessa con upside: prendilo a prezzo controllato.</x:v>
      </x:c>
    </x:row>
    <x:row r="31">
      <x:c r="A31" s="722" t="str">
        <x:v>Attaccante</x:v>
      </x:c>
      <x:c r="B31" s="723" t="str">
        <x:f>IF((COUNTIF(Asta!$B$4:$B$47,"Moro L.")+COUNTIF(Asta!$D$4:$D$47,"Moro L.")+COUNTIF(Asta!$F$4:$F$47,"Moro L.")+COUNTIF(Asta!$H$4:$H$47,"Moro L.")+COUNTIF(Asta!$J$4:$J$47,"Moro L.")+COUNTIF(Asta!$L$4:$L$47,"Moro L.")+COUNTIF(Asta!$N$4:$N$47,"Moro L.")+COUNTIF(Asta!$P$4:$P$47,"Moro L.")+COUNTIF(Asta!$R$4:$R$47,"Moro L.")+COUNTIF(Asta!$T$4:$T$47,"Moro L."))&gt;0,REGEXREPLACE("Moro L.","(.)","$1"&amp;UNICHAR(822)),"Moro L.")</x:f>
        <x:v>Moro L.</x:v>
      </x:c>
      <x:c r="C31" s="723" t="str">
        <x:v>Pc</x:v>
      </x:c>
      <x:c r="D31" s="723" t="str">
        <x:v>Riserva / rotazione</x:v>
      </x:c>
      <x:c r="E31" s="723" t="n">
        <x:v>1</x:v>
      </x:c>
      <x:c r="F31" s="723" t="n">
        <x:v>1</x:v>
      </x:c>
      <x:c r="G31" s="723" t="str">
        <x:v>Copertura</x:v>
      </x:c>
      <x:c r="H31" s="723" t="str"/>
      <x:c r="I31" s="724" t="str">
        <x:v>Copertura/ultimo slot: da prendere a 1-2 crediti.</x:v>
      </x:c>
    </x:row>
    <x:row r="33">
      <x:c r="A33" s="630" t="str">
        <x:v>Fonte formazione/ballottaggi/rigoristi: Fantacalcio.it, aggiornamento 09/09/2026 — https://www.fantacalcio.it/news/calcio-italia/06_08_2026/asta-fantacalcio-le-probabili-formazioni-della-serie-a-enilive-2026-27-495558</x:v>
      </x:c>
      <x:c r="B33" s="630"/>
      <x:c r="C33" s="630"/>
      <x:c r="D33" s="630"/>
      <x:c r="E33" s="630"/>
      <x:c r="F33" s="630"/>
      <x:c r="G33" s="630"/>
      <x:c r="H33" s="630"/>
      <x:c r="I33" s="630"/>
    </x:row>
  </x:sheetData>
  <x:mergeCells>
    <x:mergeCell ref="A1:I1"/>
    <x:mergeCell ref="B4:I4"/>
    <x:mergeCell ref="B5:I5"/>
    <x:mergeCell ref="D3:I3"/>
    <x:mergeCell ref="D6:I6"/>
    <x:mergeCell ref="A33:I33"/>
  </x:mergeCells>
  <x:conditionalFormatting sqref="D9:D31">
    <x:cfRule type="expression" dxfId="36" priority="1">
      <x:formula>D9="Titolare"</x:formula>
    </x:cfRule>
    <x:cfRule type="expression" dxfId="37" priority="2">
      <x:formula>ISNUMBER(SEARCH("Ballottaggio",D9))</x:formula>
    </x:cfRule>
  </x:conditionalFormatting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1" hidden="0" customWidth="1"/>
    <x:col min="3" max="3" width="18" hidden="0" customWidth="1"/>
    <x:col min="4" max="4" width="23" hidden="0" customWidth="1"/>
    <x:col min="5" max="5" width="11" hidden="0" customWidth="1"/>
    <x:col min="6" max="6" width="12" hidden="0" customWidth="1"/>
    <x:col min="7" max="7" width="24" hidden="0" customWidth="1"/>
    <x:col min="8" max="8" width="20" hidden="0" customWidth="1"/>
    <x:col min="9" max="9" width="48" hidden="0" customWidth="1"/>
  </x:cols>
  <x:sheetData>
    <x:row r="1" ht="30" customHeight="1">
      <x:c r="A1" s="642" t="str">
        <x:v>TORINO — GUIDA ASTA 2026/27</x:v>
      </x:c>
      <x:c r="B1" s="643"/>
      <x:c r="C1" s="643"/>
      <x:c r="D1" s="643"/>
      <x:c r="E1" s="643"/>
      <x:c r="F1" s="643"/>
      <x:c r="G1" s="643"/>
      <x:c r="H1" s="643"/>
      <x:c r="I1" s="644"/>
    </x:row>
    <x:row r="3">
      <x:c r="A3" s="663" t="str">
        <x:v>Allenatore</x:v>
      </x:c>
      <x:c r="B3" s="681" t="str">
        <x:v>Ignazio Abate</x:v>
      </x:c>
      <x:c r="C3" s="673" t="str">
        <x:v>Modulo</x:v>
      </x:c>
      <x:c r="D3" s="681" t="str">
        <x:v>3-4-2-1</x:v>
      </x:c>
      <x:c r="E3" s="681"/>
      <x:c r="F3" s="681"/>
      <x:c r="G3" s="681"/>
      <x:c r="H3" s="681"/>
      <x:c r="I3" s="682"/>
    </x:row>
    <x:row r="4" ht="38" customHeight="1">
      <x:c r="A4" s="664" t="str">
        <x:v>Formazione titolare</x:v>
      </x:c>
      <x:c r="B4" s="683" t="str">
        <x:v>Perri; Comuzzo, Coco, Comert; Belghali, Mandragora, Fitz-Jim, Cacciamani; Casadei, Vlasic; Simeone</x:v>
      </x:c>
      <x:c r="C4" s="676" t="str"/>
      <x:c r="D4" s="683" t="str"/>
      <x:c r="E4" s="683"/>
      <x:c r="F4" s="683"/>
      <x:c r="G4" s="683"/>
      <x:c r="H4" s="683"/>
      <x:c r="I4" s="684"/>
    </x:row>
    <x:row r="5" ht="38" customHeight="1">
      <x:c r="A5" s="664" t="str">
        <x:v>Ballottaggi</x:v>
      </x:c>
      <x:c r="B5" s="683" t="str">
        <x:v>Coco/Ismajli; Belghali/Patterson; Cacciamani/Fortini; Casadei/Braganca; Simeone/Adams</x:v>
      </x:c>
      <x:c r="C5" s="676" t="str"/>
      <x:c r="D5" s="683" t="str"/>
      <x:c r="E5" s="683"/>
      <x:c r="F5" s="683"/>
      <x:c r="G5" s="683"/>
      <x:c r="H5" s="683"/>
      <x:c r="I5" s="684"/>
    </x:row>
    <x:row r="6">
      <x:c r="A6" s="665" t="str">
        <x:v>Rigoristi</x:v>
      </x:c>
      <x:c r="B6" s="685" t="str">
        <x:v>Vlasic, Simeone, Mandragora</x:v>
      </x:c>
      <x:c r="C6" s="679" t="str">
        <x:v>Calci piazzati</x:v>
      </x:c>
      <x:c r="D6" s="685" t="str">
        <x:v>Vlasic, Mandragora, Gineitis</x:v>
      </x:c>
      <x:c r="E6" s="685"/>
      <x:c r="F6" s="685"/>
      <x:c r="G6" s="685"/>
      <x:c r="H6" s="685"/>
      <x:c r="I6" s="686"/>
    </x:row>
    <x:row r="8" ht="30" customHeight="1">
      <x:c r="A8" s="698" t="str">
        <x:v>Ruolo</x:v>
      </x:c>
      <x:c r="B8" s="699" t="str">
        <x:v>Calciatore</x:v>
      </x:c>
      <x:c r="C8" s="699" t="str">
        <x:v>Posizione</x:v>
      </x:c>
      <x:c r="D8" s="699" t="str">
        <x:v>Status</x:v>
      </x:c>
      <x:c r="E8" s="699" t="str">
        <x:v>Quotazione</x:v>
      </x:c>
      <x:c r="F8" s="699" t="str">
        <x:v>FVM su 504</x:v>
      </x:c>
      <x:c r="G8" s="699" t="str">
        <x:v>Fascia asta</x:v>
      </x:c>
      <x:c r="H8" s="699" t="str">
        <x:v>Specialità</x:v>
      </x:c>
      <x:c r="I8" s="700" t="str">
        <x:v>Consiglio Fantacalcio</x:v>
      </x:c>
    </x:row>
    <x:row r="9">
      <x:c r="A9" s="707" t="str">
        <x:v>Portiere</x:v>
      </x:c>
      <x:c r="B9" s="708" t="str">
        <x:f>IF((COUNTIF(Asta!$B$4:$B$47,"Mascardi")+COUNTIF(Asta!$D$4:$D$47,"Mascardi")+COUNTIF(Asta!$F$4:$F$47,"Mascardi")+COUNTIF(Asta!$H$4:$H$47,"Mascardi")+COUNTIF(Asta!$J$4:$J$47,"Mascardi")+COUNTIF(Asta!$L$4:$L$47,"Mascardi")+COUNTIF(Asta!$N$4:$N$47,"Mascardi")+COUNTIF(Asta!$P$4:$P$47,"Mascardi")+COUNTIF(Asta!$R$4:$R$47,"Mascardi")+COUNTIF(Asta!$T$4:$T$47,"Mascardi"))&gt;0,REGEXREPLACE("Mascardi","(.)","$1"&amp;UNICHAR(822)),"Mascardi")</x:f>
        <x:v>Mascardi</x:v>
      </x:c>
      <x:c r="C9" s="708" t="str">
        <x:v>Por</x:v>
      </x:c>
      <x:c r="D9" s="708" t="str">
        <x:v>Riserva / rotazione</x:v>
      </x:c>
      <x:c r="E9" s="708" t="n">
        <x:v>1</x:v>
      </x:c>
      <x:c r="F9" s="708" t="n">
        <x:v>1</x:v>
      </x:c>
      <x:c r="G9" s="708" t="str">
        <x:v>Copertura</x:v>
      </x:c>
      <x:c r="H9" s="708" t="str"/>
      <x:c r="I9" s="709" t="str">
        <x:v>Solo come secondo/terzo portiere o copertura del titolare.</x:v>
      </x:c>
    </x:row>
    <x:row r="10">
      <x:c r="A10" s="710" t="str">
        <x:v>Portiere</x:v>
      </x:c>
      <x:c r="B10" s="711" t="str">
        <x:f>IF((COUNTIF(Asta!$B$4:$B$47,"Paleari")+COUNTIF(Asta!$D$4:$D$47,"Paleari")+COUNTIF(Asta!$F$4:$F$47,"Paleari")+COUNTIF(Asta!$H$4:$H$47,"Paleari")+COUNTIF(Asta!$J$4:$J$47,"Paleari")+COUNTIF(Asta!$L$4:$L$47,"Paleari")+COUNTIF(Asta!$N$4:$N$47,"Paleari")+COUNTIF(Asta!$P$4:$P$47,"Paleari")+COUNTIF(Asta!$R$4:$R$47,"Paleari")+COUNTIF(Asta!$T$4:$T$47,"Paleari"))&gt;0,REGEXREPLACE("Paleari","(.)","$1"&amp;UNICHAR(822)),"Paleari")</x:f>
        <x:v>Paleari</x:v>
      </x:c>
      <x:c r="C10" s="711" t="str">
        <x:v>Por</x:v>
      </x:c>
      <x:c r="D10" s="711" t="str">
        <x:v>Riserva / rotazione</x:v>
      </x:c>
      <x:c r="E10" s="711" t="n">
        <x:v>1</x:v>
      </x:c>
      <x:c r="F10" s="711" t="n">
        <x:v>1</x:v>
      </x:c>
      <x:c r="G10" s="711" t="str">
        <x:v>Copertura</x:v>
      </x:c>
      <x:c r="H10" s="711" t="str"/>
      <x:c r="I10" s="712" t="str">
        <x:v>Solo come secondo/terzo portiere o copertura del titolare.</x:v>
      </x:c>
    </x:row>
    <x:row r="11">
      <x:c r="A11" s="710" t="str">
        <x:v>Portiere</x:v>
      </x:c>
      <x:c r="B11" s="711" t="str">
        <x:f>IF((COUNTIF(Asta!$B$4:$B$47,"Siviero")+COUNTIF(Asta!$D$4:$D$47,"Siviero")+COUNTIF(Asta!$F$4:$F$47,"Siviero")+COUNTIF(Asta!$H$4:$H$47,"Siviero")+COUNTIF(Asta!$J$4:$J$47,"Siviero")+COUNTIF(Asta!$L$4:$L$47,"Siviero")+COUNTIF(Asta!$N$4:$N$47,"Siviero")+COUNTIF(Asta!$P$4:$P$47,"Siviero")+COUNTIF(Asta!$R$4:$R$47,"Siviero")+COUNTIF(Asta!$T$4:$T$47,"Siviero"))&gt;0,REGEXREPLACE("Siviero","(.)","$1"&amp;UNICHAR(822)),"Siviero")</x:f>
        <x:v>Siviero</x:v>
      </x:c>
      <x:c r="C11" s="711" t="str">
        <x:v>Por</x:v>
      </x:c>
      <x:c r="D11" s="711" t="str">
        <x:v>Riserva / rotazione</x:v>
      </x:c>
      <x:c r="E11" s="711" t="n">
        <x:v>1</x:v>
      </x:c>
      <x:c r="F11" s="711" t="n">
        <x:v>1</x:v>
      </x:c>
      <x:c r="G11" s="711" t="str">
        <x:v>Copertura</x:v>
      </x:c>
      <x:c r="H11" s="711" t="str"/>
      <x:c r="I11" s="712" t="str">
        <x:v>Solo come secondo/terzo portiere o copertura del titolare.</x:v>
      </x:c>
    </x:row>
    <x:row r="12">
      <x:c r="A12" s="713" t="str">
        <x:v>Difensore</x:v>
      </x:c>
      <x:c r="B12" s="714" t="str">
        <x:f>IF((COUNTIF(Asta!$B$4:$B$47,"Coco")+COUNTIF(Asta!$D$4:$D$47,"Coco")+COUNTIF(Asta!$F$4:$F$47,"Coco")+COUNTIF(Asta!$H$4:$H$47,"Coco")+COUNTIF(Asta!$J$4:$J$47,"Coco")+COUNTIF(Asta!$L$4:$L$47,"Coco")+COUNTIF(Asta!$N$4:$N$47,"Coco")+COUNTIF(Asta!$P$4:$P$47,"Coco")+COUNTIF(Asta!$R$4:$R$47,"Coco")+COUNTIF(Asta!$T$4:$T$47,"Coco"))&gt;0,REGEXREPLACE("Coco","(.)","$1"&amp;UNICHAR(822)),"Coco")</x:f>
        <x:v>Coco</x:v>
      </x:c>
      <x:c r="C12" s="714" t="str">
        <x:v>Dc</x:v>
      </x:c>
      <x:c r="D12" s="714" t="str">
        <x:v>Titolare / ballottaggio</x:v>
      </x:c>
      <x:c r="E12" s="714" t="n">
        <x:v>7</x:v>
      </x:c>
      <x:c r="F12" s="714" t="n">
        <x:v>9</x:v>
      </x:c>
      <x:c r="G12" s="714" t="str">
        <x:v>Scommessa</x:v>
      </x:c>
      <x:c r="H12" s="714" t="str"/>
      <x:c r="I12" s="715" t="str">
        <x:v>Solo a pochi crediti: minutaggio non garantito.</x:v>
      </x:c>
    </x:row>
    <x:row r="13">
      <x:c r="A13" s="713" t="str">
        <x:v>Difensore</x:v>
      </x:c>
      <x:c r="B13" s="714" t="str">
        <x:f>IF((COUNTIF(Asta!$B$4:$B$47,"Ismajli")+COUNTIF(Asta!$D$4:$D$47,"Ismajli")+COUNTIF(Asta!$F$4:$F$47,"Ismajli")+COUNTIF(Asta!$H$4:$H$47,"Ismajli")+COUNTIF(Asta!$J$4:$J$47,"Ismajli")+COUNTIF(Asta!$L$4:$L$47,"Ismajli")+COUNTIF(Asta!$N$4:$N$47,"Ismajli")+COUNTIF(Asta!$P$4:$P$47,"Ismajli")+COUNTIF(Asta!$R$4:$R$47,"Ismajli")+COUNTIF(Asta!$T$4:$T$47,"Ismajli"))&gt;0,REGEXREPLACE("Ismajli","(.)","$1"&amp;UNICHAR(822)),"Ismajli")</x:f>
        <x:v>Ismajli</x:v>
      </x:c>
      <x:c r="C13" s="714" t="str">
        <x:v>Dc</x:v>
      </x:c>
      <x:c r="D13" s="714" t="str">
        <x:v>Ballottaggio</x:v>
      </x:c>
      <x:c r="E13" s="714" t="n">
        <x:v>7</x:v>
      </x:c>
      <x:c r="F13" s="714" t="n">
        <x:v>9</x:v>
      </x:c>
      <x:c r="G13" s="714" t="str">
        <x:v>Scommessa</x:v>
      </x:c>
      <x:c r="H13" s="714" t="str"/>
      <x:c r="I13" s="715" t="str">
        <x:v>Solo a pochi crediti: minutaggio non garantito.</x:v>
      </x:c>
    </x:row>
    <x:row r="14">
      <x:c r="A14" s="713" t="str">
        <x:v>Difensore</x:v>
      </x:c>
      <x:c r="B14" s="714" t="str">
        <x:f>IF((COUNTIF(Asta!$B$4:$B$47,"Pedersen")+COUNTIF(Asta!$D$4:$D$47,"Pedersen")+COUNTIF(Asta!$F$4:$F$47,"Pedersen")+COUNTIF(Asta!$H$4:$H$47,"Pedersen")+COUNTIF(Asta!$J$4:$J$47,"Pedersen")+COUNTIF(Asta!$L$4:$L$47,"Pedersen")+COUNTIF(Asta!$N$4:$N$47,"Pedersen")+COUNTIF(Asta!$P$4:$P$47,"Pedersen")+COUNTIF(Asta!$R$4:$R$47,"Pedersen")+COUNTIF(Asta!$T$4:$T$47,"Pedersen"))&gt;0,REGEXREPLACE("Pedersen","(.)","$1"&amp;UNICHAR(822)),"Pedersen")</x:f>
        <x:v>Pedersen</x:v>
      </x:c>
      <x:c r="C14" s="714" t="str">
        <x:v>Dd;E</x:v>
      </x:c>
      <x:c r="D14" s="714" t="str">
        <x:v>Riserva / rotazione</x:v>
      </x:c>
      <x:c r="E14" s="714" t="n">
        <x:v>5</x:v>
      </x:c>
      <x:c r="F14" s="714" t="n">
        <x:v>7</x:v>
      </x:c>
      <x:c r="G14" s="714" t="str">
        <x:v>Scommessa</x:v>
      </x:c>
      <x:c r="H14" s="714" t="str"/>
      <x:c r="I14" s="715" t="str">
        <x:v>Copertura/ultimo slot: da prendere a 1-2 crediti.</x:v>
      </x:c>
    </x:row>
    <x:row r="15">
      <x:c r="A15" s="713" t="str">
        <x:v>Difensore</x:v>
      </x:c>
      <x:c r="B15" s="714" t="str">
        <x:f>IF((COUNTIF(Asta!$B$4:$B$47,"Comuzzo")+COUNTIF(Asta!$D$4:$D$47,"Comuzzo")+COUNTIF(Asta!$F$4:$F$47,"Comuzzo")+COUNTIF(Asta!$H$4:$H$47,"Comuzzo")+COUNTIF(Asta!$J$4:$J$47,"Comuzzo")+COUNTIF(Asta!$L$4:$L$47,"Comuzzo")+COUNTIF(Asta!$N$4:$N$47,"Comuzzo")+COUNTIF(Asta!$P$4:$P$47,"Comuzzo")+COUNTIF(Asta!$R$4:$R$47,"Comuzzo")+COUNTIF(Asta!$T$4:$T$47,"Comuzzo"))&gt;0,REGEXREPLACE("Comuzzo","(.)","$1"&amp;UNICHAR(822)),"Comuzzo")</x:f>
        <x:v>Comuzzo</x:v>
      </x:c>
      <x:c r="C15" s="714" t="str">
        <x:v>Dc</x:v>
      </x:c>
      <x:c r="D15" s="714" t="str">
        <x:v>Titolare</x:v>
      </x:c>
      <x:c r="E15" s="714" t="n">
        <x:v>6</x:v>
      </x:c>
      <x:c r="F15" s="714" t="n">
        <x:v>6</x:v>
      </x:c>
      <x:c r="G15" s="714" t="str">
        <x:v>Scommessa</x:v>
      </x:c>
      <x:c r="H15" s="714" t="str"/>
      <x:c r="I15" s="715" t="str">
        <x:v>Titolare low cost: utile per completare il reparto.</x:v>
      </x:c>
    </x:row>
    <x:row r="16">
      <x:c r="A16" s="713" t="str">
        <x:v>Difensore</x:v>
      </x:c>
      <x:c r="B16" s="714" t="str">
        <x:f>IF((COUNTIF(Asta!$B$4:$B$47,"Comert")+COUNTIF(Asta!$D$4:$D$47,"Comert")+COUNTIF(Asta!$F$4:$F$47,"Comert")+COUNTIF(Asta!$H$4:$H$47,"Comert")+COUNTIF(Asta!$J$4:$J$47,"Comert")+COUNTIF(Asta!$L$4:$L$47,"Comert")+COUNTIF(Asta!$N$4:$N$47,"Comert")+COUNTIF(Asta!$P$4:$P$47,"Comert")+COUNTIF(Asta!$R$4:$R$47,"Comert")+COUNTIF(Asta!$T$4:$T$47,"Comert"))&gt;0,REGEXREPLACE("Comert","(.)","$1"&amp;UNICHAR(822)),"Comert")</x:f>
        <x:v>Comert</x:v>
      </x:c>
      <x:c r="C16" s="714" t="str">
        <x:v>Dc</x:v>
      </x:c>
      <x:c r="D16" s="714" t="str">
        <x:v>Titolare</x:v>
      </x:c>
      <x:c r="E16" s="714" t="n">
        <x:v>4</x:v>
      </x:c>
      <x:c r="F16" s="714" t="n">
        <x:v>5</x:v>
      </x:c>
      <x:c r="G16" s="714" t="str">
        <x:v>Scommessa</x:v>
      </x:c>
      <x:c r="H16" s="714" t="str"/>
      <x:c r="I16" s="715" t="str">
        <x:v>Titolare low cost: utile per completare il reparto.</x:v>
      </x:c>
    </x:row>
    <x:row r="17">
      <x:c r="A17" s="713" t="str">
        <x:v>Difensore</x:v>
      </x:c>
      <x:c r="B17" s="714" t="str">
        <x:f>IF((COUNTIF(Asta!$B$4:$B$47,"Biraghi")+COUNTIF(Asta!$D$4:$D$47,"Biraghi")+COUNTIF(Asta!$F$4:$F$47,"Biraghi")+COUNTIF(Asta!$H$4:$H$47,"Biraghi")+COUNTIF(Asta!$J$4:$J$47,"Biraghi")+COUNTIF(Asta!$L$4:$L$47,"Biraghi")+COUNTIF(Asta!$N$4:$N$47,"Biraghi")+COUNTIF(Asta!$P$4:$P$47,"Biraghi")+COUNTIF(Asta!$R$4:$R$47,"Biraghi")+COUNTIF(Asta!$T$4:$T$47,"Biraghi"))&gt;0,REGEXREPLACE("Biraghi","(.)","$1"&amp;UNICHAR(822)),"Biraghi")</x:f>
        <x:v>Biraghi</x:v>
      </x:c>
      <x:c r="C17" s="714" t="str">
        <x:v>B;Ds;E</x:v>
      </x:c>
      <x:c r="D17" s="714" t="str">
        <x:v>Riserva / rotazione</x:v>
      </x:c>
      <x:c r="E17" s="714" t="n">
        <x:v>2</x:v>
      </x:c>
      <x:c r="F17" s="714" t="n">
        <x:v>3</x:v>
      </x:c>
      <x:c r="G17" s="714" t="str">
        <x:v>Copertura</x:v>
      </x:c>
      <x:c r="H17" s="714" t="str"/>
      <x:c r="I17" s="715" t="str">
        <x:v>Copertura/ultimo slot: da prendere a 1-2 crediti.</x:v>
      </x:c>
    </x:row>
    <x:row r="18">
      <x:c r="A18" s="716" t="str">
        <x:v>Centrocampista</x:v>
      </x:c>
      <x:c r="B18" s="717" t="str">
        <x:f>IF((COUNTIF(Asta!$B$4:$B$47,"Vlasic")+COUNTIF(Asta!$D$4:$D$47,"Vlasic")+COUNTIF(Asta!$F$4:$F$47,"Vlasic")+COUNTIF(Asta!$H$4:$H$47,"Vlasic")+COUNTIF(Asta!$J$4:$J$47,"Vlasic")+COUNTIF(Asta!$L$4:$L$47,"Vlasic")+COUNTIF(Asta!$N$4:$N$47,"Vlasic")+COUNTIF(Asta!$P$4:$P$47,"Vlasic")+COUNTIF(Asta!$R$4:$R$47,"Vlasic")+COUNTIF(Asta!$T$4:$T$47,"Vlasic"))&gt;0,REGEXREPLACE("Vlasic","(.)","$1"&amp;UNICHAR(822)),"Vlasic")</x:f>
        <x:v>Vlasic</x:v>
      </x:c>
      <x:c r="C18" s="717" t="str">
        <x:v>T</x:v>
      </x:c>
      <x:c r="D18" s="717" t="str">
        <x:v>Titolare</x:v>
      </x:c>
      <x:c r="E18" s="717" t="n">
        <x:v>14</x:v>
      </x:c>
      <x:c r="F18" s="717" t="n">
        <x:v>40</x:v>
      </x:c>
      <x:c r="G18" s="717" t="str">
        <x:v>Buon titolare</x:v>
      </x:c>
      <x:c r="H18" s="717" t="str">
        <x:v>Rigorista · Piazzati</x:v>
      </x:c>
      <x:c r="I18" s="718" t="str">
        <x:v>Buon titolare di rosa, da prendere senza inseguire troppo il prezzo. Plus importante: è indicato tra i rigoristi.</x:v>
      </x:c>
    </x:row>
    <x:row r="19">
      <x:c r="A19" s="716" t="str">
        <x:v>Centrocampista</x:v>
      </x:c>
      <x:c r="B19" s="717" t="str">
        <x:f>IF((COUNTIF(Asta!$B$4:$B$47,"Casadei")+COUNTIF(Asta!$D$4:$D$47,"Casadei")+COUNTIF(Asta!$F$4:$F$47,"Casadei")+COUNTIF(Asta!$H$4:$H$47,"Casadei")+COUNTIF(Asta!$J$4:$J$47,"Casadei")+COUNTIF(Asta!$L$4:$L$47,"Casadei")+COUNTIF(Asta!$N$4:$N$47,"Casadei")+COUNTIF(Asta!$P$4:$P$47,"Casadei")+COUNTIF(Asta!$R$4:$R$47,"Casadei")+COUNTIF(Asta!$T$4:$T$47,"Casadei"))&gt;0,REGEXREPLACE("Casadei","(.)","$1"&amp;UNICHAR(822)),"Casadei")</x:f>
        <x:v>Casadei</x:v>
      </x:c>
      <x:c r="C19" s="717" t="str">
        <x:v>C;T</x:v>
      </x:c>
      <x:c r="D19" s="717" t="str">
        <x:v>Titolare / ballottaggio</x:v>
      </x:c>
      <x:c r="E19" s="717" t="n">
        <x:v>10</x:v>
      </x:c>
      <x:c r="F19" s="717" t="n">
        <x:v>19</x:v>
      </x:c>
      <x:c r="G19" s="717" t="str">
        <x:v>Utile</x:v>
      </x:c>
      <x:c r="H19" s="717" t="str"/>
      <x:c r="I19" s="718" t="str">
        <x:v>Scommessa con upside: prendilo a prezzo controllato.</x:v>
      </x:c>
    </x:row>
    <x:row r="20">
      <x:c r="A20" s="716" t="str">
        <x:v>Centrocampista</x:v>
      </x:c>
      <x:c r="B20" s="717" t="str">
        <x:f>IF((COUNTIF(Asta!$B$4:$B$47,"Oristanio")+COUNTIF(Asta!$D$4:$D$47,"Oristanio")+COUNTIF(Asta!$F$4:$F$47,"Oristanio")+COUNTIF(Asta!$H$4:$H$47,"Oristanio")+COUNTIF(Asta!$J$4:$J$47,"Oristanio")+COUNTIF(Asta!$L$4:$L$47,"Oristanio")+COUNTIF(Asta!$N$4:$N$47,"Oristanio")+COUNTIF(Asta!$P$4:$P$47,"Oristanio")+COUNTIF(Asta!$R$4:$R$47,"Oristanio")+COUNTIF(Asta!$T$4:$T$47,"Oristanio"))&gt;0,REGEXREPLACE("Oristanio","(.)","$1"&amp;UNICHAR(822)),"Oristanio")</x:f>
        <x:v>Oristanio</x:v>
      </x:c>
      <x:c r="C20" s="717" t="str">
        <x:v>W;T</x:v>
      </x:c>
      <x:c r="D20" s="717" t="str">
        <x:v>Riserva / rotazione</x:v>
      </x:c>
      <x:c r="E20" s="717" t="n">
        <x:v>7</x:v>
      </x:c>
      <x:c r="F20" s="717" t="n">
        <x:v>14</x:v>
      </x:c>
      <x:c r="G20" s="717" t="str">
        <x:v>Utile</x:v>
      </x:c>
      <x:c r="H20" s="717" t="str"/>
      <x:c r="I20" s="718" t="str">
        <x:v>Scommessa da ultimi slot, senza sovrapprezzo.</x:v>
      </x:c>
    </x:row>
    <x:row r="21">
      <x:c r="A21" s="716" t="str">
        <x:v>Centrocampista</x:v>
      </x:c>
      <x:c r="B21" s="717" t="str">
        <x:f>IF((COUNTIF(Asta!$B$4:$B$47,"Cacciamani")+COUNTIF(Asta!$D$4:$D$47,"Cacciamani")+COUNTIF(Asta!$F$4:$F$47,"Cacciamani")+COUNTIF(Asta!$H$4:$H$47,"Cacciamani")+COUNTIF(Asta!$J$4:$J$47,"Cacciamani")+COUNTIF(Asta!$L$4:$L$47,"Cacciamani")+COUNTIF(Asta!$N$4:$N$47,"Cacciamani")+COUNTIF(Asta!$P$4:$P$47,"Cacciamani")+COUNTIF(Asta!$R$4:$R$47,"Cacciamani")+COUNTIF(Asta!$T$4:$T$47,"Cacciamani"))&gt;0,REGEXREPLACE("Cacciamani","(.)","$1"&amp;UNICHAR(822)),"Cacciamani")</x:f>
        <x:v>Cacciamani</x:v>
      </x:c>
      <x:c r="C21" s="717" t="str">
        <x:v>E;W</x:v>
      </x:c>
      <x:c r="D21" s="717" t="str">
        <x:v>Titolare / ballottaggio</x:v>
      </x:c>
      <x:c r="E21" s="717" t="n">
        <x:v>5</x:v>
      </x:c>
      <x:c r="F21" s="717" t="n">
        <x:v>9</x:v>
      </x:c>
      <x:c r="G21" s="717" t="str">
        <x:v>Scommessa</x:v>
      </x:c>
      <x:c r="H21" s="717" t="str"/>
      <x:c r="I21" s="718" t="str">
        <x:v>Solo a pochi crediti: minutaggio non garantito.</x:v>
      </x:c>
    </x:row>
    <x:row r="22">
      <x:c r="A22" s="716" t="str">
        <x:v>Centrocampista</x:v>
      </x:c>
      <x:c r="B22" s="717" t="str">
        <x:f>IF((COUNTIF(Asta!$B$4:$B$47,"Fitz-Jim")+COUNTIF(Asta!$D$4:$D$47,"Fitz-Jim")+COUNTIF(Asta!$F$4:$F$47,"Fitz-Jim")+COUNTIF(Asta!$H$4:$H$47,"Fitz-Jim")+COUNTIF(Asta!$J$4:$J$47,"Fitz-Jim")+COUNTIF(Asta!$L$4:$L$47,"Fitz-Jim")+COUNTIF(Asta!$N$4:$N$47,"Fitz-Jim")+COUNTIF(Asta!$P$4:$P$47,"Fitz-Jim")+COUNTIF(Asta!$R$4:$R$47,"Fitz-Jim")+COUNTIF(Asta!$T$4:$T$47,"Fitz-Jim"))&gt;0,REGEXREPLACE("Fitz-Jim","(.)","$1"&amp;UNICHAR(822)),"Fitz-Jim")</x:f>
        <x:v>Fitz-Jim</x:v>
      </x:c>
      <x:c r="C22" s="717" t="str">
        <x:v>M;C</x:v>
      </x:c>
      <x:c r="D22" s="717" t="str">
        <x:v>Titolare</x:v>
      </x:c>
      <x:c r="E22" s="717" t="n">
        <x:v>4</x:v>
      </x:c>
      <x:c r="F22" s="717" t="n">
        <x:v>7</x:v>
      </x:c>
      <x:c r="G22" s="717" t="str">
        <x:v>Scommessa</x:v>
      </x:c>
      <x:c r="H22" s="717" t="str"/>
      <x:c r="I22" s="718" t="str">
        <x:v>Titolare low cost: utile per completare il reparto.</x:v>
      </x:c>
    </x:row>
    <x:row r="23">
      <x:c r="A23" s="716" t="str">
        <x:v>Centrocampista</x:v>
      </x:c>
      <x:c r="B23" s="717" t="str">
        <x:f>IF((COUNTIF(Asta!$B$4:$B$47,"Gineitis")+COUNTIF(Asta!$D$4:$D$47,"Gineitis")+COUNTIF(Asta!$F$4:$F$47,"Gineitis")+COUNTIF(Asta!$H$4:$H$47,"Gineitis")+COUNTIF(Asta!$J$4:$J$47,"Gineitis")+COUNTIF(Asta!$L$4:$L$47,"Gineitis")+COUNTIF(Asta!$N$4:$N$47,"Gineitis")+COUNTIF(Asta!$P$4:$P$47,"Gineitis")+COUNTIF(Asta!$R$4:$R$47,"Gineitis")+COUNTIF(Asta!$T$4:$T$47,"Gineitis"))&gt;0,REGEXREPLACE("Gineitis","(.)","$1"&amp;UNICHAR(822)),"Gineitis")</x:f>
        <x:v>Gineitis</x:v>
      </x:c>
      <x:c r="C23" s="717" t="str">
        <x:v>M;C</x:v>
      </x:c>
      <x:c r="D23" s="717" t="str">
        <x:v>Riserva / rotazione</x:v>
      </x:c>
      <x:c r="E23" s="717" t="n">
        <x:v>5</x:v>
      </x:c>
      <x:c r="F23" s="717" t="n">
        <x:v>7</x:v>
      </x:c>
      <x:c r="G23" s="717" t="str">
        <x:v>Scommessa</x:v>
      </x:c>
      <x:c r="H23" s="717" t="str">
        <x:v>Piazzati</x:v>
      </x:c>
      <x:c r="I23" s="718" t="str">
        <x:v>Copertura/ultimo slot: da prendere a 1-2 crediti. Buon plus: può battere calci piazzati.</x:v>
      </x:c>
    </x:row>
    <x:row r="24">
      <x:c r="A24" s="716" t="str">
        <x:v>Centrocampista</x:v>
      </x:c>
      <x:c r="B24" s="717" t="str">
        <x:f>IF((COUNTIF(Asta!$B$4:$B$47,"Njie")+COUNTIF(Asta!$D$4:$D$47,"Njie")+COUNTIF(Asta!$F$4:$F$47,"Njie")+COUNTIF(Asta!$H$4:$H$47,"Njie")+COUNTIF(Asta!$J$4:$J$47,"Njie")+COUNTIF(Asta!$L$4:$L$47,"Njie")+COUNTIF(Asta!$N$4:$N$47,"Njie")+COUNTIF(Asta!$P$4:$P$47,"Njie")+COUNTIF(Asta!$R$4:$R$47,"Njie")+COUNTIF(Asta!$T$4:$T$47,"Njie"))&gt;0,REGEXREPLACE("Njie","(.)","$1"&amp;UNICHAR(822)),"Njie")</x:f>
        <x:v>Njie</x:v>
      </x:c>
      <x:c r="C24" s="717" t="str">
        <x:v>W;A</x:v>
      </x:c>
      <x:c r="D24" s="717" t="str">
        <x:v>Riserva / rotazione</x:v>
      </x:c>
      <x:c r="E24" s="717" t="n">
        <x:v>4</x:v>
      </x:c>
      <x:c r="F24" s="717" t="n">
        <x:v>6</x:v>
      </x:c>
      <x:c r="G24" s="717" t="str">
        <x:v>Scommessa</x:v>
      </x:c>
      <x:c r="H24" s="717" t="str"/>
      <x:c r="I24" s="718" t="str">
        <x:v>Copertura/ultimo slot: da prendere a 1-2 crediti.</x:v>
      </x:c>
    </x:row>
    <x:row r="25">
      <x:c r="A25" s="716" t="str">
        <x:v>Centrocampista</x:v>
      </x:c>
      <x:c r="B25" s="717" t="str">
        <x:f>IF((COUNTIF(Asta!$B$4:$B$47,"Ilkhan")+COUNTIF(Asta!$D$4:$D$47,"Ilkhan")+COUNTIF(Asta!$F$4:$F$47,"Ilkhan")+COUNTIF(Asta!$H$4:$H$47,"Ilkhan")+COUNTIF(Asta!$J$4:$J$47,"Ilkhan")+COUNTIF(Asta!$L$4:$L$47,"Ilkhan")+COUNTIF(Asta!$N$4:$N$47,"Ilkhan")+COUNTIF(Asta!$P$4:$P$47,"Ilkhan")+COUNTIF(Asta!$R$4:$R$47,"Ilkhan")+COUNTIF(Asta!$T$4:$T$47,"Ilkhan"))&gt;0,REGEXREPLACE("Ilkhan","(.)","$1"&amp;UNICHAR(822)),"Ilkhan")</x:f>
        <x:v>Ilkhan</x:v>
      </x:c>
      <x:c r="C25" s="717" t="str">
        <x:v>M;C</x:v>
      </x:c>
      <x:c r="D25" s="717" t="str">
        <x:v>Riserva / rotazione</x:v>
      </x:c>
      <x:c r="E25" s="717" t="n">
        <x:v>4</x:v>
      </x:c>
      <x:c r="F25" s="717" t="n">
        <x:v>5</x:v>
      </x:c>
      <x:c r="G25" s="717" t="str">
        <x:v>Scommessa</x:v>
      </x:c>
      <x:c r="H25" s="717" t="str"/>
      <x:c r="I25" s="718" t="str">
        <x:v>Copertura/ultimo slot: da prendere a 1-2 crediti.</x:v>
      </x:c>
    </x:row>
    <x:row r="26">
      <x:c r="A26" s="716" t="str">
        <x:v>Centrocampista</x:v>
      </x:c>
      <x:c r="B26" s="717" t="str">
        <x:f>IF((COUNTIF(Asta!$B$4:$B$47,"Aboukhlal")+COUNTIF(Asta!$D$4:$D$47,"Aboukhlal")+COUNTIF(Asta!$F$4:$F$47,"Aboukhlal")+COUNTIF(Asta!$H$4:$H$47,"Aboukhlal")+COUNTIF(Asta!$J$4:$J$47,"Aboukhlal")+COUNTIF(Asta!$L$4:$L$47,"Aboukhlal")+COUNTIF(Asta!$N$4:$N$47,"Aboukhlal")+COUNTIF(Asta!$P$4:$P$47,"Aboukhlal")+COUNTIF(Asta!$R$4:$R$47,"Aboukhlal")+COUNTIF(Asta!$T$4:$T$47,"Aboukhlal"))&gt;0,REGEXREPLACE("Aboukhlal","(.)","$1"&amp;UNICHAR(822)),"Aboukhlal")</x:f>
        <x:v>Aboukhlal</x:v>
      </x:c>
      <x:c r="C26" s="717" t="str">
        <x:v>W;A</x:v>
      </x:c>
      <x:c r="D26" s="717" t="str">
        <x:v>Riserva / rotazione</x:v>
      </x:c>
      <x:c r="E26" s="717" t="n">
        <x:v>3</x:v>
      </x:c>
      <x:c r="F26" s="717" t="n">
        <x:v>3</x:v>
      </x:c>
      <x:c r="G26" s="717" t="str">
        <x:v>Copertura</x:v>
      </x:c>
      <x:c r="H26" s="717" t="str"/>
      <x:c r="I26" s="718" t="str">
        <x:v>Copertura/ultimo slot: da prendere a 1-2 crediti.</x:v>
      </x:c>
    </x:row>
    <x:row r="27">
      <x:c r="A27" s="716" t="str">
        <x:v>Centrocampista</x:v>
      </x:c>
      <x:c r="B27" s="717" t="str">
        <x:f>IF((COUNTIF(Asta!$B$4:$B$47,"Anjorin")+COUNTIF(Asta!$D$4:$D$47,"Anjorin")+COUNTIF(Asta!$F$4:$F$47,"Anjorin")+COUNTIF(Asta!$H$4:$H$47,"Anjorin")+COUNTIF(Asta!$J$4:$J$47,"Anjorin")+COUNTIF(Asta!$L$4:$L$47,"Anjorin")+COUNTIF(Asta!$N$4:$N$47,"Anjorin")+COUNTIF(Asta!$P$4:$P$47,"Anjorin")+COUNTIF(Asta!$R$4:$R$47,"Anjorin")+COUNTIF(Asta!$T$4:$T$47,"Anjorin"))&gt;0,REGEXREPLACE("Anjorin","(.)","$1"&amp;UNICHAR(822)),"Anjorin")</x:f>
        <x:v>Anjorin</x:v>
      </x:c>
      <x:c r="C27" s="717" t="str">
        <x:v>C;T</x:v>
      </x:c>
      <x:c r="D27" s="717" t="str">
        <x:v>Riserva / rotazione</x:v>
      </x:c>
      <x:c r="E27" s="717" t="n">
        <x:v>1</x:v>
      </x:c>
      <x:c r="F27" s="717" t="n">
        <x:v>2</x:v>
      </x:c>
      <x:c r="G27" s="717" t="str">
        <x:v>Copertura</x:v>
      </x:c>
      <x:c r="H27" s="717" t="str"/>
      <x:c r="I27" s="718" t="str">
        <x:v>Copertura/ultimo slot: da prendere a 1-2 crediti.</x:v>
      </x:c>
    </x:row>
    <x:row r="28">
      <x:c r="A28" s="716" t="str">
        <x:v>Centrocampista</x:v>
      </x:c>
      <x:c r="B28" s="717" t="str">
        <x:f>IF((COUNTIF(Asta!$B$4:$B$47,"Ilic")+COUNTIF(Asta!$D$4:$D$47,"Ilic")+COUNTIF(Asta!$F$4:$F$47,"Ilic")+COUNTIF(Asta!$H$4:$H$47,"Ilic")+COUNTIF(Asta!$J$4:$J$47,"Ilic")+COUNTIF(Asta!$L$4:$L$47,"Ilic")+COUNTIF(Asta!$N$4:$N$47,"Ilic")+COUNTIF(Asta!$P$4:$P$47,"Ilic")+COUNTIF(Asta!$R$4:$R$47,"Ilic")+COUNTIF(Asta!$T$4:$T$47,"Ilic"))&gt;0,REGEXREPLACE("Ilic","(.)","$1"&amp;UNICHAR(822)),"Ilic")</x:f>
        <x:v>Ilic</x:v>
      </x:c>
      <x:c r="C28" s="717" t="str">
        <x:v>C</x:v>
      </x:c>
      <x:c r="D28" s="717" t="str">
        <x:v>Riserva / rotazione</x:v>
      </x:c>
      <x:c r="E28" s="717" t="n">
        <x:v>1</x:v>
      </x:c>
      <x:c r="F28" s="717" t="n">
        <x:v>2</x:v>
      </x:c>
      <x:c r="G28" s="717" t="str">
        <x:v>Copertura</x:v>
      </x:c>
      <x:c r="H28" s="717" t="str"/>
      <x:c r="I28" s="718" t="str">
        <x:v>Copertura/ultimo slot: da prendere a 1-2 crediti.</x:v>
      </x:c>
    </x:row>
    <x:row r="29">
      <x:c r="A29" s="719" t="str">
        <x:v>Attaccante</x:v>
      </x:c>
      <x:c r="B29" s="720" t="str">
        <x:f>IF((COUNTIF(Asta!$B$4:$B$47,"Simeone")+COUNTIF(Asta!$D$4:$D$47,"Simeone")+COUNTIF(Asta!$F$4:$F$47,"Simeone")+COUNTIF(Asta!$H$4:$H$47,"Simeone")+COUNTIF(Asta!$J$4:$J$47,"Simeone")+COUNTIF(Asta!$L$4:$L$47,"Simeone")+COUNTIF(Asta!$N$4:$N$47,"Simeone")+COUNTIF(Asta!$P$4:$P$47,"Simeone")+COUNTIF(Asta!$R$4:$R$47,"Simeone")+COUNTIF(Asta!$T$4:$T$47,"Simeone"))&gt;0,REGEXREPLACE("Simeone","(.)","$1"&amp;UNICHAR(822)),"Simeone")</x:f>
        <x:v>Simeone</x:v>
      </x:c>
      <x:c r="C29" s="720" t="str">
        <x:v>Pc</x:v>
      </x:c>
      <x:c r="D29" s="720" t="str">
        <x:v>Titolare / ballottaggio</x:v>
      </x:c>
      <x:c r="E29" s="720" t="n">
        <x:v>15</x:v>
      </x:c>
      <x:c r="F29" s="720" t="n">
        <x:v>41</x:v>
      </x:c>
      <x:c r="G29" s="720" t="str">
        <x:v>Buon titolare</x:v>
      </x:c>
      <x:c r="H29" s="720" t="str">
        <x:v>Rigorista</x:v>
      </x:c>
      <x:c r="I29" s="721" t="str">
        <x:v>Interessante per bonus, ma non pagarlo come titolare fisso. Plus importante: è indicato tra i rigoristi.</x:v>
      </x:c>
    </x:row>
    <x:row r="30">
      <x:c r="A30" s="719" t="str">
        <x:v>Attaccante</x:v>
      </x:c>
      <x:c r="B30" s="720" t="str">
        <x:f>IF((COUNTIF(Asta!$B$4:$B$47,"Adams C.")+COUNTIF(Asta!$D$4:$D$47,"Adams C.")+COUNTIF(Asta!$F$4:$F$47,"Adams C.")+COUNTIF(Asta!$H$4:$H$47,"Adams C.")+COUNTIF(Asta!$J$4:$J$47,"Adams C.")+COUNTIF(Asta!$L$4:$L$47,"Adams C.")+COUNTIF(Asta!$N$4:$N$47,"Adams C.")+COUNTIF(Asta!$P$4:$P$47,"Adams C.")+COUNTIF(Asta!$R$4:$R$47,"Adams C.")+COUNTIF(Asta!$T$4:$T$47,"Adams C."))&gt;0,REGEXREPLACE("Adams C.","(.)","$1"&amp;UNICHAR(822)),"Adams C.")</x:f>
        <x:v>Adams C.</x:v>
      </x:c>
      <x:c r="C30" s="720" t="str">
        <x:v>A</x:v>
      </x:c>
      <x:c r="D30" s="720" t="str">
        <x:v>Ballottaggio</x:v>
      </x:c>
      <x:c r="E30" s="720" t="n">
        <x:v>9</x:v>
      </x:c>
      <x:c r="F30" s="720" t="n">
        <x:v>16</x:v>
      </x:c>
      <x:c r="G30" s="720" t="str">
        <x:v>Utile</x:v>
      </x:c>
      <x:c r="H30" s="720" t="str"/>
      <x:c r="I30" s="721" t="str">
        <x:v>Scommessa con upside: prendilo a prezzo controllato.</x:v>
      </x:c>
    </x:row>
    <x:row r="31">
      <x:c r="A31" s="719" t="str">
        <x:v>Attaccante</x:v>
      </x:c>
      <x:c r="B31" s="720" t="str">
        <x:f>IF((COUNTIF(Asta!$B$4:$B$47,"Zapata D.")+COUNTIF(Asta!$D$4:$D$47,"Zapata D.")+COUNTIF(Asta!$F$4:$F$47,"Zapata D.")+COUNTIF(Asta!$H$4:$H$47,"Zapata D.")+COUNTIF(Asta!$J$4:$J$47,"Zapata D.")+COUNTIF(Asta!$L$4:$L$47,"Zapata D.")+COUNTIF(Asta!$N$4:$N$47,"Zapata D.")+COUNTIF(Asta!$P$4:$P$47,"Zapata D.")+COUNTIF(Asta!$R$4:$R$47,"Zapata D.")+COUNTIF(Asta!$T$4:$T$47,"Zapata D."))&gt;0,REGEXREPLACE("Zapata D.","(.)","$1"&amp;UNICHAR(822)),"Zapata D.")</x:f>
        <x:v>Zapata D.</x:v>
      </x:c>
      <x:c r="C31" s="720" t="str">
        <x:v>Pc</x:v>
      </x:c>
      <x:c r="D31" s="720" t="str">
        <x:v>Riserva / rotazione</x:v>
      </x:c>
      <x:c r="E31" s="720" t="n">
        <x:v>7</x:v>
      </x:c>
      <x:c r="F31" s="720" t="n">
        <x:v>9</x:v>
      </x:c>
      <x:c r="G31" s="720" t="str">
        <x:v>Scommessa</x:v>
      </x:c>
      <x:c r="H31" s="720" t="str"/>
      <x:c r="I31" s="721" t="str">
        <x:v>Scommessa da ultimi slot, senza sovrapprezzo.</x:v>
      </x:c>
    </x:row>
    <x:row r="32">
      <x:c r="A32" s="722" t="str">
        <x:v>Attaccante</x:v>
      </x:c>
      <x:c r="B32" s="723" t="str">
        <x:f>IF((COUNTIF(Asta!$B$4:$B$47,"Kulenovic")+COUNTIF(Asta!$D$4:$D$47,"Kulenovic")+COUNTIF(Asta!$F$4:$F$47,"Kulenovic")+COUNTIF(Asta!$H$4:$H$47,"Kulenovic")+COUNTIF(Asta!$J$4:$J$47,"Kulenovic")+COUNTIF(Asta!$L$4:$L$47,"Kulenovic")+COUNTIF(Asta!$N$4:$N$47,"Kulenovic")+COUNTIF(Asta!$P$4:$P$47,"Kulenovic")+COUNTIF(Asta!$R$4:$R$47,"Kulenovic")+COUNTIF(Asta!$T$4:$T$47,"Kulenovic"))&gt;0,REGEXREPLACE("Kulenovic","(.)","$1"&amp;UNICHAR(822)),"Kulenovic")</x:f>
        <x:v>Kulenovic</x:v>
      </x:c>
      <x:c r="C32" s="723" t="str">
        <x:v>Pc</x:v>
      </x:c>
      <x:c r="D32" s="723" t="str">
        <x:v>Riserva / rotazione</x:v>
      </x:c>
      <x:c r="E32" s="723" t="n">
        <x:v>4</x:v>
      </x:c>
      <x:c r="F32" s="723" t="n">
        <x:v>5</x:v>
      </x:c>
      <x:c r="G32" s="723" t="str">
        <x:v>Scommessa</x:v>
      </x:c>
      <x:c r="H32" s="723" t="str"/>
      <x:c r="I32" s="724" t="str">
        <x:v>Copertura/ultimo slot: da prendere a 1-2 crediti.</x:v>
      </x:c>
    </x:row>
    <x:row r="34">
      <x:c r="A34" s="630" t="str">
        <x:v>Fonte formazione/ballottaggi/rigoristi: Fantacalcio.it, aggiornamento 09/09/2026 — https://www.fantacalcio.it/news/calcio-italia/06_08_2026/asta-fantacalcio-le-probabili-formazioni-della-serie-a-enilive-2026-27-495558</x:v>
      </x:c>
      <x:c r="B34" s="630"/>
      <x:c r="C34" s="630"/>
      <x:c r="D34" s="630"/>
      <x:c r="E34" s="630"/>
      <x:c r="F34" s="630"/>
      <x:c r="G34" s="630"/>
      <x:c r="H34" s="630"/>
      <x:c r="I34" s="630"/>
    </x:row>
  </x:sheetData>
  <x:mergeCells>
    <x:mergeCell ref="A1:I1"/>
    <x:mergeCell ref="B4:I4"/>
    <x:mergeCell ref="B5:I5"/>
    <x:mergeCell ref="D3:I3"/>
    <x:mergeCell ref="D6:I6"/>
    <x:mergeCell ref="A34:I34"/>
  </x:mergeCells>
  <x:conditionalFormatting sqref="D9:D32">
    <x:cfRule type="expression" dxfId="38" priority="1">
      <x:formula>D9="Titolare"</x:formula>
    </x:cfRule>
    <x:cfRule type="expression" dxfId="39" priority="2">
      <x:formula>ISNUMBER(SEARCH("Ballottaggio",D9))</x:formula>
    </x:cfRule>
  </x:conditionalFormatting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1" hidden="0" customWidth="1"/>
    <x:col min="3" max="3" width="18" hidden="0" customWidth="1"/>
    <x:col min="4" max="4" width="23" hidden="0" customWidth="1"/>
    <x:col min="5" max="5" width="11" hidden="0" customWidth="1"/>
    <x:col min="6" max="6" width="12" hidden="0" customWidth="1"/>
    <x:col min="7" max="7" width="24" hidden="0" customWidth="1"/>
    <x:col min="8" max="8" width="20" hidden="0" customWidth="1"/>
    <x:col min="9" max="9" width="48" hidden="0" customWidth="1"/>
  </x:cols>
  <x:sheetData>
    <x:row r="1" ht="30" customHeight="1">
      <x:c r="A1" s="642" t="str">
        <x:v>UDINESE — GUIDA ASTA 2026/27</x:v>
      </x:c>
      <x:c r="B1" s="643"/>
      <x:c r="C1" s="643"/>
      <x:c r="D1" s="643"/>
      <x:c r="E1" s="643"/>
      <x:c r="F1" s="643"/>
      <x:c r="G1" s="643"/>
      <x:c r="H1" s="643"/>
      <x:c r="I1" s="644"/>
    </x:row>
    <x:row r="3">
      <x:c r="A3" s="663" t="str">
        <x:v>Allenatore</x:v>
      </x:c>
      <x:c r="B3" s="681" t="str">
        <x:v>Kosta Runjaic</x:v>
      </x:c>
      <x:c r="C3" s="673" t="str">
        <x:v>Modulo</x:v>
      </x:c>
      <x:c r="D3" s="681" t="str">
        <x:v>3-4-2-1</x:v>
      </x:c>
      <x:c r="E3" s="681"/>
      <x:c r="F3" s="681"/>
      <x:c r="G3" s="681"/>
      <x:c r="H3" s="681"/>
      <x:c r="I3" s="682"/>
    </x:row>
    <x:row r="4" ht="38" customHeight="1">
      <x:c r="A4" s="664" t="str">
        <x:v>Formazione titolare</x:v>
      </x:c>
      <x:c r="B4" s="683" t="str">
        <x:v>Okoye; Palma, Kabasele, Solet; Vojvoda, Piotrowski, Karlstrom, Kamara; Zaniolo, Ekkelenkamp; Davis</x:v>
      </x:c>
      <x:c r="C4" s="676" t="str"/>
      <x:c r="D4" s="683" t="str"/>
      <x:c r="E4" s="683"/>
      <x:c r="F4" s="683"/>
      <x:c r="G4" s="683"/>
      <x:c r="H4" s="683"/>
      <x:c r="I4" s="684"/>
    </x:row>
    <x:row r="5" ht="38" customHeight="1">
      <x:c r="A5" s="664" t="str">
        <x:v>Ballottaggi</x:v>
      </x:c>
      <x:c r="B5" s="683" t="str">
        <x:v>Palma/Abankwah; Piotrowski/Miller</x:v>
      </x:c>
      <x:c r="C5" s="676" t="str"/>
      <x:c r="D5" s="683" t="str"/>
      <x:c r="E5" s="683"/>
      <x:c r="F5" s="683"/>
      <x:c r="G5" s="683"/>
      <x:c r="H5" s="683"/>
      <x:c r="I5" s="684"/>
    </x:row>
    <x:row r="6">
      <x:c r="A6" s="665" t="str">
        <x:v>Rigoristi</x:v>
      </x:c>
      <x:c r="B6" s="685" t="str">
        <x:v>Davis, Solet, Zaniolo</x:v>
      </x:c>
      <x:c r="C6" s="679" t="str">
        <x:v>Calci piazzati</x:v>
      </x:c>
      <x:c r="D6" s="685" t="str">
        <x:v>Zaniolo, Ekkelenkamp, Unai Gomez</x:v>
      </x:c>
      <x:c r="E6" s="685"/>
      <x:c r="F6" s="685"/>
      <x:c r="G6" s="685"/>
      <x:c r="H6" s="685"/>
      <x:c r="I6" s="686"/>
    </x:row>
    <x:row r="8" ht="30" customHeight="1">
      <x:c r="A8" s="698" t="str">
        <x:v>Ruolo</x:v>
      </x:c>
      <x:c r="B8" s="699" t="str">
        <x:v>Calciatore</x:v>
      </x:c>
      <x:c r="C8" s="699" t="str">
        <x:v>Posizione</x:v>
      </x:c>
      <x:c r="D8" s="699" t="str">
        <x:v>Status</x:v>
      </x:c>
      <x:c r="E8" s="699" t="str">
        <x:v>Quotazione</x:v>
      </x:c>
      <x:c r="F8" s="699" t="str">
        <x:v>FVM su 504</x:v>
      </x:c>
      <x:c r="G8" s="699" t="str">
        <x:v>Fascia asta</x:v>
      </x:c>
      <x:c r="H8" s="699" t="str">
        <x:v>Specialità</x:v>
      </x:c>
      <x:c r="I8" s="700" t="str">
        <x:v>Consiglio Fantacalcio</x:v>
      </x:c>
    </x:row>
    <x:row r="9">
      <x:c r="A9" s="707" t="str">
        <x:v>Portiere</x:v>
      </x:c>
      <x:c r="B9" s="708" t="str">
        <x:f>IF((COUNTIF(Asta!$B$4:$B$47,"Okoye")+COUNTIF(Asta!$D$4:$D$47,"Okoye")+COUNTIF(Asta!$F$4:$F$47,"Okoye")+COUNTIF(Asta!$H$4:$H$47,"Okoye")+COUNTIF(Asta!$J$4:$J$47,"Okoye")+COUNTIF(Asta!$L$4:$L$47,"Okoye")+COUNTIF(Asta!$N$4:$N$47,"Okoye")+COUNTIF(Asta!$P$4:$P$47,"Okoye")+COUNTIF(Asta!$R$4:$R$47,"Okoye")+COUNTIF(Asta!$T$4:$T$47,"Okoye"))&gt;0,REGEXREPLACE("Okoye","(.)","$1"&amp;UNICHAR(822)),"Okoye")</x:f>
        <x:v>Okoye</x:v>
      </x:c>
      <x:c r="C9" s="708" t="str">
        <x:v>Por</x:v>
      </x:c>
      <x:c r="D9" s="708" t="str">
        <x:v>Titolare</x:v>
      </x:c>
      <x:c r="E9" s="708" t="n">
        <x:v>9</x:v>
      </x:c>
      <x:c r="F9" s="708" t="n">
        <x:v>15</x:v>
      </x:c>
      <x:c r="G9" s="708" t="str">
        <x:v>Utile</x:v>
      </x:c>
      <x:c r="H9" s="708" t="str"/>
      <x:c r="I9" s="709" t="str">
        <x:v>Portiere da prendere come titolare di reparto; profilo affidabile per continuità.</x:v>
      </x:c>
    </x:row>
    <x:row r="10">
      <x:c r="A10" s="710" t="str">
        <x:v>Portiere</x:v>
      </x:c>
      <x:c r="B10" s="711" t="str">
        <x:f>IF((COUNTIF(Asta!$B$4:$B$47,"Padelli")+COUNTIF(Asta!$D$4:$D$47,"Padelli")+COUNTIF(Asta!$F$4:$F$47,"Padelli")+COUNTIF(Asta!$H$4:$H$47,"Padelli")+COUNTIF(Asta!$J$4:$J$47,"Padelli")+COUNTIF(Asta!$L$4:$L$47,"Padelli")+COUNTIF(Asta!$N$4:$N$47,"Padelli")+COUNTIF(Asta!$P$4:$P$47,"Padelli")+COUNTIF(Asta!$R$4:$R$47,"Padelli")+COUNTIF(Asta!$T$4:$T$47,"Padelli"))&gt;0,REGEXREPLACE("Padelli","(.)","$1"&amp;UNICHAR(822)),"Padelli")</x:f>
        <x:v>Padelli</x:v>
      </x:c>
      <x:c r="C10" s="711" t="str">
        <x:v>Por</x:v>
      </x:c>
      <x:c r="D10" s="711" t="str">
        <x:v>Riserva / rotazione</x:v>
      </x:c>
      <x:c r="E10" s="711" t="n">
        <x:v>1</x:v>
      </x:c>
      <x:c r="F10" s="711" t="n">
        <x:v>1</x:v>
      </x:c>
      <x:c r="G10" s="711" t="str">
        <x:v>Copertura</x:v>
      </x:c>
      <x:c r="H10" s="711" t="str"/>
      <x:c r="I10" s="712" t="str">
        <x:v>Solo come secondo/terzo portiere o copertura del titolare.</x:v>
      </x:c>
    </x:row>
    <x:row r="11">
      <x:c r="A11" s="710" t="str">
        <x:v>Portiere</x:v>
      </x:c>
      <x:c r="B11" s="711" t="str">
        <x:f>IF((COUNTIF(Asta!$B$4:$B$47,"Piana")+COUNTIF(Asta!$D$4:$D$47,"Piana")+COUNTIF(Asta!$F$4:$F$47,"Piana")+COUNTIF(Asta!$H$4:$H$47,"Piana")+COUNTIF(Asta!$J$4:$J$47,"Piana")+COUNTIF(Asta!$L$4:$L$47,"Piana")+COUNTIF(Asta!$N$4:$N$47,"Piana")+COUNTIF(Asta!$P$4:$P$47,"Piana")+COUNTIF(Asta!$R$4:$R$47,"Piana")+COUNTIF(Asta!$T$4:$T$47,"Piana"))&gt;0,REGEXREPLACE("Piana","(.)","$1"&amp;UNICHAR(822)),"Piana")</x:f>
        <x:v>Piana</x:v>
      </x:c>
      <x:c r="C11" s="711" t="str">
        <x:v>Por</x:v>
      </x:c>
      <x:c r="D11" s="711" t="str">
        <x:v>Riserva / rotazione</x:v>
      </x:c>
      <x:c r="E11" s="711" t="n">
        <x:v>1</x:v>
      </x:c>
      <x:c r="F11" s="711" t="n">
        <x:v>1</x:v>
      </x:c>
      <x:c r="G11" s="711" t="str">
        <x:v>Copertura</x:v>
      </x:c>
      <x:c r="H11" s="711" t="str"/>
      <x:c r="I11" s="712" t="str">
        <x:v>Solo come secondo/terzo portiere o copertura del titolare.</x:v>
      </x:c>
    </x:row>
    <x:row r="12">
      <x:c r="A12" s="713" t="str">
        <x:v>Difensore</x:v>
      </x:c>
      <x:c r="B12" s="714" t="str">
        <x:f>IF((COUNTIF(Asta!$B$4:$B$47,"Solet")+COUNTIF(Asta!$D$4:$D$47,"Solet")+COUNTIF(Asta!$F$4:$F$47,"Solet")+COUNTIF(Asta!$H$4:$H$47,"Solet")+COUNTIF(Asta!$J$4:$J$47,"Solet")+COUNTIF(Asta!$L$4:$L$47,"Solet")+COUNTIF(Asta!$N$4:$N$47,"Solet")+COUNTIF(Asta!$P$4:$P$47,"Solet")+COUNTIF(Asta!$R$4:$R$47,"Solet")+COUNTIF(Asta!$T$4:$T$47,"Solet"))&gt;0,REGEXREPLACE("Solet","(.)","$1"&amp;UNICHAR(822)),"Solet")</x:f>
        <x:v>Solet</x:v>
      </x:c>
      <x:c r="C12" s="714" t="str">
        <x:v>Dc</x:v>
      </x:c>
      <x:c r="D12" s="714" t="str">
        <x:v>Titolare</x:v>
      </x:c>
      <x:c r="E12" s="714" t="n">
        <x:v>13</x:v>
      </x:c>
      <x:c r="F12" s="714" t="n">
        <x:v>23</x:v>
      </x:c>
      <x:c r="G12" s="714" t="str">
        <x:v>Buon titolare</x:v>
      </x:c>
      <x:c r="H12" s="714" t="str">
        <x:v>Rigorista</x:v>
      </x:c>
      <x:c r="I12" s="715" t="str">
        <x:v>Buon titolare di rosa, da prendere senza inseguire troppo il prezzo. Plus importante: è indicato tra i rigoristi.</x:v>
      </x:c>
    </x:row>
    <x:row r="13">
      <x:c r="A13" s="713" t="str">
        <x:v>Difensore</x:v>
      </x:c>
      <x:c r="B13" s="714" t="str">
        <x:f>IF((COUNTIF(Asta!$B$4:$B$47,"Vojvoda")+COUNTIF(Asta!$D$4:$D$47,"Vojvoda")+COUNTIF(Asta!$F$4:$F$47,"Vojvoda")+COUNTIF(Asta!$H$4:$H$47,"Vojvoda")+COUNTIF(Asta!$J$4:$J$47,"Vojvoda")+COUNTIF(Asta!$L$4:$L$47,"Vojvoda")+COUNTIF(Asta!$N$4:$N$47,"Vojvoda")+COUNTIF(Asta!$P$4:$P$47,"Vojvoda")+COUNTIF(Asta!$R$4:$R$47,"Vojvoda")+COUNTIF(Asta!$T$4:$T$47,"Vojvoda"))&gt;0,REGEXREPLACE("Vojvoda","(.)","$1"&amp;UNICHAR(822)),"Vojvoda")</x:f>
        <x:v>Vojvoda</x:v>
      </x:c>
      <x:c r="C13" s="714" t="str">
        <x:v>Dd;E</x:v>
      </x:c>
      <x:c r="D13" s="714" t="str">
        <x:v>Titolare</x:v>
      </x:c>
      <x:c r="E13" s="714" t="n">
        <x:v>8</x:v>
      </x:c>
      <x:c r="F13" s="714" t="n">
        <x:v>10</x:v>
      </x:c>
      <x:c r="G13" s="714" t="str">
        <x:v>Scommessa</x:v>
      </x:c>
      <x:c r="H13" s="714" t="str"/>
      <x:c r="I13" s="715" t="str">
        <x:v>Titolare low cost: utile per completare il reparto.</x:v>
      </x:c>
    </x:row>
    <x:row r="14">
      <x:c r="A14" s="713" t="str">
        <x:v>Difensore</x:v>
      </x:c>
      <x:c r="B14" s="714" t="str">
        <x:f>IF((COUNTIF(Asta!$B$4:$B$47,"Kristensen T.")+COUNTIF(Asta!$D$4:$D$47,"Kristensen T.")+COUNTIF(Asta!$F$4:$F$47,"Kristensen T.")+COUNTIF(Asta!$H$4:$H$47,"Kristensen T.")+COUNTIF(Asta!$J$4:$J$47,"Kristensen T.")+COUNTIF(Asta!$L$4:$L$47,"Kristensen T.")+COUNTIF(Asta!$N$4:$N$47,"Kristensen T.")+COUNTIF(Asta!$P$4:$P$47,"Kristensen T.")+COUNTIF(Asta!$R$4:$R$47,"Kristensen T.")+COUNTIF(Asta!$T$4:$T$47,"Kristensen T."))&gt;0,REGEXREPLACE("Kristensen T.","(.)","$1"&amp;UNICHAR(822)),"Kristensen T.")</x:f>
        <x:v>Kristensen T.</x:v>
      </x:c>
      <x:c r="C14" s="714" t="str">
        <x:v>Dd;Dc</x:v>
      </x:c>
      <x:c r="D14" s="714" t="str">
        <x:v>Riserva / rotazione</x:v>
      </x:c>
      <x:c r="E14" s="714" t="n">
        <x:v>7</x:v>
      </x:c>
      <x:c r="F14" s="714" t="n">
        <x:v>8</x:v>
      </x:c>
      <x:c r="G14" s="714" t="str">
        <x:v>Scommessa</x:v>
      </x:c>
      <x:c r="H14" s="714" t="str"/>
      <x:c r="I14" s="715" t="str">
        <x:v>Scommessa da ultimi slot, senza sovrapprezzo.</x:v>
      </x:c>
    </x:row>
    <x:row r="15">
      <x:c r="A15" s="713" t="str">
        <x:v>Difensore</x:v>
      </x:c>
      <x:c r="B15" s="714" t="str">
        <x:f>IF((COUNTIF(Asta!$B$4:$B$47,"Kamara H.")+COUNTIF(Asta!$D$4:$D$47,"Kamara H.")+COUNTIF(Asta!$F$4:$F$47,"Kamara H.")+COUNTIF(Asta!$H$4:$H$47,"Kamara H.")+COUNTIF(Asta!$J$4:$J$47,"Kamara H.")+COUNTIF(Asta!$L$4:$L$47,"Kamara H.")+COUNTIF(Asta!$N$4:$N$47,"Kamara H.")+COUNTIF(Asta!$P$4:$P$47,"Kamara H.")+COUNTIF(Asta!$R$4:$R$47,"Kamara H.")+COUNTIF(Asta!$T$4:$T$47,"Kamara H."))&gt;0,REGEXREPLACE("Kamara H.","(.)","$1"&amp;UNICHAR(822)),"Kamara H.")</x:f>
        <x:v>Kamara H.</x:v>
      </x:c>
      <x:c r="C15" s="714" t="str">
        <x:v>Ds;E</x:v>
      </x:c>
      <x:c r="D15" s="714" t="str">
        <x:v>Titolare</x:v>
      </x:c>
      <x:c r="E15" s="714" t="n">
        <x:v>6</x:v>
      </x:c>
      <x:c r="F15" s="714" t="n">
        <x:v>6</x:v>
      </x:c>
      <x:c r="G15" s="714" t="str">
        <x:v>Scommessa</x:v>
      </x:c>
      <x:c r="H15" s="714" t="str"/>
      <x:c r="I15" s="715" t="str">
        <x:v>Titolare low cost: utile per completare il reparto.</x:v>
      </x:c>
    </x:row>
    <x:row r="16">
      <x:c r="A16" s="713" t="str">
        <x:v>Difensore</x:v>
      </x:c>
      <x:c r="B16" s="714" t="str">
        <x:f>IF((COUNTIF(Asta!$B$4:$B$47,"Bertola")+COUNTIF(Asta!$D$4:$D$47,"Bertola")+COUNTIF(Asta!$F$4:$F$47,"Bertola")+COUNTIF(Asta!$H$4:$H$47,"Bertola")+COUNTIF(Asta!$J$4:$J$47,"Bertola")+COUNTIF(Asta!$L$4:$L$47,"Bertola")+COUNTIF(Asta!$N$4:$N$47,"Bertola")+COUNTIF(Asta!$P$4:$P$47,"Bertola")+COUNTIF(Asta!$R$4:$R$47,"Bertola")+COUNTIF(Asta!$T$4:$T$47,"Bertola"))&gt;0,REGEXREPLACE("Bertola","(.)","$1"&amp;UNICHAR(822)),"Bertola")</x:f>
        <x:v>Bertola</x:v>
      </x:c>
      <x:c r="C16" s="714" t="str">
        <x:v>Dd;Ds;Dc</x:v>
      </x:c>
      <x:c r="D16" s="714" t="str">
        <x:v>Riserva / rotazione</x:v>
      </x:c>
      <x:c r="E16" s="714" t="n">
        <x:v>4</x:v>
      </x:c>
      <x:c r="F16" s="714" t="n">
        <x:v>5</x:v>
      </x:c>
      <x:c r="G16" s="714" t="str">
        <x:v>Scommessa</x:v>
      </x:c>
      <x:c r="H16" s="714" t="str"/>
      <x:c r="I16" s="715" t="str">
        <x:v>Copertura/ultimo slot: da prendere a 1-2 crediti.</x:v>
      </x:c>
    </x:row>
    <x:row r="17">
      <x:c r="A17" s="713" t="str">
        <x:v>Difensore</x:v>
      </x:c>
      <x:c r="B17" s="714" t="str">
        <x:f>IF((COUNTIF(Asta!$B$4:$B$47,"Zanoli")+COUNTIF(Asta!$D$4:$D$47,"Zanoli")+COUNTIF(Asta!$F$4:$F$47,"Zanoli")+COUNTIF(Asta!$H$4:$H$47,"Zanoli")+COUNTIF(Asta!$J$4:$J$47,"Zanoli")+COUNTIF(Asta!$L$4:$L$47,"Zanoli")+COUNTIF(Asta!$N$4:$N$47,"Zanoli")+COUNTIF(Asta!$P$4:$P$47,"Zanoli")+COUNTIF(Asta!$R$4:$R$47,"Zanoli")+COUNTIF(Asta!$T$4:$T$47,"Zanoli"))&gt;0,REGEXREPLACE("Zanoli","(.)","$1"&amp;UNICHAR(822)),"Zanoli")</x:f>
        <x:v>Zanoli</x:v>
      </x:c>
      <x:c r="C17" s="714" t="str">
        <x:v>Dd;E</x:v>
      </x:c>
      <x:c r="D17" s="714" t="str">
        <x:v>Riserva / rotazione</x:v>
      </x:c>
      <x:c r="E17" s="714" t="n">
        <x:v>4</x:v>
      </x:c>
      <x:c r="F17" s="714" t="n">
        <x:v>5</x:v>
      </x:c>
      <x:c r="G17" s="714" t="str">
        <x:v>Scommessa</x:v>
      </x:c>
      <x:c r="H17" s="714" t="str"/>
      <x:c r="I17" s="715" t="str">
        <x:v>Copertura/ultimo slot: da prendere a 1-2 crediti.</x:v>
      </x:c>
    </x:row>
    <x:row r="18">
      <x:c r="A18" s="713" t="str">
        <x:v>Difensore</x:v>
      </x:c>
      <x:c r="B18" s="714" t="str">
        <x:f>IF((COUNTIF(Asta!$B$4:$B$47,"Kabasele")+COUNTIF(Asta!$D$4:$D$47,"Kabasele")+COUNTIF(Asta!$F$4:$F$47,"Kabasele")+COUNTIF(Asta!$H$4:$H$47,"Kabasele")+COUNTIF(Asta!$J$4:$J$47,"Kabasele")+COUNTIF(Asta!$L$4:$L$47,"Kabasele")+COUNTIF(Asta!$N$4:$N$47,"Kabasele")+COUNTIF(Asta!$P$4:$P$47,"Kabasele")+COUNTIF(Asta!$R$4:$R$47,"Kabasele")+COUNTIF(Asta!$T$4:$T$47,"Kabasele"))&gt;0,REGEXREPLACE("Kabasele","(.)","$1"&amp;UNICHAR(822)),"Kabasele")</x:f>
        <x:v>Kabasele</x:v>
      </x:c>
      <x:c r="C18" s="714" t="str">
        <x:v>Dc</x:v>
      </x:c>
      <x:c r="D18" s="714" t="str">
        <x:v>Titolare</x:v>
      </x:c>
      <x:c r="E18" s="714" t="n">
        <x:v>4</x:v>
      </x:c>
      <x:c r="F18" s="714" t="n">
        <x:v>5</x:v>
      </x:c>
      <x:c r="G18" s="714" t="str">
        <x:v>Scommessa</x:v>
      </x:c>
      <x:c r="H18" s="714" t="str"/>
      <x:c r="I18" s="715" t="str">
        <x:v>Titolare low cost: utile per completare il reparto.</x:v>
      </x:c>
    </x:row>
    <x:row r="19">
      <x:c r="A19" s="713" t="str">
        <x:v>Difensore</x:v>
      </x:c>
      <x:c r="B19" s="714" t="str">
        <x:f>IF((COUNTIF(Asta!$B$4:$B$47,"Arizala")+COUNTIF(Asta!$D$4:$D$47,"Arizala")+COUNTIF(Asta!$F$4:$F$47,"Arizala")+COUNTIF(Asta!$H$4:$H$47,"Arizala")+COUNTIF(Asta!$J$4:$J$47,"Arizala")+COUNTIF(Asta!$L$4:$L$47,"Arizala")+COUNTIF(Asta!$N$4:$N$47,"Arizala")+COUNTIF(Asta!$P$4:$P$47,"Arizala")+COUNTIF(Asta!$R$4:$R$47,"Arizala")+COUNTIF(Asta!$T$4:$T$47,"Arizala"))&gt;0,REGEXREPLACE("Arizala","(.)","$1"&amp;UNICHAR(822)),"Arizala")</x:f>
        <x:v>Arizala</x:v>
      </x:c>
      <x:c r="C19" s="714" t="str">
        <x:v>Ds;E</x:v>
      </x:c>
      <x:c r="D19" s="714" t="str">
        <x:v>Riserva / rotazione</x:v>
      </x:c>
      <x:c r="E19" s="714" t="n">
        <x:v>4</x:v>
      </x:c>
      <x:c r="F19" s="714" t="n">
        <x:v>4</x:v>
      </x:c>
      <x:c r="G19" s="714" t="str">
        <x:v>Scommessa</x:v>
      </x:c>
      <x:c r="H19" s="714" t="str"/>
      <x:c r="I19" s="715" t="str">
        <x:v>Copertura/ultimo slot: da prendere a 1-2 crediti.</x:v>
      </x:c>
    </x:row>
    <x:row r="20">
      <x:c r="A20" s="713" t="str">
        <x:v>Difensore</x:v>
      </x:c>
      <x:c r="B20" s="714" t="str">
        <x:f>IF((COUNTIF(Asta!$B$4:$B$47,"Palma")+COUNTIF(Asta!$D$4:$D$47,"Palma")+COUNTIF(Asta!$F$4:$F$47,"Palma")+COUNTIF(Asta!$H$4:$H$47,"Palma")+COUNTIF(Asta!$J$4:$J$47,"Palma")+COUNTIF(Asta!$L$4:$L$47,"Palma")+COUNTIF(Asta!$N$4:$N$47,"Palma")+COUNTIF(Asta!$P$4:$P$47,"Palma")+COUNTIF(Asta!$R$4:$R$47,"Palma")+COUNTIF(Asta!$T$4:$T$47,"Palma"))&gt;0,REGEXREPLACE("Palma","(.)","$1"&amp;UNICHAR(822)),"Palma")</x:f>
        <x:v>Palma</x:v>
      </x:c>
      <x:c r="C20" s="714" t="str">
        <x:v>Dc</x:v>
      </x:c>
      <x:c r="D20" s="714" t="str">
        <x:v>Titolare / ballottaggio</x:v>
      </x:c>
      <x:c r="E20" s="714" t="n">
        <x:v>2</x:v>
      </x:c>
      <x:c r="F20" s="714" t="n">
        <x:v>3</x:v>
      </x:c>
      <x:c r="G20" s="714" t="str">
        <x:v>Copertura</x:v>
      </x:c>
      <x:c r="H20" s="714" t="str"/>
      <x:c r="I20" s="715" t="str">
        <x:v>Solo a pochi crediti: minutaggio non garantito.</x:v>
      </x:c>
    </x:row>
    <x:row r="21">
      <x:c r="A21" s="713" t="str">
        <x:v>Difensore</x:v>
      </x:c>
      <x:c r="B21" s="714" t="str">
        <x:f>IF((COUNTIF(Asta!$B$4:$B$47,"Ebosse")+COUNTIF(Asta!$D$4:$D$47,"Ebosse")+COUNTIF(Asta!$F$4:$F$47,"Ebosse")+COUNTIF(Asta!$H$4:$H$47,"Ebosse")+COUNTIF(Asta!$J$4:$J$47,"Ebosse")+COUNTIF(Asta!$L$4:$L$47,"Ebosse")+COUNTIF(Asta!$N$4:$N$47,"Ebosse")+COUNTIF(Asta!$P$4:$P$47,"Ebosse")+COUNTIF(Asta!$R$4:$R$47,"Ebosse")+COUNTIF(Asta!$T$4:$T$47,"Ebosse"))&gt;0,REGEXREPLACE("Ebosse","(.)","$1"&amp;UNICHAR(822)),"Ebosse")</x:f>
        <x:v>Ebosse</x:v>
      </x:c>
      <x:c r="C21" s="714" t="str">
        <x:v>Ds;Dc</x:v>
      </x:c>
      <x:c r="D21" s="714" t="str">
        <x:v>Riserva / rotazione</x:v>
      </x:c>
      <x:c r="E21" s="714" t="n">
        <x:v>2</x:v>
      </x:c>
      <x:c r="F21" s="714" t="n">
        <x:v>2</x:v>
      </x:c>
      <x:c r="G21" s="714" t="str">
        <x:v>Copertura</x:v>
      </x:c>
      <x:c r="H21" s="714" t="str"/>
      <x:c r="I21" s="715" t="str">
        <x:v>Copertura/ultimo slot: da prendere a 1-2 crediti.</x:v>
      </x:c>
    </x:row>
    <x:row r="22">
      <x:c r="A22" s="713" t="str">
        <x:v>Difensore</x:v>
      </x:c>
      <x:c r="B22" s="714" t="str">
        <x:f>IF((COUNTIF(Asta!$B$4:$B$47,"Abankwah")+COUNTIF(Asta!$D$4:$D$47,"Abankwah")+COUNTIF(Asta!$F$4:$F$47,"Abankwah")+COUNTIF(Asta!$H$4:$H$47,"Abankwah")+COUNTIF(Asta!$J$4:$J$47,"Abankwah")+COUNTIF(Asta!$L$4:$L$47,"Abankwah")+COUNTIF(Asta!$N$4:$N$47,"Abankwah")+COUNTIF(Asta!$P$4:$P$47,"Abankwah")+COUNTIF(Asta!$R$4:$R$47,"Abankwah")+COUNTIF(Asta!$T$4:$T$47,"Abankwah"))&gt;0,REGEXREPLACE("Abankwah","(.)","$1"&amp;UNICHAR(822)),"Abankwah")</x:f>
        <x:v>Abankwah</x:v>
      </x:c>
      <x:c r="C22" s="714" t="str">
        <x:v>Dd;Dc</x:v>
      </x:c>
      <x:c r="D22" s="714" t="str">
        <x:v>Ballottaggio</x:v>
      </x:c>
      <x:c r="E22" s="714" t="n">
        <x:v>1</x:v>
      </x:c>
      <x:c r="F22" s="714" t="n">
        <x:v>2</x:v>
      </x:c>
      <x:c r="G22" s="714" t="str">
        <x:v>Copertura</x:v>
      </x:c>
      <x:c r="H22" s="714" t="str"/>
      <x:c r="I22" s="715" t="str">
        <x:v>Solo a pochi crediti: minutaggio non garantito.</x:v>
      </x:c>
    </x:row>
    <x:row r="23">
      <x:c r="A23" s="713" t="str">
        <x:v>Difensore</x:v>
      </x:c>
      <x:c r="B23" s="714" t="str">
        <x:f>IF((COUNTIF(Asta!$B$4:$B$47,"Mlacic")+COUNTIF(Asta!$D$4:$D$47,"Mlacic")+COUNTIF(Asta!$F$4:$F$47,"Mlacic")+COUNTIF(Asta!$H$4:$H$47,"Mlacic")+COUNTIF(Asta!$J$4:$J$47,"Mlacic")+COUNTIF(Asta!$L$4:$L$47,"Mlacic")+COUNTIF(Asta!$N$4:$N$47,"Mlacic")+COUNTIF(Asta!$P$4:$P$47,"Mlacic")+COUNTIF(Asta!$R$4:$R$47,"Mlacic")+COUNTIF(Asta!$T$4:$T$47,"Mlacic"))&gt;0,REGEXREPLACE("Mlacic","(.)","$1"&amp;UNICHAR(822)),"Mlacic")</x:f>
        <x:v>Mlacic</x:v>
      </x:c>
      <x:c r="C23" s="714" t="str">
        <x:v>Dc</x:v>
      </x:c>
      <x:c r="D23" s="714" t="str">
        <x:v>Riserva / rotazione</x:v>
      </x:c>
      <x:c r="E23" s="714" t="n">
        <x:v>1</x:v>
      </x:c>
      <x:c r="F23" s="714" t="n">
        <x:v>2</x:v>
      </x:c>
      <x:c r="G23" s="714" t="str">
        <x:v>Copertura</x:v>
      </x:c>
      <x:c r="H23" s="714" t="str"/>
      <x:c r="I23" s="715" t="str">
        <x:v>Copertura/ultimo slot: da prendere a 1-2 crediti.</x:v>
      </x:c>
    </x:row>
    <x:row r="24">
      <x:c r="A24" s="716" t="str">
        <x:v>Centrocampista</x:v>
      </x:c>
      <x:c r="B24" s="717" t="str">
        <x:f>IF((COUNTIF(Asta!$B$4:$B$47,"Zaniolo")+COUNTIF(Asta!$D$4:$D$47,"Zaniolo")+COUNTIF(Asta!$F$4:$F$47,"Zaniolo")+COUNTIF(Asta!$H$4:$H$47,"Zaniolo")+COUNTIF(Asta!$J$4:$J$47,"Zaniolo")+COUNTIF(Asta!$L$4:$L$47,"Zaniolo")+COUNTIF(Asta!$N$4:$N$47,"Zaniolo")+COUNTIF(Asta!$P$4:$P$47,"Zaniolo")+COUNTIF(Asta!$R$4:$R$47,"Zaniolo")+COUNTIF(Asta!$T$4:$T$47,"Zaniolo"))&gt;0,REGEXREPLACE("Zaniolo","(.)","$1"&amp;UNICHAR(822)),"Zaniolo")</x:f>
        <x:v>Zaniolo</x:v>
      </x:c>
      <x:c r="C24" s="717" t="str">
        <x:v>T;A</x:v>
      </x:c>
      <x:c r="D24" s="717" t="str">
        <x:v>Titolare</x:v>
      </x:c>
      <x:c r="E24" s="717" t="n">
        <x:v>18</x:v>
      </x:c>
      <x:c r="F24" s="717" t="n">
        <x:v>45</x:v>
      </x:c>
      <x:c r="G24" s="717" t="str">
        <x:v>Premium</x:v>
      </x:c>
      <x:c r="H24" s="717" t="str">
        <x:v>Rigorista · Piazzati</x:v>
      </x:c>
      <x:c r="I24" s="718" t="str">
        <x:v>Da puntare: titolarità e alto potenziale fantacalcistico. Plus importante: è indicato tra i rigoristi.</x:v>
      </x:c>
    </x:row>
    <x:row r="25">
      <x:c r="A25" s="716" t="str">
        <x:v>Centrocampista</x:v>
      </x:c>
      <x:c r="B25" s="717" t="str">
        <x:f>IF((COUNTIF(Asta!$B$4:$B$47,"Ekkelenkamp")+COUNTIF(Asta!$D$4:$D$47,"Ekkelenkamp")+COUNTIF(Asta!$F$4:$F$47,"Ekkelenkamp")+COUNTIF(Asta!$H$4:$H$47,"Ekkelenkamp")+COUNTIF(Asta!$J$4:$J$47,"Ekkelenkamp")+COUNTIF(Asta!$L$4:$L$47,"Ekkelenkamp")+COUNTIF(Asta!$N$4:$N$47,"Ekkelenkamp")+COUNTIF(Asta!$P$4:$P$47,"Ekkelenkamp")+COUNTIF(Asta!$R$4:$R$47,"Ekkelenkamp")+COUNTIF(Asta!$T$4:$T$47,"Ekkelenkamp"))&gt;0,REGEXREPLACE("Ekkelenkamp","(.)","$1"&amp;UNICHAR(822)),"Ekkelenkamp")</x:f>
        <x:v>Ekkelenkamp</x:v>
      </x:c>
      <x:c r="C25" s="717" t="str">
        <x:v>C;T</x:v>
      </x:c>
      <x:c r="D25" s="717" t="str">
        <x:v>Titolare</x:v>
      </x:c>
      <x:c r="E25" s="717" t="n">
        <x:v>10</x:v>
      </x:c>
      <x:c r="F25" s="717" t="n">
        <x:v>21</x:v>
      </x:c>
      <x:c r="G25" s="717" t="str">
        <x:v>Utile</x:v>
      </x:c>
      <x:c r="H25" s="717" t="str">
        <x:v>Piazzati</x:v>
      </x:c>
      <x:c r="I25" s="718" t="str">
        <x:v>Profilo utile per minutaggio e rotazioni; buon rapporto costo/titolarità. Buon plus: può battere calci piazzati.</x:v>
      </x:c>
    </x:row>
    <x:row r="26">
      <x:c r="A26" s="716" t="str">
        <x:v>Centrocampista</x:v>
      </x:c>
      <x:c r="B26" s="717" t="str">
        <x:f>IF((COUNTIF(Asta!$B$4:$B$47,"Unai Gomez")+COUNTIF(Asta!$D$4:$D$47,"Unai Gomez")+COUNTIF(Asta!$F$4:$F$47,"Unai Gomez")+COUNTIF(Asta!$H$4:$H$47,"Unai Gomez")+COUNTIF(Asta!$J$4:$J$47,"Unai Gomez")+COUNTIF(Asta!$L$4:$L$47,"Unai Gomez")+COUNTIF(Asta!$N$4:$N$47,"Unai Gomez")+COUNTIF(Asta!$P$4:$P$47,"Unai Gomez")+COUNTIF(Asta!$R$4:$R$47,"Unai Gomez")+COUNTIF(Asta!$T$4:$T$47,"Unai Gomez"))&gt;0,REGEXREPLACE("Unai Gomez","(.)","$1"&amp;UNICHAR(822)),"Unai Gomez")</x:f>
        <x:v>Unai Gomez</x:v>
      </x:c>
      <x:c r="C26" s="717" t="str">
        <x:v>T</x:v>
      </x:c>
      <x:c r="D26" s="717" t="str">
        <x:v>Riserva / rotazione</x:v>
      </x:c>
      <x:c r="E26" s="717" t="n">
        <x:v>7</x:v>
      </x:c>
      <x:c r="F26" s="717" t="n">
        <x:v>12</x:v>
      </x:c>
      <x:c r="G26" s="717" t="str">
        <x:v>Utile</x:v>
      </x:c>
      <x:c r="H26" s="717" t="str">
        <x:v>Piazzati</x:v>
      </x:c>
      <x:c r="I26" s="718" t="str">
        <x:v>Scommessa da ultimi slot, senza sovrapprezzo. Buon plus: può battere calci piazzati.</x:v>
      </x:c>
    </x:row>
    <x:row r="27">
      <x:c r="A27" s="716" t="str">
        <x:v>Centrocampista</x:v>
      </x:c>
      <x:c r="B27" s="717" t="str">
        <x:f>IF((COUNTIF(Asta!$B$4:$B$47,"Karlstrom")+COUNTIF(Asta!$D$4:$D$47,"Karlstrom")+COUNTIF(Asta!$F$4:$F$47,"Karlstrom")+COUNTIF(Asta!$H$4:$H$47,"Karlstrom")+COUNTIF(Asta!$J$4:$J$47,"Karlstrom")+COUNTIF(Asta!$L$4:$L$47,"Karlstrom")+COUNTIF(Asta!$N$4:$N$47,"Karlstrom")+COUNTIF(Asta!$P$4:$P$47,"Karlstrom")+COUNTIF(Asta!$R$4:$R$47,"Karlstrom")+COUNTIF(Asta!$T$4:$T$47,"Karlstrom"))&gt;0,REGEXREPLACE("Karlstrom","(.)","$1"&amp;UNICHAR(822)),"Karlstrom")</x:f>
        <x:v>Karlstrom</x:v>
      </x:c>
      <x:c r="C27" s="717" t="str">
        <x:v>M;C</x:v>
      </x:c>
      <x:c r="D27" s="717" t="str">
        <x:v>Titolare</x:v>
      </x:c>
      <x:c r="E27" s="717" t="n">
        <x:v>6</x:v>
      </x:c>
      <x:c r="F27" s="717" t="n">
        <x:v>10</x:v>
      </x:c>
      <x:c r="G27" s="717" t="str">
        <x:v>Utile</x:v>
      </x:c>
      <x:c r="H27" s="717" t="str"/>
      <x:c r="I27" s="718" t="str">
        <x:v>Profilo utile per minutaggio e rotazioni; buon rapporto costo/titolarità.</x:v>
      </x:c>
    </x:row>
    <x:row r="28">
      <x:c r="A28" s="716" t="str">
        <x:v>Centrocampista</x:v>
      </x:c>
      <x:c r="B28" s="717" t="str">
        <x:f>IF((COUNTIF(Asta!$B$4:$B$47,"Piotrowski")+COUNTIF(Asta!$D$4:$D$47,"Piotrowski")+COUNTIF(Asta!$F$4:$F$47,"Piotrowski")+COUNTIF(Asta!$H$4:$H$47,"Piotrowski")+COUNTIF(Asta!$J$4:$J$47,"Piotrowski")+COUNTIF(Asta!$L$4:$L$47,"Piotrowski")+COUNTIF(Asta!$N$4:$N$47,"Piotrowski")+COUNTIF(Asta!$P$4:$P$47,"Piotrowski")+COUNTIF(Asta!$R$4:$R$47,"Piotrowski")+COUNTIF(Asta!$T$4:$T$47,"Piotrowski"))&gt;0,REGEXREPLACE("Piotrowski","(.)","$1"&amp;UNICHAR(822)),"Piotrowski")</x:f>
        <x:v>Piotrowski</x:v>
      </x:c>
      <x:c r="C28" s="717" t="str">
        <x:v>M;C</x:v>
      </x:c>
      <x:c r="D28" s="717" t="str">
        <x:v>Titolare / ballottaggio</x:v>
      </x:c>
      <x:c r="E28" s="717" t="n">
        <x:v>5</x:v>
      </x:c>
      <x:c r="F28" s="717" t="n">
        <x:v>8</x:v>
      </x:c>
      <x:c r="G28" s="717" t="str">
        <x:v>Scommessa</x:v>
      </x:c>
      <x:c r="H28" s="717" t="str"/>
      <x:c r="I28" s="718" t="str">
        <x:v>Solo a pochi crediti: minutaggio non garantito.</x:v>
      </x:c>
    </x:row>
    <x:row r="29">
      <x:c r="A29" s="716" t="str">
        <x:v>Centrocampista</x:v>
      </x:c>
      <x:c r="B29" s="717" t="str">
        <x:f>IF((COUNTIF(Asta!$B$4:$B$47,"Miller L.")+COUNTIF(Asta!$D$4:$D$47,"Miller L.")+COUNTIF(Asta!$F$4:$F$47,"Miller L.")+COUNTIF(Asta!$H$4:$H$47,"Miller L.")+COUNTIF(Asta!$J$4:$J$47,"Miller L.")+COUNTIF(Asta!$L$4:$L$47,"Miller L.")+COUNTIF(Asta!$N$4:$N$47,"Miller L.")+COUNTIF(Asta!$P$4:$P$47,"Miller L.")+COUNTIF(Asta!$R$4:$R$47,"Miller L.")+COUNTIF(Asta!$T$4:$T$47,"Miller L."))&gt;0,REGEXREPLACE("Miller L.","(.)","$1"&amp;UNICHAR(822)),"Miller L.")</x:f>
        <x:v>Miller L.</x:v>
      </x:c>
      <x:c r="C29" s="717" t="str">
        <x:v>M;C</x:v>
      </x:c>
      <x:c r="D29" s="717" t="str">
        <x:v>Ballottaggio</x:v>
      </x:c>
      <x:c r="E29" s="717" t="n">
        <x:v>3</x:v>
      </x:c>
      <x:c r="F29" s="717" t="n">
        <x:v>6</x:v>
      </x:c>
      <x:c r="G29" s="717" t="str">
        <x:v>Scommessa</x:v>
      </x:c>
      <x:c r="H29" s="717" t="str"/>
      <x:c r="I29" s="718" t="str">
        <x:v>Solo a pochi crediti: minutaggio non garantito.</x:v>
      </x:c>
    </x:row>
    <x:row r="30">
      <x:c r="A30" s="716" t="str">
        <x:v>Centrocampista</x:v>
      </x:c>
      <x:c r="B30" s="717" t="str">
        <x:f>IF((COUNTIF(Asta!$B$4:$B$47,"Chakvetadze")+COUNTIF(Asta!$D$4:$D$47,"Chakvetadze")+COUNTIF(Asta!$F$4:$F$47,"Chakvetadze")+COUNTIF(Asta!$H$4:$H$47,"Chakvetadze")+COUNTIF(Asta!$J$4:$J$47,"Chakvetadze")+COUNTIF(Asta!$L$4:$L$47,"Chakvetadze")+COUNTIF(Asta!$N$4:$N$47,"Chakvetadze")+COUNTIF(Asta!$P$4:$P$47,"Chakvetadze")+COUNTIF(Asta!$R$4:$R$47,"Chakvetadze")+COUNTIF(Asta!$T$4:$T$47,"Chakvetadze"))&gt;0,REGEXREPLACE("Chakvetadze","(.)","$1"&amp;UNICHAR(822)),"Chakvetadze")</x:f>
        <x:v>Chakvetadze</x:v>
      </x:c>
      <x:c r="C30" s="717" t="str">
        <x:v>W;T</x:v>
      </x:c>
      <x:c r="D30" s="717" t="str">
        <x:v>Riserva / rotazione</x:v>
      </x:c>
      <x:c r="E30" s="717" t="n">
        <x:v>2</x:v>
      </x:c>
      <x:c r="F30" s="717" t="n">
        <x:v>3</x:v>
      </x:c>
      <x:c r="G30" s="717" t="str">
        <x:v>Copertura</x:v>
      </x:c>
      <x:c r="H30" s="717" t="str"/>
      <x:c r="I30" s="718" t="str">
        <x:v>Copertura/ultimo slot: da prendere a 1-2 crediti.</x:v>
      </x:c>
    </x:row>
    <x:row r="31">
      <x:c r="A31" s="716" t="str">
        <x:v>Centrocampista</x:v>
      </x:c>
      <x:c r="B31" s="717" t="str">
        <x:f>IF((COUNTIF(Asta!$B$4:$B$47,"Zarraga")+COUNTIF(Asta!$D$4:$D$47,"Zarraga")+COUNTIF(Asta!$F$4:$F$47,"Zarraga")+COUNTIF(Asta!$H$4:$H$47,"Zarraga")+COUNTIF(Asta!$J$4:$J$47,"Zarraga")+COUNTIF(Asta!$L$4:$L$47,"Zarraga")+COUNTIF(Asta!$N$4:$N$47,"Zarraga")+COUNTIF(Asta!$P$4:$P$47,"Zarraga")+COUNTIF(Asta!$R$4:$R$47,"Zarraga")+COUNTIF(Asta!$T$4:$T$47,"Zarraga"))&gt;0,REGEXREPLACE("Zarraga","(.)","$1"&amp;UNICHAR(822)),"Zarraga")</x:f>
        <x:v>Zarraga</x:v>
      </x:c>
      <x:c r="C31" s="717" t="str">
        <x:v>M;C</x:v>
      </x:c>
      <x:c r="D31" s="717" t="str">
        <x:v>Riserva / rotazione</x:v>
      </x:c>
      <x:c r="E31" s="717" t="n">
        <x:v>1</x:v>
      </x:c>
      <x:c r="F31" s="717" t="n">
        <x:v>2</x:v>
      </x:c>
      <x:c r="G31" s="717" t="str">
        <x:v>Copertura</x:v>
      </x:c>
      <x:c r="H31" s="717" t="str"/>
      <x:c r="I31" s="718" t="str">
        <x:v>Copertura/ultimo slot: da prendere a 1-2 crediti.</x:v>
      </x:c>
    </x:row>
    <x:row r="32">
      <x:c r="A32" s="716" t="str">
        <x:v>Centrocampista</x:v>
      </x:c>
      <x:c r="B32" s="717" t="str">
        <x:f>IF((COUNTIF(Asta!$B$4:$B$47,"Camara A.")+COUNTIF(Asta!$D$4:$D$47,"Camara A.")+COUNTIF(Asta!$F$4:$F$47,"Camara A.")+COUNTIF(Asta!$H$4:$H$47,"Camara A.")+COUNTIF(Asta!$J$4:$J$47,"Camara A.")+COUNTIF(Asta!$L$4:$L$47,"Camara A.")+COUNTIF(Asta!$N$4:$N$47,"Camara A.")+COUNTIF(Asta!$P$4:$P$47,"Camara A.")+COUNTIF(Asta!$R$4:$R$47,"Camara A.")+COUNTIF(Asta!$T$4:$T$47,"Camara A."))&gt;0,REGEXREPLACE("Camara A.","(.)","$1"&amp;UNICHAR(822)),"Camara A.")</x:f>
        <x:v>Camara A.</x:v>
      </x:c>
      <x:c r="C32" s="717" t="str">
        <x:v>M;C</x:v>
      </x:c>
      <x:c r="D32" s="717" t="str">
        <x:v>Riserva / rotazione</x:v>
      </x:c>
      <x:c r="E32" s="717" t="n">
        <x:v>1</x:v>
      </x:c>
      <x:c r="F32" s="717" t="n">
        <x:v>2</x:v>
      </x:c>
      <x:c r="G32" s="717" t="str">
        <x:v>Copertura</x:v>
      </x:c>
      <x:c r="H32" s="717" t="str"/>
      <x:c r="I32" s="718" t="str">
        <x:v>Copertura/ultimo slot: da prendere a 1-2 crediti.</x:v>
      </x:c>
    </x:row>
    <x:row r="33">
      <x:c r="A33" s="719" t="str">
        <x:v>Attaccante</x:v>
      </x:c>
      <x:c r="B33" s="720" t="str">
        <x:f>IF((COUNTIF(Asta!$B$4:$B$47,"Davis K.")+COUNTIF(Asta!$D$4:$D$47,"Davis K.")+COUNTIF(Asta!$F$4:$F$47,"Davis K.")+COUNTIF(Asta!$H$4:$H$47,"Davis K.")+COUNTIF(Asta!$J$4:$J$47,"Davis K.")+COUNTIF(Asta!$L$4:$L$47,"Davis K.")+COUNTIF(Asta!$N$4:$N$47,"Davis K.")+COUNTIF(Asta!$P$4:$P$47,"Davis K.")+COUNTIF(Asta!$R$4:$R$47,"Davis K.")+COUNTIF(Asta!$T$4:$T$47,"Davis K."))&gt;0,REGEXREPLACE("Davis K.","(.)","$1"&amp;UNICHAR(822)),"Davis K.")</x:f>
        <x:v>Davis K.</x:v>
      </x:c>
      <x:c r="C33" s="720" t="str">
        <x:v>Pc</x:v>
      </x:c>
      <x:c r="D33" s="720" t="str">
        <x:v>Titolare</x:v>
      </x:c>
      <x:c r="E33" s="720" t="n">
        <x:v>19</x:v>
      </x:c>
      <x:c r="F33" s="720" t="n">
        <x:v>61</x:v>
      </x:c>
      <x:c r="G33" s="720" t="str">
        <x:v>Premium</x:v>
      </x:c>
      <x:c r="H33" s="720" t="str">
        <x:v>Rigorista</x:v>
      </x:c>
      <x:c r="I33" s="721" t="str">
        <x:v>Da puntare: titolarità e alto potenziale fantacalcistico. Plus importante: è indicato tra i rigoristi.</x:v>
      </x:c>
    </x:row>
    <x:row r="34">
      <x:c r="A34" s="719" t="str">
        <x:v>Attaccante</x:v>
      </x:c>
      <x:c r="B34" s="720" t="str">
        <x:f>IF((COUNTIF(Asta!$B$4:$B$47,"Gueye")+COUNTIF(Asta!$D$4:$D$47,"Gueye")+COUNTIF(Asta!$F$4:$F$47,"Gueye")+COUNTIF(Asta!$H$4:$H$47,"Gueye")+COUNTIF(Asta!$J$4:$J$47,"Gueye")+COUNTIF(Asta!$L$4:$L$47,"Gueye")+COUNTIF(Asta!$N$4:$N$47,"Gueye")+COUNTIF(Asta!$P$4:$P$47,"Gueye")+COUNTIF(Asta!$R$4:$R$47,"Gueye")+COUNTIF(Asta!$T$4:$T$47,"Gueye"))&gt;0,REGEXREPLACE("Gueye","(.)","$1"&amp;UNICHAR(822)),"Gueye")</x:f>
        <x:v>Gueye</x:v>
      </x:c>
      <x:c r="C34" s="720" t="str">
        <x:v>Pc</x:v>
      </x:c>
      <x:c r="D34" s="720" t="str">
        <x:v>Riserva / rotazione</x:v>
      </x:c>
      <x:c r="E34" s="720" t="n">
        <x:v>4</x:v>
      </x:c>
      <x:c r="F34" s="720" t="n">
        <x:v>4</x:v>
      </x:c>
      <x:c r="G34" s="720" t="str">
        <x:v>Copertura</x:v>
      </x:c>
      <x:c r="H34" s="720" t="str"/>
      <x:c r="I34" s="721" t="str">
        <x:v>Copertura/ultimo slot: da prendere a 1-2 crediti.</x:v>
      </x:c>
    </x:row>
    <x:row r="35">
      <x:c r="A35" s="719" t="str">
        <x:v>Attaccante</x:v>
      </x:c>
      <x:c r="B35" s="720" t="str">
        <x:f>IF((COUNTIF(Asta!$B$4:$B$47,"Buksa")+COUNTIF(Asta!$D$4:$D$47,"Buksa")+COUNTIF(Asta!$F$4:$F$47,"Buksa")+COUNTIF(Asta!$H$4:$H$47,"Buksa")+COUNTIF(Asta!$J$4:$J$47,"Buksa")+COUNTIF(Asta!$L$4:$L$47,"Buksa")+COUNTIF(Asta!$N$4:$N$47,"Buksa")+COUNTIF(Asta!$P$4:$P$47,"Buksa")+COUNTIF(Asta!$R$4:$R$47,"Buksa")+COUNTIF(Asta!$T$4:$T$47,"Buksa"))&gt;0,REGEXREPLACE("Buksa","(.)","$1"&amp;UNICHAR(822)),"Buksa")</x:f>
        <x:v>Buksa</x:v>
      </x:c>
      <x:c r="C35" s="720" t="str">
        <x:v>Pc</x:v>
      </x:c>
      <x:c r="D35" s="720" t="str">
        <x:v>Riserva / rotazione</x:v>
      </x:c>
      <x:c r="E35" s="720" t="n">
        <x:v>2</x:v>
      </x:c>
      <x:c r="F35" s="720" t="n">
        <x:v>2</x:v>
      </x:c>
      <x:c r="G35" s="720" t="str">
        <x:v>Copertura</x:v>
      </x:c>
      <x:c r="H35" s="720" t="str"/>
      <x:c r="I35" s="721" t="str">
        <x:v>Copertura/ultimo slot: da prendere a 1-2 crediti.</x:v>
      </x:c>
    </x:row>
    <x:row r="36">
      <x:c r="A36" s="722" t="str">
        <x:v>Attaccante</x:v>
      </x:c>
      <x:c r="B36" s="723" t="str">
        <x:f>IF((COUNTIF(Asta!$B$4:$B$47,"Bayo V.")+COUNTIF(Asta!$D$4:$D$47,"Bayo V.")+COUNTIF(Asta!$F$4:$F$47,"Bayo V.")+COUNTIF(Asta!$H$4:$H$47,"Bayo V.")+COUNTIF(Asta!$J$4:$J$47,"Bayo V.")+COUNTIF(Asta!$L$4:$L$47,"Bayo V.")+COUNTIF(Asta!$N$4:$N$47,"Bayo V.")+COUNTIF(Asta!$P$4:$P$47,"Bayo V.")+COUNTIF(Asta!$R$4:$R$47,"Bayo V.")+COUNTIF(Asta!$T$4:$T$47,"Bayo V."))&gt;0,REGEXREPLACE("Bayo V.","(.)","$1"&amp;UNICHAR(822)),"Bayo V.")</x:f>
        <x:v>Bayo V.</x:v>
      </x:c>
      <x:c r="C36" s="723" t="str">
        <x:v>Pc</x:v>
      </x:c>
      <x:c r="D36" s="723" t="str">
        <x:v>Riserva / rotazione</x:v>
      </x:c>
      <x:c r="E36" s="723" t="n">
        <x:v>1</x:v>
      </x:c>
      <x:c r="F36" s="723" t="n">
        <x:v>2</x:v>
      </x:c>
      <x:c r="G36" s="723" t="str">
        <x:v>Copertura</x:v>
      </x:c>
      <x:c r="H36" s="723" t="str"/>
      <x:c r="I36" s="724" t="str">
        <x:v>Copertura/ultimo slot: da prendere a 1-2 crediti.</x:v>
      </x:c>
    </x:row>
    <x:row r="38">
      <x:c r="A38" s="630" t="str">
        <x:v>Fonte formazione/ballottaggi/rigoristi: Fantacalcio.it, aggiornamento 09/09/2026 — https://www.fantacalcio.it/news/calcio-italia/06_08_2026/asta-fantacalcio-le-probabili-formazioni-della-serie-a-enilive-2026-27-495558</x:v>
      </x:c>
      <x:c r="B38" s="630"/>
      <x:c r="C38" s="630"/>
      <x:c r="D38" s="630"/>
      <x:c r="E38" s="630"/>
      <x:c r="F38" s="630"/>
      <x:c r="G38" s="630"/>
      <x:c r="H38" s="630"/>
      <x:c r="I38" s="630"/>
    </x:row>
  </x:sheetData>
  <x:mergeCells>
    <x:mergeCell ref="A1:I1"/>
    <x:mergeCell ref="B4:I4"/>
    <x:mergeCell ref="B5:I5"/>
    <x:mergeCell ref="D3:I3"/>
    <x:mergeCell ref="D6:I6"/>
    <x:mergeCell ref="A38:I38"/>
  </x:mergeCells>
  <x:conditionalFormatting sqref="D9:D36">
    <x:cfRule type="expression" dxfId="40" priority="1">
      <x:formula>D9="Titolare"</x:formula>
    </x:cfRule>
    <x:cfRule type="expression" dxfId="41" priority="2">
      <x:formula>ISNUMBER(SEARCH("Ballottaggio",D9))</x:formula>
    </x:cfRule>
  </x:conditionalFormatting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1" hidden="0" customWidth="1"/>
    <x:col min="3" max="3" width="18" hidden="0" customWidth="1"/>
    <x:col min="4" max="4" width="23" hidden="0" customWidth="1"/>
    <x:col min="5" max="5" width="11" hidden="0" customWidth="1"/>
    <x:col min="6" max="6" width="12" hidden="0" customWidth="1"/>
    <x:col min="7" max="7" width="24" hidden="0" customWidth="1"/>
    <x:col min="8" max="8" width="20" hidden="0" customWidth="1"/>
    <x:col min="9" max="9" width="48" hidden="0" customWidth="1"/>
  </x:cols>
  <x:sheetData>
    <x:row r="1" ht="30" customHeight="1">
      <x:c r="A1" s="642" t="str">
        <x:v>VENEZIA — GUIDA ASTA 2026/27</x:v>
      </x:c>
      <x:c r="B1" s="643"/>
      <x:c r="C1" s="643"/>
      <x:c r="D1" s="643"/>
      <x:c r="E1" s="643"/>
      <x:c r="F1" s="643"/>
      <x:c r="G1" s="643"/>
      <x:c r="H1" s="643"/>
      <x:c r="I1" s="644"/>
    </x:row>
    <x:row r="3">
      <x:c r="A3" s="663" t="str">
        <x:v>Allenatore</x:v>
      </x:c>
      <x:c r="B3" s="681" t="str">
        <x:v>Giovanni Stroppa</x:v>
      </x:c>
      <x:c r="C3" s="673" t="str">
        <x:v>Modulo</x:v>
      </x:c>
      <x:c r="D3" s="681" t="str">
        <x:v>3-5-2</x:v>
      </x:c>
      <x:c r="E3" s="681"/>
      <x:c r="F3" s="681"/>
      <x:c r="G3" s="681"/>
      <x:c r="H3" s="681"/>
      <x:c r="I3" s="682"/>
    </x:row>
    <x:row r="4" ht="38" customHeight="1">
      <x:c r="A4" s="664" t="str">
        <x:v>Formazione titolare</x:v>
      </x:c>
      <x:c r="B4" s="683" t="str">
        <x:v>Stankovic; Schingtienne, Bella-Kotchap, Juan Jesus; Mazzocchi, Kike Perez, Busio, Basic, Haps; Yeboah, Akor Adams</x:v>
      </x:c>
      <x:c r="C4" s="676" t="str"/>
      <x:c r="D4" s="683" t="str"/>
      <x:c r="E4" s="683"/>
      <x:c r="F4" s="683"/>
      <x:c r="G4" s="683"/>
      <x:c r="H4" s="683"/>
      <x:c r="I4" s="684"/>
    </x:row>
    <x:row r="5" ht="38" customHeight="1">
      <x:c r="A5" s="664" t="str">
        <x:v>Ballottaggi</x:v>
      </x:c>
      <x:c r="B5" s="683" t="str">
        <x:v>Juan Jesus/Halhal; Mazzocchi/Hainaut; Haps/Correia; Perez/Sohm; Adams/Rrahmani</x:v>
      </x:c>
      <x:c r="C5" s="676" t="str"/>
      <x:c r="D5" s="683" t="str"/>
      <x:c r="E5" s="683"/>
      <x:c r="F5" s="683"/>
      <x:c r="G5" s="683"/>
      <x:c r="H5" s="683"/>
      <x:c r="I5" s="684"/>
    </x:row>
    <x:row r="6">
      <x:c r="A6" s="665" t="str">
        <x:v>Rigoristi</x:v>
      </x:c>
      <x:c r="B6" s="685" t="str">
        <x:v>Busio, Adams, Adorante</x:v>
      </x:c>
      <x:c r="C6" s="679" t="str">
        <x:v>Calci piazzati</x:v>
      </x:c>
      <x:c r="D6" s="685" t="str">
        <x:v>Busio, Yeboah, Kike Perez</x:v>
      </x:c>
      <x:c r="E6" s="685"/>
      <x:c r="F6" s="685"/>
      <x:c r="G6" s="685"/>
      <x:c r="H6" s="685"/>
      <x:c r="I6" s="686"/>
    </x:row>
    <x:row r="8" ht="30" customHeight="1">
      <x:c r="A8" s="698" t="str">
        <x:v>Ruolo</x:v>
      </x:c>
      <x:c r="B8" s="699" t="str">
        <x:v>Calciatore</x:v>
      </x:c>
      <x:c r="C8" s="699" t="str">
        <x:v>Posizione</x:v>
      </x:c>
      <x:c r="D8" s="699" t="str">
        <x:v>Status</x:v>
      </x:c>
      <x:c r="E8" s="699" t="str">
        <x:v>Quotazione</x:v>
      </x:c>
      <x:c r="F8" s="699" t="str">
        <x:v>FVM su 504</x:v>
      </x:c>
      <x:c r="G8" s="699" t="str">
        <x:v>Fascia asta</x:v>
      </x:c>
      <x:c r="H8" s="699" t="str">
        <x:v>Specialità</x:v>
      </x:c>
      <x:c r="I8" s="700" t="str">
        <x:v>Consiglio Fantacalcio</x:v>
      </x:c>
    </x:row>
    <x:row r="9">
      <x:c r="A9" s="707" t="str">
        <x:v>Portiere</x:v>
      </x:c>
      <x:c r="B9" s="708" t="str">
        <x:f>IF((COUNTIF(Asta!$B$4:$B$47,"Stankovic F.")+COUNTIF(Asta!$D$4:$D$47,"Stankovic F.")+COUNTIF(Asta!$F$4:$F$47,"Stankovic F.")+COUNTIF(Asta!$H$4:$H$47,"Stankovic F.")+COUNTIF(Asta!$J$4:$J$47,"Stankovic F.")+COUNTIF(Asta!$L$4:$L$47,"Stankovic F.")+COUNTIF(Asta!$N$4:$N$47,"Stankovic F.")+COUNTIF(Asta!$P$4:$P$47,"Stankovic F.")+COUNTIF(Asta!$R$4:$R$47,"Stankovic F.")+COUNTIF(Asta!$T$4:$T$47,"Stankovic F."))&gt;0,REGEXREPLACE("Stankovic F.","(.)","$1"&amp;UNICHAR(822)),"Stankovic F.")</x:f>
        <x:v>Stankovic F.</x:v>
      </x:c>
      <x:c r="C9" s="708" t="str">
        <x:v>Por</x:v>
      </x:c>
      <x:c r="D9" s="708" t="str">
        <x:v>Titolare</x:v>
      </x:c>
      <x:c r="E9" s="708" t="n">
        <x:v>6</x:v>
      </x:c>
      <x:c r="F9" s="708" t="n">
        <x:v>7</x:v>
      </x:c>
      <x:c r="G9" s="708" t="str">
        <x:v>Scommessa</x:v>
      </x:c>
      <x:c r="H9" s="708" t="str"/>
      <x:c r="I9" s="709" t="str">
        <x:v>Portiere da prendere come titolare di reparto, meglio se abbinato a un secondo portiere affidabile.</x:v>
      </x:c>
    </x:row>
    <x:row r="10">
      <x:c r="A10" s="710" t="str">
        <x:v>Portiere</x:v>
      </x:c>
      <x:c r="B10" s="711" t="str">
        <x:f>IF((COUNTIF(Asta!$B$4:$B$47,"Grandi")+COUNTIF(Asta!$D$4:$D$47,"Grandi")+COUNTIF(Asta!$F$4:$F$47,"Grandi")+COUNTIF(Asta!$H$4:$H$47,"Grandi")+COUNTIF(Asta!$J$4:$J$47,"Grandi")+COUNTIF(Asta!$L$4:$L$47,"Grandi")+COUNTIF(Asta!$N$4:$N$47,"Grandi")+COUNTIF(Asta!$P$4:$P$47,"Grandi")+COUNTIF(Asta!$R$4:$R$47,"Grandi")+COUNTIF(Asta!$T$4:$T$47,"Grandi"))&gt;0,REGEXREPLACE("Grandi","(.)","$1"&amp;UNICHAR(822)),"Grandi")</x:f>
        <x:v>Grandi</x:v>
      </x:c>
      <x:c r="C10" s="711" t="str">
        <x:v>Por</x:v>
      </x:c>
      <x:c r="D10" s="711" t="str">
        <x:v>Riserva / rotazione</x:v>
      </x:c>
      <x:c r="E10" s="711" t="n">
        <x:v>1</x:v>
      </x:c>
      <x:c r="F10" s="711" t="n">
        <x:v>1</x:v>
      </x:c>
      <x:c r="G10" s="711" t="str">
        <x:v>Copertura</x:v>
      </x:c>
      <x:c r="H10" s="711" t="str"/>
      <x:c r="I10" s="712" t="str">
        <x:v>Solo come secondo/terzo portiere o copertura del titolare.</x:v>
      </x:c>
    </x:row>
    <x:row r="11">
      <x:c r="A11" s="710" t="str">
        <x:v>Portiere</x:v>
      </x:c>
      <x:c r="B11" s="711" t="str">
        <x:f>IF((COUNTIF(Asta!$B$4:$B$47,"Pozzi")+COUNTIF(Asta!$D$4:$D$47,"Pozzi")+COUNTIF(Asta!$F$4:$F$47,"Pozzi")+COUNTIF(Asta!$H$4:$H$47,"Pozzi")+COUNTIF(Asta!$J$4:$J$47,"Pozzi")+COUNTIF(Asta!$L$4:$L$47,"Pozzi")+COUNTIF(Asta!$N$4:$N$47,"Pozzi")+COUNTIF(Asta!$P$4:$P$47,"Pozzi")+COUNTIF(Asta!$R$4:$R$47,"Pozzi")+COUNTIF(Asta!$T$4:$T$47,"Pozzi"))&gt;0,REGEXREPLACE("Pozzi","(.)","$1"&amp;UNICHAR(822)),"Pozzi")</x:f>
        <x:v>Pozzi</x:v>
      </x:c>
      <x:c r="C11" s="711" t="str">
        <x:v>Por</x:v>
      </x:c>
      <x:c r="D11" s="711" t="str">
        <x:v>Riserva / rotazione</x:v>
      </x:c>
      <x:c r="E11" s="711" t="n">
        <x:v>1</x:v>
      </x:c>
      <x:c r="F11" s="711" t="n">
        <x:v>1</x:v>
      </x:c>
      <x:c r="G11" s="711" t="str">
        <x:v>Copertura</x:v>
      </x:c>
      <x:c r="H11" s="711" t="str"/>
      <x:c r="I11" s="712" t="str">
        <x:v>Solo come secondo/terzo portiere o copertura del titolare.</x:v>
      </x:c>
    </x:row>
    <x:row r="12">
      <x:c r="A12" s="713" t="str">
        <x:v>Difensore</x:v>
      </x:c>
      <x:c r="B12" s="714" t="str">
        <x:f>IF((COUNTIF(Asta!$B$4:$B$47,"Bella-Kotchap")+COUNTIF(Asta!$D$4:$D$47,"Bella-Kotchap")+COUNTIF(Asta!$F$4:$F$47,"Bella-Kotchap")+COUNTIF(Asta!$H$4:$H$47,"Bella-Kotchap")+COUNTIF(Asta!$J$4:$J$47,"Bella-Kotchap")+COUNTIF(Asta!$L$4:$L$47,"Bella-Kotchap")+COUNTIF(Asta!$N$4:$N$47,"Bella-Kotchap")+COUNTIF(Asta!$P$4:$P$47,"Bella-Kotchap")+COUNTIF(Asta!$R$4:$R$47,"Bella-Kotchap")+COUNTIF(Asta!$T$4:$T$47,"Bella-Kotchap"))&gt;0,REGEXREPLACE("Bella-Kotchap","(.)","$1"&amp;UNICHAR(822)),"Bella-Kotchap")</x:f>
        <x:v>Bella-Kotchap</x:v>
      </x:c>
      <x:c r="C12" s="714" t="str">
        <x:v>Dc</x:v>
      </x:c>
      <x:c r="D12" s="714" t="str">
        <x:v>Titolare</x:v>
      </x:c>
      <x:c r="E12" s="714" t="n">
        <x:v>6</x:v>
      </x:c>
      <x:c r="F12" s="714" t="n">
        <x:v>7</x:v>
      </x:c>
      <x:c r="G12" s="714" t="str">
        <x:v>Scommessa</x:v>
      </x:c>
      <x:c r="H12" s="714" t="str"/>
      <x:c r="I12" s="715" t="str">
        <x:v>Titolare low cost: utile per completare il reparto.</x:v>
      </x:c>
    </x:row>
    <x:row r="13">
      <x:c r="A13" s="713" t="str">
        <x:v>Difensore</x:v>
      </x:c>
      <x:c r="B13" s="714" t="str">
        <x:f>IF((COUNTIF(Asta!$B$4:$B$47,"Correia T.")+COUNTIF(Asta!$D$4:$D$47,"Correia T.")+COUNTIF(Asta!$F$4:$F$47,"Correia T.")+COUNTIF(Asta!$H$4:$H$47,"Correia T.")+COUNTIF(Asta!$J$4:$J$47,"Correia T.")+COUNTIF(Asta!$L$4:$L$47,"Correia T.")+COUNTIF(Asta!$N$4:$N$47,"Correia T.")+COUNTIF(Asta!$P$4:$P$47,"Correia T.")+COUNTIF(Asta!$R$4:$R$47,"Correia T.")+COUNTIF(Asta!$T$4:$T$47,"Correia T."))&gt;0,REGEXREPLACE("Correia T.","(.)","$1"&amp;UNICHAR(822)),"Correia T.")</x:f>
        <x:v>Correia T.</x:v>
      </x:c>
      <x:c r="C13" s="714" t="str">
        <x:v>Dd;E</x:v>
      </x:c>
      <x:c r="D13" s="714" t="str">
        <x:v>Ballottaggio</x:v>
      </x:c>
      <x:c r="E13" s="714" t="n">
        <x:v>4</x:v>
      </x:c>
      <x:c r="F13" s="714" t="n">
        <x:v>6</x:v>
      </x:c>
      <x:c r="G13" s="714" t="str">
        <x:v>Scommessa</x:v>
      </x:c>
      <x:c r="H13" s="714" t="str"/>
      <x:c r="I13" s="715" t="str">
        <x:v>Solo a pochi crediti: minutaggio non garantito.</x:v>
      </x:c>
    </x:row>
    <x:row r="14">
      <x:c r="A14" s="713" t="str">
        <x:v>Difensore</x:v>
      </x:c>
      <x:c r="B14" s="714" t="str">
        <x:f>IF((COUNTIF(Asta!$B$4:$B$47,"Haps")+COUNTIF(Asta!$D$4:$D$47,"Haps")+COUNTIF(Asta!$F$4:$F$47,"Haps")+COUNTIF(Asta!$H$4:$H$47,"Haps")+COUNTIF(Asta!$J$4:$J$47,"Haps")+COUNTIF(Asta!$L$4:$L$47,"Haps")+COUNTIF(Asta!$N$4:$N$47,"Haps")+COUNTIF(Asta!$P$4:$P$47,"Haps")+COUNTIF(Asta!$R$4:$R$47,"Haps")+COUNTIF(Asta!$T$4:$T$47,"Haps"))&gt;0,REGEXREPLACE("Haps","(.)","$1"&amp;UNICHAR(822)),"Haps")</x:f>
        <x:v>Haps</x:v>
      </x:c>
      <x:c r="C14" s="714" t="str">
        <x:v>Ds;E</x:v>
      </x:c>
      <x:c r="D14" s="714" t="str">
        <x:v>Titolare / ballottaggio</x:v>
      </x:c>
      <x:c r="E14" s="714" t="n">
        <x:v>5</x:v>
      </x:c>
      <x:c r="F14" s="714" t="n">
        <x:v>6</x:v>
      </x:c>
      <x:c r="G14" s="714" t="str">
        <x:v>Scommessa</x:v>
      </x:c>
      <x:c r="H14" s="714" t="str"/>
      <x:c r="I14" s="715" t="str">
        <x:v>Solo a pochi crediti: minutaggio non garantito.</x:v>
      </x:c>
    </x:row>
    <x:row r="15">
      <x:c r="A15" s="713" t="str">
        <x:v>Difensore</x:v>
      </x:c>
      <x:c r="B15" s="714" t="str">
        <x:f>IF((COUNTIF(Asta!$B$4:$B$47,"Moreno M.")+COUNTIF(Asta!$D$4:$D$47,"Moreno M.")+COUNTIF(Asta!$F$4:$F$47,"Moreno M.")+COUNTIF(Asta!$H$4:$H$47,"Moreno M.")+COUNTIF(Asta!$J$4:$J$47,"Moreno M.")+COUNTIF(Asta!$L$4:$L$47,"Moreno M.")+COUNTIF(Asta!$N$4:$N$47,"Moreno M.")+COUNTIF(Asta!$P$4:$P$47,"Moreno M.")+COUNTIF(Asta!$R$4:$R$47,"Moreno M.")+COUNTIF(Asta!$T$4:$T$47,"Moreno M."))&gt;0,REGEXREPLACE("Moreno M.","(.)","$1"&amp;UNICHAR(822)),"Moreno M.")</x:f>
        <x:v>Moreno M.</x:v>
      </x:c>
      <x:c r="C15" s="714" t="str">
        <x:v>Dc</x:v>
      </x:c>
      <x:c r="D15" s="714" t="str">
        <x:v>Riserva / rotazione</x:v>
      </x:c>
      <x:c r="E15" s="714" t="n">
        <x:v>5</x:v>
      </x:c>
      <x:c r="F15" s="714" t="n">
        <x:v>6</x:v>
      </x:c>
      <x:c r="G15" s="714" t="str">
        <x:v>Scommessa</x:v>
      </x:c>
      <x:c r="H15" s="714" t="str"/>
      <x:c r="I15" s="715" t="str">
        <x:v>Copertura/ultimo slot: da prendere a 1-2 crediti.</x:v>
      </x:c>
    </x:row>
    <x:row r="16">
      <x:c r="A16" s="713" t="str">
        <x:v>Difensore</x:v>
      </x:c>
      <x:c r="B16" s="714" t="str">
        <x:f>IF((COUNTIF(Asta!$B$4:$B$47,"Halhal")+COUNTIF(Asta!$D$4:$D$47,"Halhal")+COUNTIF(Asta!$F$4:$F$47,"Halhal")+COUNTIF(Asta!$H$4:$H$47,"Halhal")+COUNTIF(Asta!$J$4:$J$47,"Halhal")+COUNTIF(Asta!$L$4:$L$47,"Halhal")+COUNTIF(Asta!$N$4:$N$47,"Halhal")+COUNTIF(Asta!$P$4:$P$47,"Halhal")+COUNTIF(Asta!$R$4:$R$47,"Halhal")+COUNTIF(Asta!$T$4:$T$47,"Halhal"))&gt;0,REGEXREPLACE("Halhal","(.)","$1"&amp;UNICHAR(822)),"Halhal")</x:f>
        <x:v>Halhal</x:v>
      </x:c>
      <x:c r="C16" s="714" t="str">
        <x:v>Dc</x:v>
      </x:c>
      <x:c r="D16" s="714" t="str">
        <x:v>Ballottaggio</x:v>
      </x:c>
      <x:c r="E16" s="714" t="n">
        <x:v>4</x:v>
      </x:c>
      <x:c r="F16" s="714" t="n">
        <x:v>5</x:v>
      </x:c>
      <x:c r="G16" s="714" t="str">
        <x:v>Scommessa</x:v>
      </x:c>
      <x:c r="H16" s="714" t="str"/>
      <x:c r="I16" s="715" t="str">
        <x:v>Solo a pochi crediti: minutaggio non garantito.</x:v>
      </x:c>
    </x:row>
    <x:row r="17">
      <x:c r="A17" s="713" t="str">
        <x:v>Difensore</x:v>
      </x:c>
      <x:c r="B17" s="714" t="str">
        <x:f>IF((COUNTIF(Asta!$B$4:$B$47,"Hainaut")+COUNTIF(Asta!$D$4:$D$47,"Hainaut")+COUNTIF(Asta!$F$4:$F$47,"Hainaut")+COUNTIF(Asta!$H$4:$H$47,"Hainaut")+COUNTIF(Asta!$J$4:$J$47,"Hainaut")+COUNTIF(Asta!$L$4:$L$47,"Hainaut")+COUNTIF(Asta!$N$4:$N$47,"Hainaut")+COUNTIF(Asta!$P$4:$P$47,"Hainaut")+COUNTIF(Asta!$R$4:$R$47,"Hainaut")+COUNTIF(Asta!$T$4:$T$47,"Hainaut"))&gt;0,REGEXREPLACE("Hainaut","(.)","$1"&amp;UNICHAR(822)),"Hainaut")</x:f>
        <x:v>Hainaut</x:v>
      </x:c>
      <x:c r="C17" s="714" t="str">
        <x:v>Dd;E</x:v>
      </x:c>
      <x:c r="D17" s="714" t="str">
        <x:v>Ballottaggio</x:v>
      </x:c>
      <x:c r="E17" s="714" t="n">
        <x:v>3</x:v>
      </x:c>
      <x:c r="F17" s="714" t="n">
        <x:v>4</x:v>
      </x:c>
      <x:c r="G17" s="714" t="str">
        <x:v>Copertura</x:v>
      </x:c>
      <x:c r="H17" s="714" t="str"/>
      <x:c r="I17" s="715" t="str">
        <x:v>Solo a pochi crediti: minutaggio non garantito.</x:v>
      </x:c>
    </x:row>
    <x:row r="18">
      <x:c r="A18" s="713" t="str">
        <x:v>Difensore</x:v>
      </x:c>
      <x:c r="B18" s="714" t="str">
        <x:f>IF((COUNTIF(Asta!$B$4:$B$47,"Schingtienne")+COUNTIF(Asta!$D$4:$D$47,"Schingtienne")+COUNTIF(Asta!$F$4:$F$47,"Schingtienne")+COUNTIF(Asta!$H$4:$H$47,"Schingtienne")+COUNTIF(Asta!$J$4:$J$47,"Schingtienne")+COUNTIF(Asta!$L$4:$L$47,"Schingtienne")+COUNTIF(Asta!$N$4:$N$47,"Schingtienne")+COUNTIF(Asta!$P$4:$P$47,"Schingtienne")+COUNTIF(Asta!$R$4:$R$47,"Schingtienne")+COUNTIF(Asta!$T$4:$T$47,"Schingtienne"))&gt;0,REGEXREPLACE("Schingtienne","(.)","$1"&amp;UNICHAR(822)),"Schingtienne")</x:f>
        <x:v>Schingtienne</x:v>
      </x:c>
      <x:c r="C18" s="714" t="str">
        <x:v>Dc</x:v>
      </x:c>
      <x:c r="D18" s="714" t="str">
        <x:v>Titolare</x:v>
      </x:c>
      <x:c r="E18" s="714" t="n">
        <x:v>3</x:v>
      </x:c>
      <x:c r="F18" s="714" t="n">
        <x:v>4</x:v>
      </x:c>
      <x:c r="G18" s="714" t="str">
        <x:v>Copertura</x:v>
      </x:c>
      <x:c r="H18" s="714" t="str"/>
      <x:c r="I18" s="715" t="str">
        <x:v>Titolare low cost: utile per completare il reparto.</x:v>
      </x:c>
    </x:row>
    <x:row r="19">
      <x:c r="A19" s="713" t="str">
        <x:v>Difensore</x:v>
      </x:c>
      <x:c r="B19" s="714" t="str">
        <x:f>IF((COUNTIF(Asta!$B$4:$B$47,"Sverko")+COUNTIF(Asta!$D$4:$D$47,"Sverko")+COUNTIF(Asta!$F$4:$F$47,"Sverko")+COUNTIF(Asta!$H$4:$H$47,"Sverko")+COUNTIF(Asta!$J$4:$J$47,"Sverko")+COUNTIF(Asta!$L$4:$L$47,"Sverko")+COUNTIF(Asta!$N$4:$N$47,"Sverko")+COUNTIF(Asta!$P$4:$P$47,"Sverko")+COUNTIF(Asta!$R$4:$R$47,"Sverko")+COUNTIF(Asta!$T$4:$T$47,"Sverko"))&gt;0,REGEXREPLACE("Sverko","(.)","$1"&amp;UNICHAR(822)),"Sverko")</x:f>
        <x:v>Sverko</x:v>
      </x:c>
      <x:c r="C19" s="714" t="str">
        <x:v>Ds;Dc</x:v>
      </x:c>
      <x:c r="D19" s="714" t="str">
        <x:v>Riserva / rotazione</x:v>
      </x:c>
      <x:c r="E19" s="714" t="n">
        <x:v>3</x:v>
      </x:c>
      <x:c r="F19" s="714" t="n">
        <x:v>4</x:v>
      </x:c>
      <x:c r="G19" s="714" t="str">
        <x:v>Copertura</x:v>
      </x:c>
      <x:c r="H19" s="714" t="str"/>
      <x:c r="I19" s="715" t="str">
        <x:v>Copertura/ultimo slot: da prendere a 1-2 crediti.</x:v>
      </x:c>
    </x:row>
    <x:row r="20">
      <x:c r="A20" s="713" t="str">
        <x:v>Difensore</x:v>
      </x:c>
      <x:c r="B20" s="714" t="str">
        <x:f>IF((COUNTIF(Asta!$B$4:$B$47,"Franjic")+COUNTIF(Asta!$D$4:$D$47,"Franjic")+COUNTIF(Asta!$F$4:$F$47,"Franjic")+COUNTIF(Asta!$H$4:$H$47,"Franjic")+COUNTIF(Asta!$J$4:$J$47,"Franjic")+COUNTIF(Asta!$L$4:$L$47,"Franjic")+COUNTIF(Asta!$N$4:$N$47,"Franjic")+COUNTIF(Asta!$P$4:$P$47,"Franjic")+COUNTIF(Asta!$R$4:$R$47,"Franjic")+COUNTIF(Asta!$T$4:$T$47,"Franjic"))&gt;0,REGEXREPLACE("Franjic","(.)","$1"&amp;UNICHAR(822)),"Franjic")</x:f>
        <x:v>Franjic</x:v>
      </x:c>
      <x:c r="C20" s="714" t="str">
        <x:v>B;Ds;E</x:v>
      </x:c>
      <x:c r="D20" s="714" t="str">
        <x:v>Riserva / rotazione</x:v>
      </x:c>
      <x:c r="E20" s="714" t="n">
        <x:v>2</x:v>
      </x:c>
      <x:c r="F20" s="714" t="n">
        <x:v>2</x:v>
      </x:c>
      <x:c r="G20" s="714" t="str">
        <x:v>Copertura</x:v>
      </x:c>
      <x:c r="H20" s="714" t="str"/>
      <x:c r="I20" s="715" t="str">
        <x:v>Copertura/ultimo slot: da prendere a 1-2 crediti.</x:v>
      </x:c>
    </x:row>
    <x:row r="21">
      <x:c r="A21" s="713" t="str">
        <x:v>Difensore</x:v>
      </x:c>
      <x:c r="B21" s="714" t="str">
        <x:f>IF((COUNTIF(Asta!$B$4:$B$47,"Sagrado")+COUNTIF(Asta!$D$4:$D$47,"Sagrado")+COUNTIF(Asta!$F$4:$F$47,"Sagrado")+COUNTIF(Asta!$H$4:$H$47,"Sagrado")+COUNTIF(Asta!$J$4:$J$47,"Sagrado")+COUNTIF(Asta!$L$4:$L$47,"Sagrado")+COUNTIF(Asta!$N$4:$N$47,"Sagrado")+COUNTIF(Asta!$P$4:$P$47,"Sagrado")+COUNTIF(Asta!$R$4:$R$47,"Sagrado")+COUNTIF(Asta!$T$4:$T$47,"Sagrado"))&gt;0,REGEXREPLACE("Sagrado","(.)","$1"&amp;UNICHAR(822)),"Sagrado")</x:f>
        <x:v>Sagrado</x:v>
      </x:c>
      <x:c r="C21" s="714" t="str">
        <x:v>Dd;E</x:v>
      </x:c>
      <x:c r="D21" s="714" t="str">
        <x:v>Riserva / rotazione</x:v>
      </x:c>
      <x:c r="E21" s="714" t="n">
        <x:v>2</x:v>
      </x:c>
      <x:c r="F21" s="714" t="n">
        <x:v>2</x:v>
      </x:c>
      <x:c r="G21" s="714" t="str">
        <x:v>Copertura</x:v>
      </x:c>
      <x:c r="H21" s="714" t="str"/>
      <x:c r="I21" s="715" t="str">
        <x:v>Copertura/ultimo slot: da prendere a 1-2 crediti.</x:v>
      </x:c>
    </x:row>
    <x:row r="22">
      <x:c r="A22" s="713" t="str">
        <x:v>Difensore</x:v>
      </x:c>
      <x:c r="B22" s="714" t="str">
        <x:f>IF((COUNTIF(Asta!$B$4:$B$47,"Gomes")+COUNTIF(Asta!$D$4:$D$47,"Gomes")+COUNTIF(Asta!$F$4:$F$47,"Gomes")+COUNTIF(Asta!$H$4:$H$47,"Gomes")+COUNTIF(Asta!$J$4:$J$47,"Gomes")+COUNTIF(Asta!$L$4:$L$47,"Gomes")+COUNTIF(Asta!$N$4:$N$47,"Gomes")+COUNTIF(Asta!$P$4:$P$47,"Gomes")+COUNTIF(Asta!$R$4:$R$47,"Gomes")+COUNTIF(Asta!$T$4:$T$47,"Gomes"))&gt;0,REGEXREPLACE("Gomes","(.)","$1"&amp;UNICHAR(822)),"Gomes")</x:f>
        <x:v>Gomes</x:v>
      </x:c>
      <x:c r="C22" s="714" t="str">
        <x:v>Ds;Dc</x:v>
      </x:c>
      <x:c r="D22" s="714" t="str">
        <x:v>Riserva / rotazione</x:v>
      </x:c>
      <x:c r="E22" s="714" t="n">
        <x:v>1</x:v>
      </x:c>
      <x:c r="F22" s="714" t="n">
        <x:v>1</x:v>
      </x:c>
      <x:c r="G22" s="714" t="str">
        <x:v>Copertura</x:v>
      </x:c>
      <x:c r="H22" s="714" t="str"/>
      <x:c r="I22" s="715" t="str">
        <x:v>Copertura/ultimo slot: da prendere a 1-2 crediti.</x:v>
      </x:c>
    </x:row>
    <x:row r="23">
      <x:c r="A23" s="716" t="str">
        <x:v>Centrocampista</x:v>
      </x:c>
      <x:c r="B23" s="717" t="str">
        <x:f>IF((COUNTIF(Asta!$B$4:$B$47,"Basic")+COUNTIF(Asta!$D$4:$D$47,"Basic")+COUNTIF(Asta!$F$4:$F$47,"Basic")+COUNTIF(Asta!$H$4:$H$47,"Basic")+COUNTIF(Asta!$J$4:$J$47,"Basic")+COUNTIF(Asta!$L$4:$L$47,"Basic")+COUNTIF(Asta!$N$4:$N$47,"Basic")+COUNTIF(Asta!$P$4:$P$47,"Basic")+COUNTIF(Asta!$R$4:$R$47,"Basic")+COUNTIF(Asta!$T$4:$T$47,"Basic"))&gt;0,REGEXREPLACE("Basic","(.)","$1"&amp;UNICHAR(822)),"Basic")</x:f>
        <x:v>Basic</x:v>
      </x:c>
      <x:c r="C23" s="717" t="str">
        <x:v>M;C</x:v>
      </x:c>
      <x:c r="D23" s="717" t="str">
        <x:v>Titolare</x:v>
      </x:c>
      <x:c r="E23" s="717" t="n">
        <x:v>6</x:v>
      </x:c>
      <x:c r="F23" s="717" t="n">
        <x:v>10</x:v>
      </x:c>
      <x:c r="G23" s="717" t="str">
        <x:v>Scommessa</x:v>
      </x:c>
      <x:c r="H23" s="717" t="str"/>
      <x:c r="I23" s="718" t="str">
        <x:v>Titolare low cost: utile per completare il reparto.</x:v>
      </x:c>
    </x:row>
    <x:row r="24">
      <x:c r="A24" s="716" t="str">
        <x:v>Centrocampista</x:v>
      </x:c>
      <x:c r="B24" s="717" t="str">
        <x:f>IF((COUNTIF(Asta!$B$4:$B$47,"Busio")+COUNTIF(Asta!$D$4:$D$47,"Busio")+COUNTIF(Asta!$F$4:$F$47,"Busio")+COUNTIF(Asta!$H$4:$H$47,"Busio")+COUNTIF(Asta!$J$4:$J$47,"Busio")+COUNTIF(Asta!$L$4:$L$47,"Busio")+COUNTIF(Asta!$N$4:$N$47,"Busio")+COUNTIF(Asta!$P$4:$P$47,"Busio")+COUNTIF(Asta!$R$4:$R$47,"Busio")+COUNTIF(Asta!$T$4:$T$47,"Busio"))&gt;0,REGEXREPLACE("Busio","(.)","$1"&amp;UNICHAR(822)),"Busio")</x:f>
        <x:v>Busio</x:v>
      </x:c>
      <x:c r="C24" s="717" t="str">
        <x:v>M;C</x:v>
      </x:c>
      <x:c r="D24" s="717" t="str">
        <x:v>Titolare</x:v>
      </x:c>
      <x:c r="E24" s="717" t="n">
        <x:v>5</x:v>
      </x:c>
      <x:c r="F24" s="717" t="n">
        <x:v>7</x:v>
      </x:c>
      <x:c r="G24" s="717" t="str">
        <x:v>Scommessa</x:v>
      </x:c>
      <x:c r="H24" s="717" t="str">
        <x:v>Rigorista · Piazzati</x:v>
      </x:c>
      <x:c r="I24" s="718" t="str">
        <x:v>Titolare low cost: utile per completare il reparto. Plus importante: è indicato tra i rigoristi.</x:v>
      </x:c>
    </x:row>
    <x:row r="25">
      <x:c r="A25" s="716" t="str">
        <x:v>Centrocampista</x:v>
      </x:c>
      <x:c r="B25" s="717" t="str">
        <x:f>IF((COUNTIF(Asta!$B$4:$B$47,"Perez K.")+COUNTIF(Asta!$D$4:$D$47,"Perez K.")+COUNTIF(Asta!$F$4:$F$47,"Perez K.")+COUNTIF(Asta!$H$4:$H$47,"Perez K.")+COUNTIF(Asta!$J$4:$J$47,"Perez K.")+COUNTIF(Asta!$L$4:$L$47,"Perez K.")+COUNTIF(Asta!$N$4:$N$47,"Perez K.")+COUNTIF(Asta!$P$4:$P$47,"Perez K.")+COUNTIF(Asta!$R$4:$R$47,"Perez K.")+COUNTIF(Asta!$T$4:$T$47,"Perez K."))&gt;0,REGEXREPLACE("Perez K.","(.)","$1"&amp;UNICHAR(822)),"Perez K.")</x:f>
        <x:v>Perez K.</x:v>
      </x:c>
      <x:c r="C25" s="717" t="str">
        <x:v>C;T</x:v>
      </x:c>
      <x:c r="D25" s="717" t="str">
        <x:v>Titolare / ballottaggio</x:v>
      </x:c>
      <x:c r="E25" s="717" t="n">
        <x:v>5</x:v>
      </x:c>
      <x:c r="F25" s="717" t="n">
        <x:v>7</x:v>
      </x:c>
      <x:c r="G25" s="717" t="str">
        <x:v>Scommessa</x:v>
      </x:c>
      <x:c r="H25" s="717" t="str">
        <x:v>Piazzati</x:v>
      </x:c>
      <x:c r="I25" s="718" t="str">
        <x:v>Solo a pochi crediti: minutaggio non garantito. Buon plus: può battere calci piazzati.</x:v>
      </x:c>
    </x:row>
    <x:row r="26">
      <x:c r="A26" s="716" t="str">
        <x:v>Centrocampista</x:v>
      </x:c>
      <x:c r="B26" s="717" t="str">
        <x:f>IF((COUNTIF(Asta!$B$4:$B$47,"Sohm")+COUNTIF(Asta!$D$4:$D$47,"Sohm")+COUNTIF(Asta!$F$4:$F$47,"Sohm")+COUNTIF(Asta!$H$4:$H$47,"Sohm")+COUNTIF(Asta!$J$4:$J$47,"Sohm")+COUNTIF(Asta!$L$4:$L$47,"Sohm")+COUNTIF(Asta!$N$4:$N$47,"Sohm")+COUNTIF(Asta!$P$4:$P$47,"Sohm")+COUNTIF(Asta!$R$4:$R$47,"Sohm")+COUNTIF(Asta!$T$4:$T$47,"Sohm"))&gt;0,REGEXREPLACE("Sohm","(.)","$1"&amp;UNICHAR(822)),"Sohm")</x:f>
        <x:v>Sohm</x:v>
      </x:c>
      <x:c r="C26" s="717" t="str">
        <x:v>C</x:v>
      </x:c>
      <x:c r="D26" s="717" t="str">
        <x:v>Ballottaggio</x:v>
      </x:c>
      <x:c r="E26" s="717" t="n">
        <x:v>5</x:v>
      </x:c>
      <x:c r="F26" s="717" t="n">
        <x:v>7</x:v>
      </x:c>
      <x:c r="G26" s="717" t="str">
        <x:v>Scommessa</x:v>
      </x:c>
      <x:c r="H26" s="717" t="str"/>
      <x:c r="I26" s="718" t="str">
        <x:v>Solo a pochi crediti: minutaggio non garantito.</x:v>
      </x:c>
    </x:row>
    <x:row r="27">
      <x:c r="A27" s="716" t="str">
        <x:v>Centrocampista</x:v>
      </x:c>
      <x:c r="B27" s="717" t="str">
        <x:f>IF((COUNTIF(Asta!$B$4:$B$47,"Helgason")+COUNTIF(Asta!$D$4:$D$47,"Helgason")+COUNTIF(Asta!$F$4:$F$47,"Helgason")+COUNTIF(Asta!$H$4:$H$47,"Helgason")+COUNTIF(Asta!$J$4:$J$47,"Helgason")+COUNTIF(Asta!$L$4:$L$47,"Helgason")+COUNTIF(Asta!$N$4:$N$47,"Helgason")+COUNTIF(Asta!$P$4:$P$47,"Helgason")+COUNTIF(Asta!$R$4:$R$47,"Helgason")+COUNTIF(Asta!$T$4:$T$47,"Helgason"))&gt;0,REGEXREPLACE("Helgason","(.)","$1"&amp;UNICHAR(822)),"Helgason")</x:f>
        <x:v>Helgason</x:v>
      </x:c>
      <x:c r="C27" s="717" t="str">
        <x:v>C;T</x:v>
      </x:c>
      <x:c r="D27" s="717" t="str">
        <x:v>Riserva / rotazione</x:v>
      </x:c>
      <x:c r="E27" s="717" t="n">
        <x:v>3</x:v>
      </x:c>
      <x:c r="F27" s="717" t="n">
        <x:v>4</x:v>
      </x:c>
      <x:c r="G27" s="717" t="str">
        <x:v>Copertura</x:v>
      </x:c>
      <x:c r="H27" s="717" t="str"/>
      <x:c r="I27" s="718" t="str">
        <x:v>Copertura/ultimo slot: da prendere a 1-2 crediti.</x:v>
      </x:c>
    </x:row>
    <x:row r="28">
      <x:c r="A28" s="716" t="str">
        <x:v>Centrocampista</x:v>
      </x:c>
      <x:c r="B28" s="717" t="str">
        <x:f>IF((COUNTIF(Asta!$B$4:$B$47,"Duncan")+COUNTIF(Asta!$D$4:$D$47,"Duncan")+COUNTIF(Asta!$F$4:$F$47,"Duncan")+COUNTIF(Asta!$H$4:$H$47,"Duncan")+COUNTIF(Asta!$J$4:$J$47,"Duncan")+COUNTIF(Asta!$L$4:$L$47,"Duncan")+COUNTIF(Asta!$N$4:$N$47,"Duncan")+COUNTIF(Asta!$P$4:$P$47,"Duncan")+COUNTIF(Asta!$R$4:$R$47,"Duncan")+COUNTIF(Asta!$T$4:$T$47,"Duncan"))&gt;0,REGEXREPLACE("Duncan","(.)","$1"&amp;UNICHAR(822)),"Duncan")</x:f>
        <x:v>Duncan</x:v>
      </x:c>
      <x:c r="C28" s="717" t="str">
        <x:v>C</x:v>
      </x:c>
      <x:c r="D28" s="717" t="str">
        <x:v>Riserva / rotazione</x:v>
      </x:c>
      <x:c r="E28" s="717" t="n">
        <x:v>2</x:v>
      </x:c>
      <x:c r="F28" s="717" t="n">
        <x:v>2</x:v>
      </x:c>
      <x:c r="G28" s="717" t="str">
        <x:v>Copertura</x:v>
      </x:c>
      <x:c r="H28" s="717" t="str"/>
      <x:c r="I28" s="718" t="str">
        <x:v>Copertura/ultimo slot: da prendere a 1-2 crediti.</x:v>
      </x:c>
    </x:row>
    <x:row r="29">
      <x:c r="A29" s="716" t="str">
        <x:v>Centrocampista</x:v>
      </x:c>
      <x:c r="B29" s="717" t="str">
        <x:f>IF((COUNTIF(Asta!$B$4:$B$47,"Bjarkason")+COUNTIF(Asta!$D$4:$D$47,"Bjarkason")+COUNTIF(Asta!$F$4:$F$47,"Bjarkason")+COUNTIF(Asta!$H$4:$H$47,"Bjarkason")+COUNTIF(Asta!$J$4:$J$47,"Bjarkason")+COUNTIF(Asta!$L$4:$L$47,"Bjarkason")+COUNTIF(Asta!$N$4:$N$47,"Bjarkason")+COUNTIF(Asta!$P$4:$P$47,"Bjarkason")+COUNTIF(Asta!$R$4:$R$47,"Bjarkason")+COUNTIF(Asta!$T$4:$T$47,"Bjarkason"))&gt;0,REGEXREPLACE("Bjarkason","(.)","$1"&amp;UNICHAR(822)),"Bjarkason")</x:f>
        <x:v>Bjarkason</x:v>
      </x:c>
      <x:c r="C29" s="717" t="str">
        <x:v>E;W</x:v>
      </x:c>
      <x:c r="D29" s="717" t="str">
        <x:v>Riserva / rotazione</x:v>
      </x:c>
      <x:c r="E29" s="717" t="n">
        <x:v>1</x:v>
      </x:c>
      <x:c r="F29" s="717" t="n">
        <x:v>2</x:v>
      </x:c>
      <x:c r="G29" s="717" t="str">
        <x:v>Copertura</x:v>
      </x:c>
      <x:c r="H29" s="717" t="str"/>
      <x:c r="I29" s="718" t="str">
        <x:v>Copertura/ultimo slot: da prendere a 1-2 crediti.</x:v>
      </x:c>
    </x:row>
    <x:row r="30">
      <x:c r="A30" s="716" t="str">
        <x:v>Centrocampista</x:v>
      </x:c>
      <x:c r="B30" s="717" t="str">
        <x:f>IF((COUNTIF(Asta!$B$4:$B$47,"Dagasso")+COUNTIF(Asta!$D$4:$D$47,"Dagasso")+COUNTIF(Asta!$F$4:$F$47,"Dagasso")+COUNTIF(Asta!$H$4:$H$47,"Dagasso")+COUNTIF(Asta!$J$4:$J$47,"Dagasso")+COUNTIF(Asta!$L$4:$L$47,"Dagasso")+COUNTIF(Asta!$N$4:$N$47,"Dagasso")+COUNTIF(Asta!$P$4:$P$47,"Dagasso")+COUNTIF(Asta!$R$4:$R$47,"Dagasso")+COUNTIF(Asta!$T$4:$T$47,"Dagasso"))&gt;0,REGEXREPLACE("Dagasso","(.)","$1"&amp;UNICHAR(822)),"Dagasso")</x:f>
        <x:v>Dagasso</x:v>
      </x:c>
      <x:c r="C30" s="717" t="str">
        <x:v>C</x:v>
      </x:c>
      <x:c r="D30" s="717" t="str">
        <x:v>Riserva / rotazione</x:v>
      </x:c>
      <x:c r="E30" s="717" t="n">
        <x:v>1</x:v>
      </x:c>
      <x:c r="F30" s="717" t="n">
        <x:v>1</x:v>
      </x:c>
      <x:c r="G30" s="717" t="str">
        <x:v>Copertura</x:v>
      </x:c>
      <x:c r="H30" s="717" t="str"/>
      <x:c r="I30" s="718" t="str">
        <x:v>Copertura/ultimo slot: da prendere a 1-2 crediti.</x:v>
      </x:c>
    </x:row>
    <x:row r="31">
      <x:c r="A31" s="719" t="str">
        <x:v>Attaccante</x:v>
      </x:c>
      <x:c r="B31" s="720" t="str">
        <x:f>IF((COUNTIF(Asta!$B$4:$B$47,"Adams A.")+COUNTIF(Asta!$D$4:$D$47,"Adams A.")+COUNTIF(Asta!$F$4:$F$47,"Adams A.")+COUNTIF(Asta!$H$4:$H$47,"Adams A.")+COUNTIF(Asta!$J$4:$J$47,"Adams A.")+COUNTIF(Asta!$L$4:$L$47,"Adams A.")+COUNTIF(Asta!$N$4:$N$47,"Adams A.")+COUNTIF(Asta!$P$4:$P$47,"Adams A.")+COUNTIF(Asta!$R$4:$R$47,"Adams A.")+COUNTIF(Asta!$T$4:$T$47,"Adams A."))&gt;0,REGEXREPLACE("Adams A.","(.)","$1"&amp;UNICHAR(822)),"Adams A.")</x:f>
        <x:v>Adams A.</x:v>
      </x:c>
      <x:c r="C31" s="720" t="str">
        <x:v>Pc</x:v>
      </x:c>
      <x:c r="D31" s="720" t="str">
        <x:v>Titolare / ballottaggio</x:v>
      </x:c>
      <x:c r="E31" s="720" t="n">
        <x:v>12</x:v>
      </x:c>
      <x:c r="F31" s="720" t="n">
        <x:v>26</x:v>
      </x:c>
      <x:c r="G31" s="720" t="str">
        <x:v>Buon titolare</x:v>
      </x:c>
      <x:c r="H31" s="720" t="str">
        <x:v>Rigorista</x:v>
      </x:c>
      <x:c r="I31" s="721" t="str">
        <x:v>Interessante per bonus, ma non pagarlo come titolare fisso. Plus importante: è indicato tra i rigoristi.</x:v>
      </x:c>
    </x:row>
    <x:row r="32">
      <x:c r="A32" s="719" t="str">
        <x:v>Attaccante</x:v>
      </x:c>
      <x:c r="B32" s="720" t="str">
        <x:f>IF((COUNTIF(Asta!$B$4:$B$47,"Yeboah J.")+COUNTIF(Asta!$D$4:$D$47,"Yeboah J.")+COUNTIF(Asta!$F$4:$F$47,"Yeboah J.")+COUNTIF(Asta!$H$4:$H$47,"Yeboah J.")+COUNTIF(Asta!$J$4:$J$47,"Yeboah J.")+COUNTIF(Asta!$L$4:$L$47,"Yeboah J.")+COUNTIF(Asta!$N$4:$N$47,"Yeboah J.")+COUNTIF(Asta!$P$4:$P$47,"Yeboah J.")+COUNTIF(Asta!$R$4:$R$47,"Yeboah J.")+COUNTIF(Asta!$T$4:$T$47,"Yeboah J."))&gt;0,REGEXREPLACE("Yeboah J.","(.)","$1"&amp;UNICHAR(822)),"Yeboah J.")</x:f>
        <x:v>Yeboah J.</x:v>
      </x:c>
      <x:c r="C32" s="720" t="str">
        <x:v>A</x:v>
      </x:c>
      <x:c r="D32" s="720" t="str">
        <x:v>Titolare</x:v>
      </x:c>
      <x:c r="E32" s="720" t="n">
        <x:v>8</x:v>
      </x:c>
      <x:c r="F32" s="720" t="n">
        <x:v>14</x:v>
      </x:c>
      <x:c r="G32" s="720" t="str">
        <x:v>Utile</x:v>
      </x:c>
      <x:c r="H32" s="720" t="str">
        <x:v>Piazzati</x:v>
      </x:c>
      <x:c r="I32" s="721" t="str">
        <x:v>Profilo utile per minutaggio e rotazioni; buon rapporto costo/titolarità. Buon plus: può battere calci piazzati.</x:v>
      </x:c>
    </x:row>
    <x:row r="33">
      <x:c r="A33" s="719" t="str">
        <x:v>Attaccante</x:v>
      </x:c>
      <x:c r="B33" s="720" t="str">
        <x:f>IF((COUNTIF(Asta!$B$4:$B$47,"Rrahmani Al.")+COUNTIF(Asta!$D$4:$D$47,"Rrahmani Al.")+COUNTIF(Asta!$F$4:$F$47,"Rrahmani Al.")+COUNTIF(Asta!$H$4:$H$47,"Rrahmani Al.")+COUNTIF(Asta!$J$4:$J$47,"Rrahmani Al.")+COUNTIF(Asta!$L$4:$L$47,"Rrahmani Al.")+COUNTIF(Asta!$N$4:$N$47,"Rrahmani Al.")+COUNTIF(Asta!$P$4:$P$47,"Rrahmani Al.")+COUNTIF(Asta!$R$4:$R$47,"Rrahmani Al.")+COUNTIF(Asta!$T$4:$T$47,"Rrahmani Al."))&gt;0,REGEXREPLACE("Rrahmani Al.","(.)","$1"&amp;UNICHAR(822)),"Rrahmani Al.")</x:f>
        <x:v>Rrahmani Al.</x:v>
      </x:c>
      <x:c r="C33" s="720" t="str">
        <x:v>Pc</x:v>
      </x:c>
      <x:c r="D33" s="720" t="str">
        <x:v>Ballottaggio</x:v>
      </x:c>
      <x:c r="E33" s="720" t="n">
        <x:v>8</x:v>
      </x:c>
      <x:c r="F33" s="720" t="n">
        <x:v>10</x:v>
      </x:c>
      <x:c r="G33" s="720" t="str">
        <x:v>Utile</x:v>
      </x:c>
      <x:c r="H33" s="720" t="str"/>
      <x:c r="I33" s="721" t="str">
        <x:v>Scommessa con upside: prendilo a prezzo controllato.</x:v>
      </x:c>
    </x:row>
    <x:row r="34">
      <x:c r="A34" s="719" t="str">
        <x:v>Attaccante</x:v>
      </x:c>
      <x:c r="B34" s="720" t="str">
        <x:f>IF((COUNTIF(Asta!$B$4:$B$47,"Adorante")+COUNTIF(Asta!$D$4:$D$47,"Adorante")+COUNTIF(Asta!$F$4:$F$47,"Adorante")+COUNTIF(Asta!$H$4:$H$47,"Adorante")+COUNTIF(Asta!$J$4:$J$47,"Adorante")+COUNTIF(Asta!$L$4:$L$47,"Adorante")+COUNTIF(Asta!$N$4:$N$47,"Adorante")+COUNTIF(Asta!$P$4:$P$47,"Adorante")+COUNTIF(Asta!$R$4:$R$47,"Adorante")+COUNTIF(Asta!$T$4:$T$47,"Adorante"))&gt;0,REGEXREPLACE("Adorante","(.)","$1"&amp;UNICHAR(822)),"Adorante")</x:f>
        <x:v>Adorante</x:v>
      </x:c>
      <x:c r="C34" s="720" t="str">
        <x:v>Pc</x:v>
      </x:c>
      <x:c r="D34" s="720" t="str">
        <x:v>Riserva / rotazione</x:v>
      </x:c>
      <x:c r="E34" s="720" t="n">
        <x:v>5</x:v>
      </x:c>
      <x:c r="F34" s="720" t="n">
        <x:v>7</x:v>
      </x:c>
      <x:c r="G34" s="720" t="str">
        <x:v>Scommessa</x:v>
      </x:c>
      <x:c r="H34" s="720" t="str">
        <x:v>Rigorista</x:v>
      </x:c>
      <x:c r="I34" s="721" t="str">
        <x:v>Copertura/ultimo slot: da prendere a 1-2 crediti. Plus importante: è indicato tra i rigoristi.</x:v>
      </x:c>
    </x:row>
    <x:row r="35">
      <x:c r="A35" s="719" t="str">
        <x:v>Attaccante</x:v>
      </x:c>
      <x:c r="B35" s="720" t="str">
        <x:f>IF((COUNTIF(Asta!$B$4:$B$47,"Lauberbach")+COUNTIF(Asta!$D$4:$D$47,"Lauberbach")+COUNTIF(Asta!$F$4:$F$47,"Lauberbach")+COUNTIF(Asta!$H$4:$H$47,"Lauberbach")+COUNTIF(Asta!$J$4:$J$47,"Lauberbach")+COUNTIF(Asta!$L$4:$L$47,"Lauberbach")+COUNTIF(Asta!$N$4:$N$47,"Lauberbach")+COUNTIF(Asta!$P$4:$P$47,"Lauberbach")+COUNTIF(Asta!$R$4:$R$47,"Lauberbach")+COUNTIF(Asta!$T$4:$T$47,"Lauberbach"))&gt;0,REGEXREPLACE("Lauberbach","(.)","$1"&amp;UNICHAR(822)),"Lauberbach")</x:f>
        <x:v>Lauberbach</x:v>
      </x:c>
      <x:c r="C35" s="720" t="str">
        <x:v>Pc</x:v>
      </x:c>
      <x:c r="D35" s="720" t="str">
        <x:v>Riserva / rotazione</x:v>
      </x:c>
      <x:c r="E35" s="720" t="n">
        <x:v>1</x:v>
      </x:c>
      <x:c r="F35" s="720" t="n">
        <x:v>1</x:v>
      </x:c>
      <x:c r="G35" s="720" t="str">
        <x:v>Copertura</x:v>
      </x:c>
      <x:c r="H35" s="720" t="str"/>
      <x:c r="I35" s="721" t="str">
        <x:v>Copertura/ultimo slot: da prendere a 1-2 crediti.</x:v>
      </x:c>
    </x:row>
    <x:row r="36">
      <x:c r="A36" s="722" t="str">
        <x:v>Attaccante</x:v>
      </x:c>
      <x:c r="B36" s="723" t="str">
        <x:f>IF((COUNTIF(Asta!$B$4:$B$47,"Lisman")+COUNTIF(Asta!$D$4:$D$47,"Lisman")+COUNTIF(Asta!$F$4:$F$47,"Lisman")+COUNTIF(Asta!$H$4:$H$47,"Lisman")+COUNTIF(Asta!$J$4:$J$47,"Lisman")+COUNTIF(Asta!$L$4:$L$47,"Lisman")+COUNTIF(Asta!$N$4:$N$47,"Lisman")+COUNTIF(Asta!$P$4:$P$47,"Lisman")+COUNTIF(Asta!$R$4:$R$47,"Lisman")+COUNTIF(Asta!$T$4:$T$47,"Lisman"))&gt;0,REGEXREPLACE("Lisman","(.)","$1"&amp;UNICHAR(822)),"Lisman")</x:f>
        <x:v>Lisman</x:v>
      </x:c>
      <x:c r="C36" s="723" t="str">
        <x:v>W;A</x:v>
      </x:c>
      <x:c r="D36" s="723" t="str">
        <x:v>Riserva / rotazione</x:v>
      </x:c>
      <x:c r="E36" s="723" t="n">
        <x:v>1</x:v>
      </x:c>
      <x:c r="F36" s="723" t="n">
        <x:v>1</x:v>
      </x:c>
      <x:c r="G36" s="723" t="str">
        <x:v>Copertura</x:v>
      </x:c>
      <x:c r="H36" s="723" t="str"/>
      <x:c r="I36" s="724" t="str">
        <x:v>Copertura/ultimo slot: da prendere a 1-2 crediti.</x:v>
      </x:c>
    </x:row>
    <x:row r="38">
      <x:c r="A38" s="630" t="str">
        <x:v>Fonte formazione/ballottaggi/rigoristi: Fantacalcio.it, aggiornamento 09/09/2026 — https://www.fantacalcio.it/news/calcio-italia/06_08_2026/asta-fantacalcio-le-probabili-formazioni-della-serie-a-enilive-2026-27-495558</x:v>
      </x:c>
      <x:c r="B38" s="630"/>
      <x:c r="C38" s="630"/>
      <x:c r="D38" s="630"/>
      <x:c r="E38" s="630"/>
      <x:c r="F38" s="630"/>
      <x:c r="G38" s="630"/>
      <x:c r="H38" s="630"/>
      <x:c r="I38" s="630"/>
    </x:row>
  </x:sheetData>
  <x:mergeCells>
    <x:mergeCell ref="A1:I1"/>
    <x:mergeCell ref="B4:I4"/>
    <x:mergeCell ref="B5:I5"/>
    <x:mergeCell ref="D3:I3"/>
    <x:mergeCell ref="D6:I6"/>
    <x:mergeCell ref="A38:I38"/>
  </x:mergeCells>
  <x:conditionalFormatting sqref="D9:D36">
    <x:cfRule type="expression" dxfId="42" priority="1">
      <x:formula>D9="Titolare"</x:formula>
    </x:cfRule>
    <x:cfRule type="expression" dxfId="43" priority="2">
      <x:formula>ISNUMBER(SEARCH("Ballottaggio",D9))</x:formula>
    </x:cfRule>
  </x:conditionalFormatting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>
      <x:c r="A1" s="755" t="str">
        <x:v>_SUPPORTO AUTOMATICO — NON MODIFICARE</x:v>
      </x:c>
      <x:c r="B1" s="755"/>
      <x:c r="C1" s="755"/>
      <x:c r="D1" s="755"/>
      <x:c r="E1" s="755"/>
      <x:c r="F1" s="755"/>
      <x:c r="G1" s="755"/>
      <x:c r="H1" s="755"/>
      <x:c r="I1" s="755"/>
      <x:c r="J1" s="755"/>
      <x:c r="K1" s="755"/>
    </x:row>
    <x:row r="2">
      <x:c r="A2" t="inlineStr">
        <x:is>
          <x:t xml:space="preserve">Ruoli/quotazioni: listone Fantacalcio.it 2026/27 riportato da Sky TG24 (05/08/2026) · Titolarità, ballottaggi, rigoristi e piazzati: probabili formazioni Fantacalcio.it aggiornate 03/09/2026.</x:t>
        </x:is>
      </x:c>
      <x:c r="B2"/>
      <x:c r="C2"/>
      <x:c r="D2"/>
      <x:c r="E2"/>
      <x:c r="F2"/>
      <x:c r="G2"/>
      <x:c r="H2"/>
      <x:c r="I2"/>
      <x:c r="J2"/>
      <x:c r="K2"/>
    </x:row>
    <x:row r="3">
      <x:c r="A3" t="inlineStr">
        <x:is>
          <x:t xml:space="preserve">Legenda Mantra: Por=Portiere · Dc=Difensore centrale · Dd/Ds=Terzino dx/sx · B=Braccetto · E=Esterno · M=Mediano · C=Centrocampista · W=Ala · T=Trequartista · A=Attaccante di supporto · Pc=Punta centrale</x:t>
        </x:is>
      </x:c>
      <x:c r="B3"/>
      <x:c r="C3"/>
      <x:c r="D3"/>
      <x:c r="E3"/>
      <x:c r="F3"/>
      <x:c r="G3"/>
      <x:c r="H3"/>
      <x:c r="I3"/>
      <x:c r="J3"/>
      <x:c r="K3"/>
    </x:row>
    <x:row r="4">
      <x:c r="A4"/>
      <x:c r="B4"/>
      <x:c r="C4"/>
      <x:c r="D4"/>
      <x:c r="E4"/>
      <x:c r="F4"/>
      <x:c r="G4"/>
      <x:c r="H4"/>
      <x:c r="I4"/>
      <x:c r="J4"/>
      <x:c r="K4"/>
    </x:row>
    <x:row r="5">
      <x:c r="A5" t="inlineStr">
        <x:is>
          <x:t xml:space="preserve">PORTIERI</x:t>
        </x:is>
      </x:c>
      <x:c r="B5"/>
      <x:c r="C5"/>
      <x:c r="D5"/>
      <x:c r="E5"/>
      <x:c r="F5"/>
      <x:c r="G5"/>
      <x:c r="H5"/>
      <x:c r="I5"/>
      <x:c r="J5"/>
      <x:c r="K5"/>
    </x:row>
    <x:row r="6">
      <x:c r="A6" t="inlineStr">
        <x:is>
          <x:t xml:space="preserve">Ruolo</x:t>
        </x:is>
      </x:c>
      <x:c r="B6" t="inlineStr">
        <x:is>
          <x:t xml:space="preserve">Calciatore</x:t>
        </x:is>
      </x:c>
      <x:c r="C6" t="inlineStr">
        <x:is>
          <x:t xml:space="preserve">Squadra</x:t>
        </x:is>
      </x:c>
      <x:c r="D6" t="inlineStr">
        <x:is>
          <x:t xml:space="preserve">Posizione specifica</x:t>
        </x:is>
      </x:c>
      <x:c r="E6" t="inlineStr">
        <x:is>
          <x:t xml:space="preserve">Status</x:t>
        </x:is>
      </x:c>
      <x:c r="F6" t="inlineStr">
        <x:is>
          <x:t xml:space="preserve">Quotazione</x:t>
        </x:is>
      </x:c>
      <x:c r="G6" t="inlineStr">
        <x:is>
          <x:t xml:space="preserve">FVM / 1000</x:t>
        </x:is>
      </x:c>
      <x:c r="H6" t="inlineStr">
        <x:is>
          <x:t xml:space="preserve">FVM su 504</x:t>
        </x:is>
      </x:c>
      <x:c r="I6" t="inlineStr">
        <x:is>
          <x:t xml:space="preserve">Specialità</x:t>
        </x:is>
      </x:c>
      <x:c r="J6" t="inlineStr">
        <x:is>
          <x:t xml:space="preserve">Acquistato da</x:t>
        </x:is>
      </x:c>
      <x:c r="K6" t="inlineStr">
        <x:is>
          <x:t xml:space="preserve">Prezzo asta</x:t>
        </x:is>
      </x:c>
    </x:row>
    <x:row r="7">
      <x:c r="A7" t="inlineStr">
        <x:is>
          <x:t xml:space="preserve">P</x:t>
        </x:is>
      </x:c>
      <x:c r="B7" t="inlineStr">
        <x:is>
          <x:t xml:space="preserve">Svilar</x:t>
        </x:is>
      </x:c>
      <x:c r="C7" t="inlineStr">
        <x:is>
          <x:t xml:space="preserve">Roma</x:t>
        </x:is>
      </x:c>
      <x:c r="D7" t="inlineStr">
        <x:is>
          <x:t xml:space="preserve">Por</x:t>
        </x:is>
      </x:c>
      <x:c r="E7" t="inlineStr">
        <x:is>
          <x:t xml:space="preserve">Titolare</x:t>
        </x:is>
      </x:c>
      <x:c r="F7" t="n">
        <x:v>18</x:v>
      </x:c>
      <x:c r="G7" t="n">
        <x:v>65</x:v>
      </x:c>
      <x:c r="H7" t="n">
        <x:f>ROUND(G7*504/1000,0)</x:f>
        <x:v>33</x:v>
      </x:c>
      <x:c r="I7"/>
      <x:c r="J7"/>
      <x:c r="K7"/>
    </x:row>
    <x:row r="8">
      <x:c r="A8" t="inlineStr">
        <x:is>
          <x:t xml:space="preserve">P</x:t>
        </x:is>
      </x:c>
      <x:c r="B8" t="inlineStr">
        <x:is>
          <x:t xml:space="preserve">Martinez Jo.</x:t>
        </x:is>
      </x:c>
      <x:c r="C8" t="inlineStr">
        <x:is>
          <x:t xml:space="preserve">Inter</x:t>
        </x:is>
      </x:c>
      <x:c r="D8" t="inlineStr">
        <x:is>
          <x:t xml:space="preserve">Por</x:t>
        </x:is>
      </x:c>
      <x:c r="E8" t="inlineStr">
        <x:is>
          <x:t xml:space="preserve">Titolare</x:t>
        </x:is>
      </x:c>
      <x:c r="F8" t="n">
        <x:v>17</x:v>
      </x:c>
      <x:c r="G8" t="n">
        <x:v>63</x:v>
      </x:c>
      <x:c r="H8" t="n">
        <x:f>ROUND(G8*504/1000,0)</x:f>
        <x:v>32</x:v>
      </x:c>
      <x:c r="I8"/>
      <x:c r="J8"/>
      <x:c r="K8"/>
    </x:row>
    <x:row r="9">
      <x:c r="A9" t="inlineStr">
        <x:is>
          <x:t xml:space="preserve">P</x:t>
        </x:is>
      </x:c>
      <x:c r="B9" t="inlineStr">
        <x:is>
          <x:t xml:space="preserve">Carnesecchi</x:t>
        </x:is>
      </x:c>
      <x:c r="C9" t="inlineStr">
        <x:is>
          <x:t xml:space="preserve">Atalanta</x:t>
        </x:is>
      </x:c>
      <x:c r="D9" t="inlineStr">
        <x:is>
          <x:t xml:space="preserve">Por</x:t>
        </x:is>
      </x:c>
      <x:c r="E9" t="inlineStr">
        <x:is>
          <x:t xml:space="preserve">Titolare</x:t>
        </x:is>
      </x:c>
      <x:c r="F9" t="n">
        <x:v>16</x:v>
      </x:c>
      <x:c r="G9" t="n">
        <x:v>52</x:v>
      </x:c>
      <x:c r="H9" t="n">
        <x:f>ROUND(G9*504/1000,0)</x:f>
        <x:v>26</x:v>
      </x:c>
      <x:c r="I9"/>
      <x:c r="J9"/>
      <x:c r="K9"/>
    </x:row>
    <x:row r="10">
      <x:c r="A10" t="inlineStr">
        <x:is>
          <x:t xml:space="preserve">P</x:t>
        </x:is>
      </x:c>
      <x:c r="B10" t="inlineStr">
        <x:is>
          <x:t xml:space="preserve">Butez</x:t>
        </x:is>
      </x:c>
      <x:c r="C10" t="inlineStr">
        <x:is>
          <x:t xml:space="preserve">Como</x:t>
        </x:is>
      </x:c>
      <x:c r="D10" t="inlineStr">
        <x:is>
          <x:t xml:space="preserve">Por</x:t>
        </x:is>
      </x:c>
      <x:c r="E10" t="inlineStr">
        <x:is>
          <x:t xml:space="preserve">Titolare</x:t>
        </x:is>
      </x:c>
      <x:c r="F10" t="n">
        <x:v>16</x:v>
      </x:c>
      <x:c r="G10" t="n">
        <x:v>56</x:v>
      </x:c>
      <x:c r="H10" t="n">
        <x:f>ROUND(G10*504/1000,0)</x:f>
        <x:v>28</x:v>
      </x:c>
      <x:c r="I10"/>
      <x:c r="J10"/>
      <x:c r="K10"/>
    </x:row>
    <x:row r="11">
      <x:c r="A11" t="inlineStr">
        <x:is>
          <x:t xml:space="preserve">P</x:t>
        </x:is>
      </x:c>
      <x:c r="B11" t="inlineStr">
        <x:is>
          <x:t xml:space="preserve">Maignan</x:t>
        </x:is>
      </x:c>
      <x:c r="C11" t="inlineStr">
        <x:is>
          <x:t xml:space="preserve">Milan</x:t>
        </x:is>
      </x:c>
      <x:c r="D11" t="inlineStr">
        <x:is>
          <x:t xml:space="preserve">Por</x:t>
        </x:is>
      </x:c>
      <x:c r="E11" t="inlineStr">
        <x:is>
          <x:t xml:space="preserve">Titolare</x:t>
        </x:is>
      </x:c>
      <x:c r="F11" t="n">
        <x:v>15</x:v>
      </x:c>
      <x:c r="G11" t="n">
        <x:v>50</x:v>
      </x:c>
      <x:c r="H11" t="n">
        <x:f>ROUND(G11*504/1000,0)</x:f>
        <x:v>25</x:v>
      </x:c>
      <x:c r="I11"/>
      <x:c r="J11"/>
      <x:c r="K11"/>
    </x:row>
    <x:row r="12">
      <x:c r="A12" t="inlineStr">
        <x:is>
          <x:t xml:space="preserve">P</x:t>
        </x:is>
      </x:c>
      <x:c r="B12" t="inlineStr">
        <x:is>
          <x:t xml:space="preserve">De Gea</x:t>
        </x:is>
      </x:c>
      <x:c r="C12" t="inlineStr">
        <x:is>
          <x:t xml:space="preserve">Fiorentina</x:t>
        </x:is>
      </x:c>
      <x:c r="D12" t="inlineStr">
        <x:is>
          <x:t xml:space="preserve">Por</x:t>
        </x:is>
      </x:c>
      <x:c r="E12" t="inlineStr">
        <x:is>
          <x:t xml:space="preserve">Titolare</x:t>
        </x:is>
      </x:c>
      <x:c r="F12" t="n">
        <x:v>13</x:v>
      </x:c>
      <x:c r="G12" t="n">
        <x:v>45</x:v>
      </x:c>
      <x:c r="H12" t="n">
        <x:f>ROUND(G12*504/1000,0)</x:f>
        <x:v>23</x:v>
      </x:c>
      <x:c r="I12"/>
      <x:c r="J12"/>
      <x:c r="K12"/>
    </x:row>
    <x:row r="13">
      <x:c r="A13" t="inlineStr">
        <x:is>
          <x:t xml:space="preserve">P</x:t>
        </x:is>
      </x:c>
      <x:c r="B13" t="inlineStr">
        <x:is>
          <x:t xml:space="preserve">Meret</x:t>
        </x:is>
      </x:c>
      <x:c r="C13" t="inlineStr">
        <x:is>
          <x:t xml:space="preserve">Napoli</x:t>
        </x:is>
      </x:c>
      <x:c r="D13" t="inlineStr">
        <x:is>
          <x:t xml:space="preserve">Por</x:t>
        </x:is>
      </x:c>
      <x:c r="E13" t="inlineStr">
        <x:is>
          <x:t xml:space="preserve">Titolare</x:t>
        </x:is>
      </x:c>
      <x:c r="F13" t="n">
        <x:v>11</x:v>
      </x:c>
      <x:c r="G13" t="n">
        <x:v>45</x:v>
      </x:c>
      <x:c r="H13" t="n">
        <x:f>ROUND(G13*504/1000,0)</x:f>
        <x:v>23</x:v>
      </x:c>
      <x:c r="I13"/>
      <x:c r="J13"/>
      <x:c r="K13"/>
    </x:row>
    <x:row r="14">
      <x:c r="A14" t="inlineStr">
        <x:is>
          <x:t xml:space="preserve">P</x:t>
        </x:is>
      </x:c>
      <x:c r="B14" t="inlineStr">
        <x:is>
          <x:t xml:space="preserve">Skorupski</x:t>
        </x:is>
      </x:c>
      <x:c r="C14" t="inlineStr">
        <x:is>
          <x:t xml:space="preserve">Bologna</x:t>
        </x:is>
      </x:c>
      <x:c r="D14" t="inlineStr">
        <x:is>
          <x:t xml:space="preserve">Por</x:t>
        </x:is>
      </x:c>
      <x:c r="E14" t="inlineStr">
        <x:is>
          <x:t xml:space="preserve">Titolare</x:t>
        </x:is>
      </x:c>
      <x:c r="F14" t="n">
        <x:v>10</x:v>
      </x:c>
      <x:c r="G14" t="n">
        <x:v>37</x:v>
      </x:c>
      <x:c r="H14" t="n">
        <x:f>ROUND(G14*504/1000,0)</x:f>
        <x:v>19</x:v>
      </x:c>
      <x:c r="I14"/>
      <x:c r="J14"/>
      <x:c r="K14"/>
    </x:row>
    <x:row r="15">
      <x:c r="A15" t="inlineStr">
        <x:is>
          <x:t xml:space="preserve">P</x:t>
        </x:is>
      </x:c>
      <x:c r="B15" t="inlineStr">
        <x:is>
          <x:t xml:space="preserve">Caprile</x:t>
        </x:is>
      </x:c>
      <x:c r="C15" t="inlineStr">
        <x:is>
          <x:t xml:space="preserve">Cagliari</x:t>
        </x:is>
      </x:c>
      <x:c r="D15" t="inlineStr">
        <x:is>
          <x:t xml:space="preserve">Por</x:t>
        </x:is>
      </x:c>
      <x:c r="E15" t="inlineStr">
        <x:is>
          <x:t xml:space="preserve">Titolare</x:t>
        </x:is>
      </x:c>
      <x:c r="F15" t="n">
        <x:v>9</x:v>
      </x:c>
      <x:c r="G15" t="n">
        <x:v>27</x:v>
      </x:c>
      <x:c r="H15" t="n">
        <x:f>ROUND(G15*504/1000,0)</x:f>
        <x:v>14</x:v>
      </x:c>
      <x:c r="I15"/>
      <x:c r="J15"/>
      <x:c r="K15"/>
    </x:row>
    <x:row r="16">
      <x:c r="A16" t="inlineStr">
        <x:is>
          <x:t xml:space="preserve">P</x:t>
        </x:is>
      </x:c>
      <x:c r="B16" t="inlineStr">
        <x:is>
          <x:t xml:space="preserve">Di Gregorio</x:t>
        </x:is>
      </x:c>
      <x:c r="C16" t="inlineStr">
        <x:is>
          <x:t xml:space="preserve">Juventus</x:t>
        </x:is>
      </x:c>
      <x:c r="D16" t="inlineStr">
        <x:is>
          <x:t xml:space="preserve">Por</x:t>
        </x:is>
      </x:c>
      <x:c r="E16" t="inlineStr">
        <x:is>
          <x:t xml:space="preserve">Riserva / rotazione</x:t>
        </x:is>
      </x:c>
      <x:c r="F16" t="n">
        <x:v>9</x:v>
      </x:c>
      <x:c r="G16" t="n">
        <x:v>40</x:v>
      </x:c>
      <x:c r="H16" t="n">
        <x:f>ROUND(G16*504/1000,0)</x:f>
        <x:v>20</x:v>
      </x:c>
      <x:c r="I16"/>
      <x:c r="J16"/>
      <x:c r="K16"/>
    </x:row>
    <x:row r="17">
      <x:c r="A17" t="inlineStr">
        <x:is>
          <x:t xml:space="preserve">P</x:t>
        </x:is>
      </x:c>
      <x:c r="B17" t="inlineStr">
        <x:is>
          <x:t xml:space="preserve">Mandas</x:t>
        </x:is>
      </x:c>
      <x:c r="C17" t="inlineStr">
        <x:is>
          <x:t xml:space="preserve">Lazio</x:t>
        </x:is>
      </x:c>
      <x:c r="D17" t="inlineStr">
        <x:is>
          <x:t xml:space="preserve">Por</x:t>
        </x:is>
      </x:c>
      <x:c r="E17" t="inlineStr">
        <x:is>
          <x:t xml:space="preserve">Titolare</x:t>
        </x:is>
      </x:c>
      <x:c r="F17" t="n">
        <x:v>9</x:v>
      </x:c>
      <x:c r="G17" t="n">
        <x:v>30</x:v>
      </x:c>
      <x:c r="H17" t="n">
        <x:f>ROUND(G17*504/1000,0)</x:f>
        <x:v>15</x:v>
      </x:c>
      <x:c r="I17"/>
      <x:c r="J17"/>
      <x:c r="K17"/>
    </x:row>
    <x:row r="18">
      <x:c r="A18" t="inlineStr">
        <x:is>
          <x:t xml:space="preserve">P</x:t>
        </x:is>
      </x:c>
      <x:c r="B18" t="inlineStr">
        <x:is>
          <x:t xml:space="preserve">Okoye</x:t>
        </x:is>
      </x:c>
      <x:c r="C18" t="inlineStr">
        <x:is>
          <x:t xml:space="preserve">Udinese</x:t>
        </x:is>
      </x:c>
      <x:c r="D18" t="inlineStr">
        <x:is>
          <x:t xml:space="preserve">Por</x:t>
        </x:is>
      </x:c>
      <x:c r="E18" t="inlineStr">
        <x:is>
          <x:t xml:space="preserve">Titolare</x:t>
        </x:is>
      </x:c>
      <x:c r="F18" t="n">
        <x:v>9</x:v>
      </x:c>
      <x:c r="G18" t="n">
        <x:v>29</x:v>
      </x:c>
      <x:c r="H18" t="n">
        <x:f>ROUND(G18*504/1000,0)</x:f>
        <x:v>15</x:v>
      </x:c>
      <x:c r="I18"/>
      <x:c r="J18"/>
      <x:c r="K18"/>
    </x:row>
    <x:row r="19">
      <x:c r="A19" t="inlineStr">
        <x:is>
          <x:t xml:space="preserve">P</x:t>
        </x:is>
      </x:c>
      <x:c r="B19" t="inlineStr">
        <x:is>
          <x:t xml:space="preserve">Bijlow</x:t>
        </x:is>
      </x:c>
      <x:c r="C19" t="inlineStr">
        <x:is>
          <x:t xml:space="preserve">Genoa</x:t>
        </x:is>
      </x:c>
      <x:c r="D19" t="inlineStr">
        <x:is>
          <x:t xml:space="preserve">Por</x:t>
        </x:is>
      </x:c>
      <x:c r="E19" t="inlineStr">
        <x:is>
          <x:t xml:space="preserve">Titolare</x:t>
        </x:is>
      </x:c>
      <x:c r="F19" t="n">
        <x:v>8</x:v>
      </x:c>
      <x:c r="G19" t="n">
        <x:v>18</x:v>
      </x:c>
      <x:c r="H19" t="n">
        <x:f>ROUND(G19*504/1000,0)</x:f>
        <x:v>9</x:v>
      </x:c>
      <x:c r="I19"/>
      <x:c r="J19"/>
      <x:c r="K19"/>
    </x:row>
    <x:row r="20">
      <x:c r="A20" t="inlineStr">
        <x:is>
          <x:t xml:space="preserve">P</x:t>
        </x:is>
      </x:c>
      <x:c r="B20" t="inlineStr">
        <x:is>
          <x:t xml:space="preserve">Falcone</x:t>
        </x:is>
      </x:c>
      <x:c r="C20" t="inlineStr">
        <x:is>
          <x:t xml:space="preserve">Lecce</x:t>
        </x:is>
      </x:c>
      <x:c r="D20" t="inlineStr">
        <x:is>
          <x:t xml:space="preserve">Por</x:t>
        </x:is>
      </x:c>
      <x:c r="E20" t="inlineStr">
        <x:is>
          <x:t xml:space="preserve">Titolare</x:t>
        </x:is>
      </x:c>
      <x:c r="F20" t="n">
        <x:v>8</x:v>
      </x:c>
      <x:c r="G20" t="n">
        <x:v>25</x:v>
      </x:c>
      <x:c r="H20" t="n">
        <x:f>ROUND(G20*504/1000,0)</x:f>
        <x:v>13</x:v>
      </x:c>
      <x:c r="I20"/>
      <x:c r="J20"/>
      <x:c r="K20"/>
    </x:row>
    <x:row r="21">
      <x:c r="A21" t="inlineStr">
        <x:is>
          <x:t xml:space="preserve">P</x:t>
        </x:is>
      </x:c>
      <x:c r="B21" t="inlineStr">
        <x:is>
          <x:t xml:space="preserve">Daffara</x:t>
        </x:is>
      </x:c>
      <x:c r="C21" t="inlineStr">
        <x:is>
          <x:t xml:space="preserve">Parma</x:t>
        </x:is>
      </x:c>
      <x:c r="D21" t="inlineStr">
        <x:is>
          <x:t xml:space="preserve">Por</x:t>
        </x:is>
      </x:c>
      <x:c r="E21" t="inlineStr">
        <x:is>
          <x:t xml:space="preserve">Ballottaggio</x:t>
        </x:is>
      </x:c>
      <x:c r="F21" t="n">
        <x:v>7</x:v>
      </x:c>
      <x:c r="G21" t="n">
        <x:v>5</x:v>
      </x:c>
      <x:c r="H21" t="n">
        <x:f>ROUND(G21*504/1000,0)</x:f>
        <x:v>3</x:v>
      </x:c>
      <x:c r="I21"/>
      <x:c r="J21"/>
      <x:c r="K21"/>
    </x:row>
    <x:row r="22">
      <x:c r="A22" t="inlineStr">
        <x:is>
          <x:t xml:space="preserve">P</x:t>
        </x:is>
      </x:c>
      <x:c r="B22" t="inlineStr">
        <x:is>
          <x:t xml:space="preserve">Suzuki</x:t>
        </x:is>
      </x:c>
      <x:c r="C22" t="inlineStr">
        <x:is>
          <x:t xml:space="preserve">Parma</x:t>
        </x:is>
      </x:c>
      <x:c r="D22" t="inlineStr">
        <x:is>
          <x:t xml:space="preserve">Por</x:t>
        </x:is>
      </x:c>
      <x:c r="E22" t="inlineStr">
        <x:is>
          <x:t xml:space="preserve">Riserva / rotazione</x:t>
        </x:is>
      </x:c>
      <x:c r="F22" t="n">
        <x:v>7</x:v>
      </x:c>
      <x:c r="G22" t="n">
        <x:v>20</x:v>
      </x:c>
      <x:c r="H22" t="n">
        <x:f>ROUND(G22*504/1000,0)</x:f>
        <x:v>10</x:v>
      </x:c>
      <x:c r="I22"/>
      <x:c r="J22"/>
      <x:c r="K22"/>
    </x:row>
    <x:row r="23">
      <x:c r="A23" t="inlineStr">
        <x:is>
          <x:t xml:space="preserve">P</x:t>
        </x:is>
      </x:c>
      <x:c r="B23" t="inlineStr">
        <x:is>
          <x:t xml:space="preserve">Muric</x:t>
        </x:is>
      </x:c>
      <x:c r="C23" t="inlineStr">
        <x:is>
          <x:t xml:space="preserve">Sassuolo</x:t>
        </x:is>
      </x:c>
      <x:c r="D23" t="inlineStr">
        <x:is>
          <x:t xml:space="preserve">Por</x:t>
        </x:is>
      </x:c>
      <x:c r="E23" t="inlineStr">
        <x:is>
          <x:t xml:space="preserve">Titolare</x:t>
        </x:is>
      </x:c>
      <x:c r="F23" t="n">
        <x:v>7</x:v>
      </x:c>
      <x:c r="G23" t="n">
        <x:v>15</x:v>
      </x:c>
      <x:c r="H23" t="n">
        <x:f>ROUND(G23*504/1000,0)</x:f>
        <x:v>8</x:v>
      </x:c>
      <x:c r="I23"/>
      <x:c r="J23"/>
      <x:c r="K23"/>
    </x:row>
    <x:row r="24">
      <x:c r="A24" t="inlineStr">
        <x:is>
          <x:t xml:space="preserve">P</x:t>
        </x:is>
      </x:c>
      <x:c r="B24" t="inlineStr">
        <x:is>
          <x:t xml:space="preserve">Perin</x:t>
        </x:is>
      </x:c>
      <x:c r="C24" t="inlineStr">
        <x:is>
          <x:t xml:space="preserve">Juventus</x:t>
        </x:is>
      </x:c>
      <x:c r="D24" t="inlineStr">
        <x:is>
          <x:t xml:space="preserve">Por</x:t>
        </x:is>
      </x:c>
      <x:c r="E24" t="inlineStr">
        <x:is>
          <x:t xml:space="preserve">Riserva / rotazione</x:t>
        </x:is>
      </x:c>
      <x:c r="F24" t="n">
        <x:v>6</x:v>
      </x:c>
      <x:c r="G24" t="n">
        <x:v>10</x:v>
      </x:c>
      <x:c r="H24" t="n">
        <x:f>ROUND(G24*504/1000,0)</x:f>
        <x:v>5</x:v>
      </x:c>
      <x:c r="I24"/>
      <x:c r="J24"/>
      <x:c r="K24"/>
    </x:row>
    <x:row r="25">
      <x:c r="A25" t="inlineStr">
        <x:is>
          <x:t xml:space="preserve">P</x:t>
        </x:is>
      </x:c>
      <x:c r="B25" t="inlineStr">
        <x:is>
          <x:t xml:space="preserve">Stankovic F.</x:t>
        </x:is>
      </x:c>
      <x:c r="C25" t="inlineStr">
        <x:is>
          <x:t xml:space="preserve">Venezia</x:t>
        </x:is>
      </x:c>
      <x:c r="D25" t="inlineStr">
        <x:is>
          <x:t xml:space="preserve">Por</x:t>
        </x:is>
      </x:c>
      <x:c r="E25" t="inlineStr">
        <x:is>
          <x:t xml:space="preserve">Titolare</x:t>
        </x:is>
      </x:c>
      <x:c r="F25" t="n">
        <x:v>6</x:v>
      </x:c>
      <x:c r="G25" t="n">
        <x:v>14</x:v>
      </x:c>
      <x:c r="H25" t="n">
        <x:f>ROUND(G25*504/1000,0)</x:f>
        <x:v>7</x:v>
      </x:c>
      <x:c r="I25"/>
      <x:c r="J25"/>
      <x:c r="K25"/>
    </x:row>
    <x:row r="26">
      <x:c r="A26" t="inlineStr">
        <x:is>
          <x:t xml:space="preserve">P</x:t>
        </x:is>
      </x:c>
      <x:c r="B26" t="inlineStr">
        <x:is>
          <x:t xml:space="preserve">Thiam</x:t>
        </x:is>
      </x:c>
      <x:c r="C26" t="inlineStr">
        <x:is>
          <x:t xml:space="preserve">Monza</x:t>
        </x:is>
      </x:c>
      <x:c r="D26" t="inlineStr">
        <x:is>
          <x:t xml:space="preserve">Por</x:t>
        </x:is>
      </x:c>
      <x:c r="E26" t="inlineStr">
        <x:is>
          <x:t xml:space="preserve">Riserva / rotazione</x:t>
        </x:is>
      </x:c>
      <x:c r="F26" t="n">
        <x:v>5</x:v>
      </x:c>
      <x:c r="G26" t="n">
        <x:v>12</x:v>
      </x:c>
      <x:c r="H26" t="n">
        <x:f>ROUND(G26*504/1000,0)</x:f>
        <x:v>6</x:v>
      </x:c>
      <x:c r="I26"/>
      <x:c r="J26"/>
      <x:c r="K26"/>
    </x:row>
    <x:row r="27">
      <x:c r="A27" t="inlineStr">
        <x:is>
          <x:t xml:space="preserve">P</x:t>
        </x:is>
      </x:c>
      <x:c r="B27" t="inlineStr">
        <x:is>
          <x:t xml:space="preserve">Milinkovic-Savic V.</x:t>
        </x:is>
      </x:c>
      <x:c r="C27" t="inlineStr">
        <x:is>
          <x:t xml:space="preserve">Napoli</x:t>
        </x:is>
      </x:c>
      <x:c r="D27" t="inlineStr">
        <x:is>
          <x:t xml:space="preserve">Por</x:t>
        </x:is>
      </x:c>
      <x:c r="E27" t="inlineStr">
        <x:is>
          <x:t xml:space="preserve">Riserva / rotazione</x:t>
        </x:is>
      </x:c>
      <x:c r="F27" t="n">
        <x:v>5</x:v>
      </x:c>
      <x:c r="G27" t="n">
        <x:v>10</x:v>
      </x:c>
      <x:c r="H27" t="n">
        <x:f>ROUND(G27*504/1000,0)</x:f>
        <x:v>5</x:v>
      </x:c>
      <x:c r="I27"/>
      <x:c r="J27"/>
      <x:c r="K27"/>
    </x:row>
    <x:row r="28">
      <x:c r="A28" t="inlineStr">
        <x:is>
          <x:t xml:space="preserve">P</x:t>
        </x:is>
      </x:c>
      <x:c r="B28" t="inlineStr">
        <x:is>
          <x:t xml:space="preserve">Palmisani</x:t>
        </x:is>
      </x:c>
      <x:c r="C28" t="inlineStr">
        <x:is>
          <x:t xml:space="preserve">Frosinone</x:t>
        </x:is>
      </x:c>
      <x:c r="D28" t="inlineStr">
        <x:is>
          <x:t xml:space="preserve">Por</x:t>
        </x:is>
      </x:c>
      <x:c r="E28" t="inlineStr">
        <x:is>
          <x:t xml:space="preserve">Titolare</x:t>
        </x:is>
      </x:c>
      <x:c r="F28" t="n">
        <x:v>4</x:v>
      </x:c>
      <x:c r="G28" t="n">
        <x:v>8</x:v>
      </x:c>
      <x:c r="H28" t="n">
        <x:f>ROUND(G28*504/1000,0)</x:f>
        <x:v>4</x:v>
      </x:c>
      <x:c r="I28"/>
      <x:c r="J28"/>
      <x:c r="K28"/>
    </x:row>
    <x:row r="29">
      <x:c r="A29" t="inlineStr">
        <x:is>
          <x:t xml:space="preserve">P</x:t>
        </x:is>
      </x:c>
      <x:c r="B29" t="inlineStr">
        <x:is>
          <x:t xml:space="preserve">Desplanches</x:t>
        </x:is>
      </x:c>
      <x:c r="C29" t="inlineStr">
        <x:is>
          <x:t xml:space="preserve">Frosinone</x:t>
        </x:is>
      </x:c>
      <x:c r="D29" t="inlineStr">
        <x:is>
          <x:t xml:space="preserve">Por</x:t>
        </x:is>
      </x:c>
      <x:c r="E29" t="inlineStr">
        <x:is>
          <x:t xml:space="preserve">Riserva / rotazione</x:t>
        </x:is>
      </x:c>
      <x:c r="F29" t="n">
        <x:v>2</x:v>
      </x:c>
      <x:c r="G29" t="n">
        <x:v>8</x:v>
      </x:c>
      <x:c r="H29" t="n">
        <x:f>ROUND(G29*504/1000,0)</x:f>
        <x:v>4</x:v>
      </x:c>
      <x:c r="I29"/>
      <x:c r="J29"/>
      <x:c r="K29"/>
    </x:row>
    <x:row r="30">
      <x:c r="A30" t="inlineStr">
        <x:is>
          <x:t xml:space="preserve">P</x:t>
        </x:is>
      </x:c>
      <x:c r="B30" t="inlineStr">
        <x:is>
          <x:t xml:space="preserve">Provedel</x:t>
        </x:is>
      </x:c>
      <x:c r="C30" t="inlineStr">
        <x:is>
          <x:t xml:space="preserve">Inter</x:t>
        </x:is>
      </x:c>
      <x:c r="D30" t="inlineStr">
        <x:is>
          <x:t xml:space="preserve">Por</x:t>
        </x:is>
      </x:c>
      <x:c r="E30" t="inlineStr">
        <x:is>
          <x:t xml:space="preserve">Riserva / rotazione</x:t>
        </x:is>
      </x:c>
      <x:c r="F30" t="n">
        <x:v>2</x:v>
      </x:c>
      <x:c r="G30" t="n">
        <x:v>5</x:v>
      </x:c>
      <x:c r="H30" t="n">
        <x:f>ROUND(G30*504/1000,0)</x:f>
        <x:v>3</x:v>
      </x:c>
      <x:c r="I30"/>
      <x:c r="J30"/>
      <x:c r="K30"/>
    </x:row>
    <x:row r="31">
      <x:c r="A31" t="inlineStr">
        <x:is>
          <x:t xml:space="preserve">P</x:t>
        </x:is>
      </x:c>
      <x:c r="B31" t="inlineStr">
        <x:is>
          <x:t xml:space="preserve">Rossi F.</x:t>
        </x:is>
      </x:c>
      <x:c r="C31" t="inlineStr">
        <x:is>
          <x:t xml:space="preserve">Atalanta</x:t>
        </x:is>
      </x:c>
      <x:c r="D31" t="inlineStr">
        <x:is>
          <x:t xml:space="preserve">Por</x:t>
        </x:is>
      </x:c>
      <x:c r="E31" t="inlineStr">
        <x:is>
          <x:t xml:space="preserve">Riserva / rotazione</x:t>
        </x:is>
      </x:c>
      <x:c r="F31" t="n">
        <x:v>1</x:v>
      </x:c>
      <x:c r="G31" t="n">
        <x:v>1</x:v>
      </x:c>
      <x:c r="H31" t="n">
        <x:f>ROUND(G31*504/1000,0)</x:f>
        <x:v>1</x:v>
      </x:c>
      <x:c r="I31"/>
      <x:c r="J31"/>
      <x:c r="K31"/>
    </x:row>
    <x:row r="32">
      <x:c r="A32" t="inlineStr">
        <x:is>
          <x:t xml:space="preserve">P</x:t>
        </x:is>
      </x:c>
      <x:c r="B32" t="inlineStr">
        <x:is>
          <x:t xml:space="preserve">Sportiello</x:t>
        </x:is>
      </x:c>
      <x:c r="C32" t="inlineStr">
        <x:is>
          <x:t xml:space="preserve">Atalanta</x:t>
        </x:is>
      </x:c>
      <x:c r="D32" t="inlineStr">
        <x:is>
          <x:t xml:space="preserve">Por</x:t>
        </x:is>
      </x:c>
      <x:c r="E32" t="inlineStr">
        <x:is>
          <x:t xml:space="preserve">Riserva / rotazione</x:t>
        </x:is>
      </x:c>
      <x:c r="F32" t="n">
        <x:v>1</x:v>
      </x:c>
      <x:c r="G32" t="n">
        <x:v>1</x:v>
      </x:c>
      <x:c r="H32" t="n">
        <x:f>ROUND(G32*504/1000,0)</x:f>
        <x:v>1</x:v>
      </x:c>
      <x:c r="I32"/>
      <x:c r="J32"/>
      <x:c r="K32"/>
    </x:row>
    <x:row r="33">
      <x:c r="A33" t="inlineStr">
        <x:is>
          <x:t xml:space="preserve">P</x:t>
        </x:is>
      </x:c>
      <x:c r="B33" t="inlineStr">
        <x:is>
          <x:t xml:space="preserve">Happonen</x:t>
        </x:is>
      </x:c>
      <x:c r="C33" t="inlineStr">
        <x:is>
          <x:t xml:space="preserve">Bologna</x:t>
        </x:is>
      </x:c>
      <x:c r="D33" t="inlineStr">
        <x:is>
          <x:t xml:space="preserve">Por</x:t>
        </x:is>
      </x:c>
      <x:c r="E33" t="inlineStr">
        <x:is>
          <x:t xml:space="preserve">Riserva / rotazione</x:t>
        </x:is>
      </x:c>
      <x:c r="F33" t="n">
        <x:v>1</x:v>
      </x:c>
      <x:c r="G33" t="n">
        <x:v>1</x:v>
      </x:c>
      <x:c r="H33" t="n">
        <x:f>ROUND(G33*504/1000,0)</x:f>
        <x:v>1</x:v>
      </x:c>
      <x:c r="I33"/>
      <x:c r="J33"/>
      <x:c r="K33"/>
    </x:row>
    <x:row r="34">
      <x:c r="A34" t="inlineStr">
        <x:is>
          <x:t xml:space="preserve">P</x:t>
        </x:is>
      </x:c>
      <x:c r="B34" t="inlineStr">
        <x:is>
          <x:t xml:space="preserve">Pessina Mas.</x:t>
        </x:is>
      </x:c>
      <x:c r="C34" t="inlineStr">
        <x:is>
          <x:t xml:space="preserve">Bologna</x:t>
        </x:is>
      </x:c>
      <x:c r="D34" t="inlineStr">
        <x:is>
          <x:t xml:space="preserve">Por</x:t>
        </x:is>
      </x:c>
      <x:c r="E34" t="inlineStr">
        <x:is>
          <x:t xml:space="preserve">Riserva / rotazione</x:t>
        </x:is>
      </x:c>
      <x:c r="F34" t="n">
        <x:v>1</x:v>
      </x:c>
      <x:c r="G34" t="n">
        <x:v>1</x:v>
      </x:c>
      <x:c r="H34" t="n">
        <x:f>ROUND(G34*504/1000,0)</x:f>
        <x:v>1</x:v>
      </x:c>
      <x:c r="I34"/>
      <x:c r="J34"/>
      <x:c r="K34"/>
    </x:row>
    <x:row r="35">
      <x:c r="A35" t="inlineStr">
        <x:is>
          <x:t xml:space="preserve">P</x:t>
        </x:is>
      </x:c>
      <x:c r="B35" t="inlineStr">
        <x:is>
          <x:t xml:space="preserve">Ciocci</x:t>
        </x:is>
      </x:c>
      <x:c r="C35" t="inlineStr">
        <x:is>
          <x:t xml:space="preserve">Cagliari</x:t>
        </x:is>
      </x:c>
      <x:c r="D35" t="inlineStr">
        <x:is>
          <x:t xml:space="preserve">Por</x:t>
        </x:is>
      </x:c>
      <x:c r="E35" t="inlineStr">
        <x:is>
          <x:t xml:space="preserve">Riserva / rotazione</x:t>
        </x:is>
      </x:c>
      <x:c r="F35" t="n">
        <x:v>1</x:v>
      </x:c>
      <x:c r="G35" t="n">
        <x:v>1</x:v>
      </x:c>
      <x:c r="H35" t="n">
        <x:f>ROUND(G35*504/1000,0)</x:f>
        <x:v>1</x:v>
      </x:c>
      <x:c r="I35"/>
      <x:c r="J35"/>
      <x:c r="K35"/>
    </x:row>
    <x:row r="36">
      <x:c r="A36" t="inlineStr">
        <x:is>
          <x:t xml:space="preserve">P</x:t>
        </x:is>
      </x:c>
      <x:c r="B36" t="inlineStr">
        <x:is>
          <x:t xml:space="preserve">Sherri</x:t>
        </x:is>
      </x:c>
      <x:c r="C36" t="inlineStr">
        <x:is>
          <x:t xml:space="preserve">Cagliari</x:t>
        </x:is>
      </x:c>
      <x:c r="D36" t="inlineStr">
        <x:is>
          <x:t xml:space="preserve">Por</x:t>
        </x:is>
      </x:c>
      <x:c r="E36" t="inlineStr">
        <x:is>
          <x:t xml:space="preserve">Riserva / rotazione</x:t>
        </x:is>
      </x:c>
      <x:c r="F36" t="n">
        <x:v>1</x:v>
      </x:c>
      <x:c r="G36" t="n">
        <x:v>1</x:v>
      </x:c>
      <x:c r="H36" t="n">
        <x:f>ROUND(G36*504/1000,0)</x:f>
        <x:v>1</x:v>
      </x:c>
      <x:c r="I36"/>
      <x:c r="J36"/>
      <x:c r="K36"/>
    </x:row>
    <x:row r="37">
      <x:c r="A37" t="inlineStr">
        <x:is>
          <x:t xml:space="preserve">P</x:t>
        </x:is>
      </x:c>
      <x:c r="B37" t="inlineStr">
        <x:is>
          <x:t xml:space="preserve">Tornqvist</x:t>
        </x:is>
      </x:c>
      <x:c r="C37" t="inlineStr">
        <x:is>
          <x:t xml:space="preserve">Como</x:t>
        </x:is>
      </x:c>
      <x:c r="D37" t="inlineStr">
        <x:is>
          <x:t xml:space="preserve">Por</x:t>
        </x:is>
      </x:c>
      <x:c r="E37" t="inlineStr">
        <x:is>
          <x:t xml:space="preserve">Riserva / rotazione</x:t>
        </x:is>
      </x:c>
      <x:c r="F37" t="n">
        <x:v>1</x:v>
      </x:c>
      <x:c r="G37" t="n">
        <x:v>1</x:v>
      </x:c>
      <x:c r="H37" t="n">
        <x:f>ROUND(G37*504/1000,0)</x:f>
        <x:v>1</x:v>
      </x:c>
      <x:c r="I37"/>
      <x:c r="J37"/>
      <x:c r="K37"/>
    </x:row>
    <x:row r="38">
      <x:c r="A38" t="inlineStr">
        <x:is>
          <x:t xml:space="preserve">P</x:t>
        </x:is>
      </x:c>
      <x:c r="B38" t="inlineStr">
        <x:is>
          <x:t xml:space="preserve">Vigorito</x:t>
        </x:is>
      </x:c>
      <x:c r="C38" t="inlineStr">
        <x:is>
          <x:t xml:space="preserve">Como</x:t>
        </x:is>
      </x:c>
      <x:c r="D38" t="inlineStr">
        <x:is>
          <x:t xml:space="preserve">Por</x:t>
        </x:is>
      </x:c>
      <x:c r="E38" t="inlineStr">
        <x:is>
          <x:t xml:space="preserve">Riserva / rotazione</x:t>
        </x:is>
      </x:c>
      <x:c r="F38" t="n">
        <x:v>1</x:v>
      </x:c>
      <x:c r="G38" t="n">
        <x:v>1</x:v>
      </x:c>
      <x:c r="H38" t="n">
        <x:f>ROUND(G38*504/1000,0)</x:f>
        <x:v>1</x:v>
      </x:c>
      <x:c r="I38"/>
      <x:c r="J38"/>
      <x:c r="K38"/>
    </x:row>
    <x:row r="39">
      <x:c r="A39" t="inlineStr">
        <x:is>
          <x:t xml:space="preserve">P</x:t>
        </x:is>
      </x:c>
      <x:c r="B39" t="inlineStr">
        <x:is>
          <x:t xml:space="preserve">Christensen O.</x:t>
        </x:is>
      </x:c>
      <x:c r="C39" t="inlineStr">
        <x:is>
          <x:t xml:space="preserve">Fiorentina</x:t>
        </x:is>
      </x:c>
      <x:c r="D39" t="inlineStr">
        <x:is>
          <x:t xml:space="preserve">Por</x:t>
        </x:is>
      </x:c>
      <x:c r="E39" t="inlineStr">
        <x:is>
          <x:t xml:space="preserve">Riserva / rotazione</x:t>
        </x:is>
      </x:c>
      <x:c r="F39" t="n">
        <x:v>1</x:v>
      </x:c>
      <x:c r="G39" t="n">
        <x:v>1</x:v>
      </x:c>
      <x:c r="H39" t="n">
        <x:f>ROUND(G39*504/1000,0)</x:f>
        <x:v>1</x:v>
      </x:c>
      <x:c r="I39"/>
      <x:c r="J39"/>
      <x:c r="K39"/>
    </x:row>
    <x:row r="40">
      <x:c r="A40" t="inlineStr">
        <x:is>
          <x:t xml:space="preserve">P</x:t>
        </x:is>
      </x:c>
      <x:c r="B40" t="inlineStr">
        <x:is>
          <x:t xml:space="preserve">Lezzerini</x:t>
        </x:is>
      </x:c>
      <x:c r="C40" t="inlineStr">
        <x:is>
          <x:t xml:space="preserve">Fiorentina</x:t>
        </x:is>
      </x:c>
      <x:c r="D40" t="inlineStr">
        <x:is>
          <x:t xml:space="preserve">Por</x:t>
        </x:is>
      </x:c>
      <x:c r="E40" t="inlineStr">
        <x:is>
          <x:t xml:space="preserve">Riserva / rotazione</x:t>
        </x:is>
      </x:c>
      <x:c r="F40" t="n">
        <x:v>1</x:v>
      </x:c>
      <x:c r="G40" t="n">
        <x:v>1</x:v>
      </x:c>
      <x:c r="H40" t="n">
        <x:f>ROUND(G40*504/1000,0)</x:f>
        <x:v>1</x:v>
      </x:c>
      <x:c r="I40"/>
      <x:c r="J40"/>
      <x:c r="K40"/>
    </x:row>
    <x:row r="41">
      <x:c r="A41" t="inlineStr">
        <x:is>
          <x:t xml:space="preserve">P</x:t>
        </x:is>
      </x:c>
      <x:c r="B41" t="inlineStr">
        <x:is>
          <x:t xml:space="preserve">Lolic</x:t>
        </x:is>
      </x:c>
      <x:c r="C41" t="inlineStr">
        <x:is>
          <x:t xml:space="preserve">Frosinone</x:t>
        </x:is>
      </x:c>
      <x:c r="D41" t="inlineStr">
        <x:is>
          <x:t xml:space="preserve">Por</x:t>
        </x:is>
      </x:c>
      <x:c r="E41" t="inlineStr">
        <x:is>
          <x:t xml:space="preserve">Riserva / rotazione</x:t>
        </x:is>
      </x:c>
      <x:c r="F41" t="n">
        <x:v>1</x:v>
      </x:c>
      <x:c r="G41" t="n">
        <x:v>1</x:v>
      </x:c>
      <x:c r="H41" t="n">
        <x:f>ROUND(G41*504/1000,0)</x:f>
        <x:v>1</x:v>
      </x:c>
      <x:c r="I41"/>
      <x:c r="J41"/>
      <x:c r="K41"/>
    </x:row>
    <x:row r="42">
      <x:c r="A42" t="inlineStr">
        <x:is>
          <x:t xml:space="preserve">P</x:t>
        </x:is>
      </x:c>
      <x:c r="B42" t="inlineStr">
        <x:is>
          <x:t xml:space="preserve">Sommariva</x:t>
        </x:is>
      </x:c>
      <x:c r="C42" t="inlineStr">
        <x:is>
          <x:t xml:space="preserve">Genoa</x:t>
        </x:is>
      </x:c>
      <x:c r="D42" t="inlineStr">
        <x:is>
          <x:t xml:space="preserve">Por</x:t>
        </x:is>
      </x:c>
      <x:c r="E42" t="inlineStr">
        <x:is>
          <x:t xml:space="preserve">Riserva / rotazione</x:t>
        </x:is>
      </x:c>
      <x:c r="F42" t="n">
        <x:v>1</x:v>
      </x:c>
      <x:c r="G42" t="n">
        <x:v>1</x:v>
      </x:c>
      <x:c r="H42" t="n">
        <x:f>ROUND(G42*504/1000,0)</x:f>
        <x:v>1</x:v>
      </x:c>
      <x:c r="I42"/>
      <x:c r="J42"/>
      <x:c r="K42"/>
    </x:row>
    <x:row r="43">
      <x:c r="A43" t="inlineStr">
        <x:is>
          <x:t xml:space="preserve">P</x:t>
        </x:is>
      </x:c>
      <x:c r="B43" t="inlineStr">
        <x:is>
          <x:t xml:space="preserve">Stolz</x:t>
        </x:is>
      </x:c>
      <x:c r="C43" t="inlineStr">
        <x:is>
          <x:t xml:space="preserve">Genoa</x:t>
        </x:is>
      </x:c>
      <x:c r="D43" t="inlineStr">
        <x:is>
          <x:t xml:space="preserve">Por</x:t>
        </x:is>
      </x:c>
      <x:c r="E43" t="inlineStr">
        <x:is>
          <x:t xml:space="preserve">Riserva / rotazione</x:t>
        </x:is>
      </x:c>
      <x:c r="F43" t="n">
        <x:v>1</x:v>
      </x:c>
      <x:c r="G43" t="n">
        <x:v>1</x:v>
      </x:c>
      <x:c r="H43" t="n">
        <x:f>ROUND(G43*504/1000,0)</x:f>
        <x:v>1</x:v>
      </x:c>
      <x:c r="I43"/>
      <x:c r="J43"/>
      <x:c r="K43"/>
    </x:row>
    <x:row r="44">
      <x:c r="A44" t="inlineStr">
        <x:is>
          <x:t xml:space="preserve">P</x:t>
        </x:is>
      </x:c>
      <x:c r="B44" t="inlineStr">
        <x:is>
          <x:t xml:space="preserve">Di Gennaro</x:t>
        </x:is>
      </x:c>
      <x:c r="C44" t="inlineStr">
        <x:is>
          <x:t xml:space="preserve">Inter</x:t>
        </x:is>
      </x:c>
      <x:c r="D44" t="inlineStr">
        <x:is>
          <x:t xml:space="preserve">Por</x:t>
        </x:is>
      </x:c>
      <x:c r="E44" t="inlineStr">
        <x:is>
          <x:t xml:space="preserve">Riserva / rotazione</x:t>
        </x:is>
      </x:c>
      <x:c r="F44" t="n">
        <x:v>1</x:v>
      </x:c>
      <x:c r="G44" t="n">
        <x:v>1</x:v>
      </x:c>
      <x:c r="H44" t="n">
        <x:f>ROUND(G44*504/1000,0)</x:f>
        <x:v>1</x:v>
      </x:c>
      <x:c r="I44"/>
      <x:c r="J44"/>
      <x:c r="K44"/>
    </x:row>
    <x:row r="45">
      <x:c r="A45" t="inlineStr">
        <x:is>
          <x:t xml:space="preserve">P</x:t>
        </x:is>
      </x:c>
      <x:c r="B45" t="inlineStr">
        <x:is>
          <x:t xml:space="preserve">Pinsoglio</x:t>
        </x:is>
      </x:c>
      <x:c r="C45" t="inlineStr">
        <x:is>
          <x:t xml:space="preserve">Juventus</x:t>
        </x:is>
      </x:c>
      <x:c r="D45" t="inlineStr">
        <x:is>
          <x:t xml:space="preserve">Por</x:t>
        </x:is>
      </x:c>
      <x:c r="E45" t="inlineStr">
        <x:is>
          <x:t xml:space="preserve">Riserva / rotazione</x:t>
        </x:is>
      </x:c>
      <x:c r="F45" t="n">
        <x:v>1</x:v>
      </x:c>
      <x:c r="G45" t="n">
        <x:v>1</x:v>
      </x:c>
      <x:c r="H45" t="n">
        <x:f>ROUND(G45*504/1000,0)</x:f>
        <x:v>1</x:v>
      </x:c>
      <x:c r="I45"/>
      <x:c r="J45"/>
      <x:c r="K45"/>
    </x:row>
    <x:row r="46">
      <x:c r="A46" t="inlineStr">
        <x:is>
          <x:t xml:space="preserve">P</x:t>
        </x:is>
      </x:c>
      <x:c r="B46" t="inlineStr">
        <x:is>
          <x:t xml:space="preserve">Motta</x:t>
        </x:is>
      </x:c>
      <x:c r="C46" t="inlineStr">
        <x:is>
          <x:t xml:space="preserve">Lazio</x:t>
        </x:is>
      </x:c>
      <x:c r="D46" t="inlineStr">
        <x:is>
          <x:t xml:space="preserve">Por</x:t>
        </x:is>
      </x:c>
      <x:c r="E46" t="inlineStr">
        <x:is>
          <x:t xml:space="preserve">Riserva / rotazione</x:t>
        </x:is>
      </x:c>
      <x:c r="F46" t="n">
        <x:v>1</x:v>
      </x:c>
      <x:c r="G46" t="n">
        <x:v>1</x:v>
      </x:c>
      <x:c r="H46" t="n">
        <x:f>ROUND(G46*504/1000,0)</x:f>
        <x:v>1</x:v>
      </x:c>
      <x:c r="I46"/>
      <x:c r="J46"/>
      <x:c r="K46"/>
    </x:row>
    <x:row r="47">
      <x:c r="A47" t="inlineStr">
        <x:is>
          <x:t xml:space="preserve">P</x:t>
        </x:is>
      </x:c>
      <x:c r="B47" t="inlineStr">
        <x:is>
          <x:t xml:space="preserve">Renzetti</x:t>
        </x:is>
      </x:c>
      <x:c r="C47" t="inlineStr">
        <x:is>
          <x:t xml:space="preserve">Lazio</x:t>
        </x:is>
      </x:c>
      <x:c r="D47" t="inlineStr">
        <x:is>
          <x:t xml:space="preserve">Por</x:t>
        </x:is>
      </x:c>
      <x:c r="E47" t="inlineStr">
        <x:is>
          <x:t xml:space="preserve">Riserva / rotazione</x:t>
        </x:is>
      </x:c>
      <x:c r="F47" t="n">
        <x:v>1</x:v>
      </x:c>
      <x:c r="G47" t="n">
        <x:v>1</x:v>
      </x:c>
      <x:c r="H47" t="n">
        <x:f>ROUND(G47*504/1000,0)</x:f>
        <x:v>1</x:v>
      </x:c>
      <x:c r="I47"/>
      <x:c r="J47"/>
      <x:c r="K47"/>
    </x:row>
    <x:row r="48">
      <x:c r="A48" t="inlineStr">
        <x:is>
          <x:t xml:space="preserve">P</x:t>
        </x:is>
      </x:c>
      <x:c r="B48" t="inlineStr">
        <x:is>
          <x:t xml:space="preserve">Fruchtl</x:t>
        </x:is>
      </x:c>
      <x:c r="C48" t="inlineStr">
        <x:is>
          <x:t xml:space="preserve">Lecce</x:t>
        </x:is>
      </x:c>
      <x:c r="D48" t="inlineStr">
        <x:is>
          <x:t xml:space="preserve">Por</x:t>
        </x:is>
      </x:c>
      <x:c r="E48" t="inlineStr">
        <x:is>
          <x:t xml:space="preserve">Riserva / rotazione</x:t>
        </x:is>
      </x:c>
      <x:c r="F48" t="n">
        <x:v>1</x:v>
      </x:c>
      <x:c r="G48" t="n">
        <x:v>1</x:v>
      </x:c>
      <x:c r="H48" t="n">
        <x:f>ROUND(G48*504/1000,0)</x:f>
        <x:v>1</x:v>
      </x:c>
      <x:c r="I48"/>
      <x:c r="J48"/>
      <x:c r="K48"/>
    </x:row>
    <x:row r="49">
      <x:c r="A49" t="inlineStr">
        <x:is>
          <x:t xml:space="preserve">P</x:t>
        </x:is>
      </x:c>
      <x:c r="B49" t="inlineStr">
        <x:is>
          <x:t xml:space="preserve">Samooja</x:t>
        </x:is>
      </x:c>
      <x:c r="C49" t="inlineStr">
        <x:is>
          <x:t xml:space="preserve">Lecce</x:t>
        </x:is>
      </x:c>
      <x:c r="D49" t="inlineStr">
        <x:is>
          <x:t xml:space="preserve">Por</x:t>
        </x:is>
      </x:c>
      <x:c r="E49" t="inlineStr">
        <x:is>
          <x:t xml:space="preserve">Riserva / rotazione</x:t>
        </x:is>
      </x:c>
      <x:c r="F49" t="n">
        <x:v>1</x:v>
      </x:c>
      <x:c r="G49" t="n">
        <x:v>1</x:v>
      </x:c>
      <x:c r="H49" t="n">
        <x:f>ROUND(G49*504/1000,0)</x:f>
        <x:v>1</x:v>
      </x:c>
      <x:c r="I49"/>
      <x:c r="J49"/>
      <x:c r="K49"/>
    </x:row>
    <x:row r="50">
      <x:c r="A50" t="inlineStr">
        <x:is>
          <x:t xml:space="preserve">P</x:t>
        </x:is>
      </x:c>
      <x:c r="B50" t="inlineStr">
        <x:is>
          <x:t xml:space="preserve">Terracciano</x:t>
        </x:is>
      </x:c>
      <x:c r="C50" t="inlineStr">
        <x:is>
          <x:t xml:space="preserve">Milan</x:t>
        </x:is>
      </x:c>
      <x:c r="D50" t="inlineStr">
        <x:is>
          <x:t xml:space="preserve">Por</x:t>
        </x:is>
      </x:c>
      <x:c r="E50" t="inlineStr">
        <x:is>
          <x:t xml:space="preserve">Riserva / rotazione</x:t>
        </x:is>
      </x:c>
      <x:c r="F50" t="n">
        <x:v>1</x:v>
      </x:c>
      <x:c r="G50" t="n">
        <x:v>1</x:v>
      </x:c>
      <x:c r="H50" t="n">
        <x:f>ROUND(G50*504/1000,0)</x:f>
        <x:v>1</x:v>
      </x:c>
      <x:c r="I50"/>
      <x:c r="J50"/>
      <x:c r="K50"/>
    </x:row>
    <x:row r="51">
      <x:c r="A51" t="inlineStr">
        <x:is>
          <x:t xml:space="preserve">P</x:t>
        </x:is>
      </x:c>
      <x:c r="B51" t="inlineStr">
        <x:is>
          <x:t xml:space="preserve">Torriani</x:t>
        </x:is>
      </x:c>
      <x:c r="C51" t="inlineStr">
        <x:is>
          <x:t xml:space="preserve">Milan</x:t>
        </x:is>
      </x:c>
      <x:c r="D51" t="inlineStr">
        <x:is>
          <x:t xml:space="preserve">Por</x:t>
        </x:is>
      </x:c>
      <x:c r="E51" t="inlineStr">
        <x:is>
          <x:t xml:space="preserve">Riserva / rotazione</x:t>
        </x:is>
      </x:c>
      <x:c r="F51" t="n">
        <x:v>1</x:v>
      </x:c>
      <x:c r="G51" t="n">
        <x:v>1</x:v>
      </x:c>
      <x:c r="H51" t="n">
        <x:f>ROUND(G51*504/1000,0)</x:f>
        <x:v>1</x:v>
      </x:c>
      <x:c r="I51"/>
      <x:c r="J51"/>
      <x:c r="K51"/>
    </x:row>
    <x:row r="52">
      <x:c r="A52" t="inlineStr">
        <x:is>
          <x:t xml:space="preserve">P</x:t>
        </x:is>
      </x:c>
      <x:c r="B52" t="inlineStr">
        <x:is>
          <x:t xml:space="preserve">Pizzignacco</x:t>
        </x:is>
      </x:c>
      <x:c r="C52" t="inlineStr">
        <x:is>
          <x:t xml:space="preserve">Monza</x:t>
        </x:is>
      </x:c>
      <x:c r="D52" t="inlineStr">
        <x:is>
          <x:t xml:space="preserve">Por</x:t>
        </x:is>
      </x:c>
      <x:c r="E52" t="inlineStr">
        <x:is>
          <x:t xml:space="preserve">Riserva / rotazione</x:t>
        </x:is>
      </x:c>
      <x:c r="F52" t="n">
        <x:v>1</x:v>
      </x:c>
      <x:c r="G52" t="n">
        <x:v>1</x:v>
      </x:c>
      <x:c r="H52" t="n">
        <x:f>ROUND(G52*504/1000,0)</x:f>
        <x:v>1</x:v>
      </x:c>
      <x:c r="I52"/>
      <x:c r="J52"/>
      <x:c r="K52"/>
    </x:row>
    <x:row r="53">
      <x:c r="A53" t="inlineStr">
        <x:is>
          <x:t xml:space="preserve">P</x:t>
        </x:is>
      </x:c>
      <x:c r="B53" t="inlineStr">
        <x:is>
          <x:t xml:space="preserve">Strajnar</x:t>
        </x:is>
      </x:c>
      <x:c r="C53" t="inlineStr">
        <x:is>
          <x:t xml:space="preserve">Monza</x:t>
        </x:is>
      </x:c>
      <x:c r="D53" t="inlineStr">
        <x:is>
          <x:t xml:space="preserve">Por</x:t>
        </x:is>
      </x:c>
      <x:c r="E53" t="inlineStr">
        <x:is>
          <x:t xml:space="preserve">Riserva / rotazione</x:t>
        </x:is>
      </x:c>
      <x:c r="F53" t="n">
        <x:v>1</x:v>
      </x:c>
      <x:c r="G53" t="n">
        <x:v>1</x:v>
      </x:c>
      <x:c r="H53" t="n">
        <x:f>ROUND(G53*504/1000,0)</x:f>
        <x:v>1</x:v>
      </x:c>
      <x:c r="I53"/>
      <x:c r="J53"/>
      <x:c r="K53"/>
    </x:row>
    <x:row r="54">
      <x:c r="A54" t="inlineStr">
        <x:is>
          <x:t xml:space="preserve">P</x:t>
        </x:is>
      </x:c>
      <x:c r="B54" t="inlineStr">
        <x:is>
          <x:t xml:space="preserve">Contini</x:t>
        </x:is>
      </x:c>
      <x:c r="C54" t="inlineStr">
        <x:is>
          <x:t xml:space="preserve">Napoli</x:t>
        </x:is>
      </x:c>
      <x:c r="D54" t="inlineStr">
        <x:is>
          <x:t xml:space="preserve">Por</x:t>
        </x:is>
      </x:c>
      <x:c r="E54" t="inlineStr">
        <x:is>
          <x:t xml:space="preserve">Riserva / rotazione</x:t>
        </x:is>
      </x:c>
      <x:c r="F54" t="n">
        <x:v>1</x:v>
      </x:c>
      <x:c r="G54" t="n">
        <x:v>1</x:v>
      </x:c>
      <x:c r="H54" t="n">
        <x:f>ROUND(G54*504/1000,0)</x:f>
        <x:v>1</x:v>
      </x:c>
      <x:c r="I54"/>
      <x:c r="J54"/>
      <x:c r="K54"/>
    </x:row>
    <x:row r="55">
      <x:c r="A55" t="inlineStr">
        <x:is>
          <x:t xml:space="preserve">P</x:t>
        </x:is>
      </x:c>
      <x:c r="B55" t="inlineStr">
        <x:is>
          <x:t xml:space="preserve">Corvi</x:t>
        </x:is>
      </x:c>
      <x:c r="C55" t="inlineStr">
        <x:is>
          <x:t xml:space="preserve">Parma</x:t>
        </x:is>
      </x:c>
      <x:c r="D55" t="inlineStr">
        <x:is>
          <x:t xml:space="preserve">Por</x:t>
        </x:is>
      </x:c>
      <x:c r="E55" t="inlineStr">
        <x:is>
          <x:t xml:space="preserve">Titolare / ballottaggio</x:t>
        </x:is>
      </x:c>
      <x:c r="F55" t="n">
        <x:v>1</x:v>
      </x:c>
      <x:c r="G55" t="n">
        <x:v>1</x:v>
      </x:c>
      <x:c r="H55" t="n">
        <x:f>ROUND(G55*504/1000,0)</x:f>
        <x:v>1</x:v>
      </x:c>
      <x:c r="I55"/>
      <x:c r="J55"/>
      <x:c r="K55"/>
    </x:row>
    <x:row r="56">
      <x:c r="A56" t="inlineStr">
        <x:is>
          <x:t xml:space="preserve">P</x:t>
        </x:is>
      </x:c>
      <x:c r="B56" t="inlineStr">
        <x:is>
          <x:t xml:space="preserve">De Marzi</x:t>
        </x:is>
      </x:c>
      <x:c r="C56" t="inlineStr">
        <x:is>
          <x:t xml:space="preserve">Roma</x:t>
        </x:is>
      </x:c>
      <x:c r="D56" t="inlineStr">
        <x:is>
          <x:t xml:space="preserve">Por</x:t>
        </x:is>
      </x:c>
      <x:c r="E56" t="inlineStr">
        <x:is>
          <x:t xml:space="preserve">Riserva / rotazione</x:t>
        </x:is>
      </x:c>
      <x:c r="F56" t="n">
        <x:v>1</x:v>
      </x:c>
      <x:c r="G56" t="n">
        <x:v>1</x:v>
      </x:c>
      <x:c r="H56" t="n">
        <x:f>ROUND(G56*504/1000,0)</x:f>
        <x:v>1</x:v>
      </x:c>
      <x:c r="I56"/>
      <x:c r="J56"/>
      <x:c r="K56"/>
    </x:row>
    <x:row r="57">
      <x:c r="A57" t="inlineStr">
        <x:is>
          <x:t xml:space="preserve">P</x:t>
        </x:is>
      </x:c>
      <x:c r="B57" t="inlineStr">
        <x:is>
          <x:t xml:space="preserve">Gollini</x:t>
        </x:is>
      </x:c>
      <x:c r="C57" t="inlineStr">
        <x:is>
          <x:t xml:space="preserve">Roma</x:t>
        </x:is>
      </x:c>
      <x:c r="D57" t="inlineStr">
        <x:is>
          <x:t xml:space="preserve">Por</x:t>
        </x:is>
      </x:c>
      <x:c r="E57" t="inlineStr">
        <x:is>
          <x:t xml:space="preserve">Riserva / rotazione</x:t>
        </x:is>
      </x:c>
      <x:c r="F57" t="n">
        <x:v>1</x:v>
      </x:c>
      <x:c r="G57" t="n">
        <x:v>1</x:v>
      </x:c>
      <x:c r="H57" t="n">
        <x:f>ROUND(G57*504/1000,0)</x:f>
        <x:v>1</x:v>
      </x:c>
      <x:c r="I57"/>
      <x:c r="J57"/>
      <x:c r="K57"/>
    </x:row>
    <x:row r="58">
      <x:c r="A58" t="inlineStr">
        <x:is>
          <x:t xml:space="preserve">P</x:t>
        </x:is>
      </x:c>
      <x:c r="B58" t="inlineStr">
        <x:is>
          <x:t xml:space="preserve">Russo A.</x:t>
        </x:is>
      </x:c>
      <x:c r="C58" t="inlineStr">
        <x:is>
          <x:t xml:space="preserve">Sassuolo</x:t>
        </x:is>
      </x:c>
      <x:c r="D58" t="inlineStr">
        <x:is>
          <x:t xml:space="preserve">Por</x:t>
        </x:is>
      </x:c>
      <x:c r="E58" t="inlineStr">
        <x:is>
          <x:t xml:space="preserve">Riserva / rotazione</x:t>
        </x:is>
      </x:c>
      <x:c r="F58" t="n">
        <x:v>1</x:v>
      </x:c>
      <x:c r="G58" t="n">
        <x:v>1</x:v>
      </x:c>
      <x:c r="H58" t="n">
        <x:f>ROUND(G58*504/1000,0)</x:f>
        <x:v>1</x:v>
      </x:c>
      <x:c r="I58"/>
      <x:c r="J58"/>
      <x:c r="K58"/>
    </x:row>
    <x:row r="59">
      <x:c r="A59" t="inlineStr">
        <x:is>
          <x:t xml:space="preserve">P</x:t>
        </x:is>
      </x:c>
      <x:c r="B59" t="inlineStr">
        <x:is>
          <x:t xml:space="preserve">Turati</x:t>
        </x:is>
      </x:c>
      <x:c r="C59" t="inlineStr">
        <x:is>
          <x:t xml:space="preserve">Sassuolo</x:t>
        </x:is>
      </x:c>
      <x:c r="D59" t="inlineStr">
        <x:is>
          <x:t xml:space="preserve">Por</x:t>
        </x:is>
      </x:c>
      <x:c r="E59" t="inlineStr">
        <x:is>
          <x:t xml:space="preserve">Riserva / rotazione</x:t>
        </x:is>
      </x:c>
      <x:c r="F59" t="n">
        <x:v>1</x:v>
      </x:c>
      <x:c r="G59" t="n">
        <x:v>3</x:v>
      </x:c>
      <x:c r="H59" t="n">
        <x:f>ROUND(G59*504/1000,0)</x:f>
        <x:v>2</x:v>
      </x:c>
      <x:c r="I59"/>
      <x:c r="J59"/>
      <x:c r="K59"/>
    </x:row>
    <x:row r="60">
      <x:c r="A60" t="inlineStr">
        <x:is>
          <x:t xml:space="preserve">P</x:t>
        </x:is>
      </x:c>
      <x:c r="B60" t="inlineStr">
        <x:is>
          <x:t xml:space="preserve">Mascardi</x:t>
        </x:is>
      </x:c>
      <x:c r="C60" t="inlineStr">
        <x:is>
          <x:t xml:space="preserve">Torino</x:t>
        </x:is>
      </x:c>
      <x:c r="D60" t="inlineStr">
        <x:is>
          <x:t xml:space="preserve">Por</x:t>
        </x:is>
      </x:c>
      <x:c r="E60" t="inlineStr">
        <x:is>
          <x:t xml:space="preserve">Riserva / rotazione</x:t>
        </x:is>
      </x:c>
      <x:c r="F60" t="n">
        <x:v>1</x:v>
      </x:c>
      <x:c r="G60" t="n">
        <x:v>1</x:v>
      </x:c>
      <x:c r="H60" t="n">
        <x:f>ROUND(G60*504/1000,0)</x:f>
        <x:v>1</x:v>
      </x:c>
      <x:c r="I60"/>
      <x:c r="J60"/>
      <x:c r="K60"/>
    </x:row>
    <x:row r="61">
      <x:c r="A61" t="inlineStr">
        <x:is>
          <x:t xml:space="preserve">P</x:t>
        </x:is>
      </x:c>
      <x:c r="B61" t="inlineStr">
        <x:is>
          <x:t xml:space="preserve">Paleari</x:t>
        </x:is>
      </x:c>
      <x:c r="C61" t="inlineStr">
        <x:is>
          <x:t xml:space="preserve">Torino</x:t>
        </x:is>
      </x:c>
      <x:c r="D61" t="inlineStr">
        <x:is>
          <x:t xml:space="preserve">Por</x:t>
        </x:is>
      </x:c>
      <x:c r="E61" t="inlineStr">
        <x:is>
          <x:t xml:space="preserve">Riserva / rotazione</x:t>
        </x:is>
      </x:c>
      <x:c r="F61" t="n">
        <x:v>1</x:v>
      </x:c>
      <x:c r="G61" t="n">
        <x:v>1</x:v>
      </x:c>
      <x:c r="H61" t="n">
        <x:f>ROUND(G61*504/1000,0)</x:f>
        <x:v>1</x:v>
      </x:c>
      <x:c r="I61"/>
      <x:c r="J61"/>
      <x:c r="K61"/>
    </x:row>
    <x:row r="62">
      <x:c r="A62" t="inlineStr">
        <x:is>
          <x:t xml:space="preserve">P</x:t>
        </x:is>
      </x:c>
      <x:c r="B62" t="inlineStr">
        <x:is>
          <x:t xml:space="preserve">Siviero</x:t>
        </x:is>
      </x:c>
      <x:c r="C62" t="inlineStr">
        <x:is>
          <x:t xml:space="preserve">Torino</x:t>
        </x:is>
      </x:c>
      <x:c r="D62" t="inlineStr">
        <x:is>
          <x:t xml:space="preserve">Por</x:t>
        </x:is>
      </x:c>
      <x:c r="E62" t="inlineStr">
        <x:is>
          <x:t xml:space="preserve">Riserva / rotazione</x:t>
        </x:is>
      </x:c>
      <x:c r="F62" t="n">
        <x:v>1</x:v>
      </x:c>
      <x:c r="G62" t="n">
        <x:v>1</x:v>
      </x:c>
      <x:c r="H62" t="n">
        <x:f>ROUND(G62*504/1000,0)</x:f>
        <x:v>1</x:v>
      </x:c>
      <x:c r="I62"/>
      <x:c r="J62"/>
      <x:c r="K62"/>
    </x:row>
    <x:row r="63">
      <x:c r="A63" t="inlineStr">
        <x:is>
          <x:t xml:space="preserve">P</x:t>
        </x:is>
      </x:c>
      <x:c r="B63" t="inlineStr">
        <x:is>
          <x:t xml:space="preserve">Padelli</x:t>
        </x:is>
      </x:c>
      <x:c r="C63" t="inlineStr">
        <x:is>
          <x:t xml:space="preserve">Udinese</x:t>
        </x:is>
      </x:c>
      <x:c r="D63" t="inlineStr">
        <x:is>
          <x:t xml:space="preserve">Por</x:t>
        </x:is>
      </x:c>
      <x:c r="E63" t="inlineStr">
        <x:is>
          <x:t xml:space="preserve">Riserva / rotazione</x:t>
        </x:is>
      </x:c>
      <x:c r="F63" t="n">
        <x:v>1</x:v>
      </x:c>
      <x:c r="G63" t="n">
        <x:v>1</x:v>
      </x:c>
      <x:c r="H63" t="n">
        <x:f>ROUND(G63*504/1000,0)</x:f>
        <x:v>1</x:v>
      </x:c>
      <x:c r="I63"/>
      <x:c r="J63"/>
      <x:c r="K63"/>
    </x:row>
    <x:row r="64">
      <x:c r="A64" t="inlineStr">
        <x:is>
          <x:t xml:space="preserve">P</x:t>
        </x:is>
      </x:c>
      <x:c r="B64" t="inlineStr">
        <x:is>
          <x:t xml:space="preserve">Piana</x:t>
        </x:is>
      </x:c>
      <x:c r="C64" t="inlineStr">
        <x:is>
          <x:t xml:space="preserve">Udinese</x:t>
        </x:is>
      </x:c>
      <x:c r="D64" t="inlineStr">
        <x:is>
          <x:t xml:space="preserve">Por</x:t>
        </x:is>
      </x:c>
      <x:c r="E64" t="inlineStr">
        <x:is>
          <x:t xml:space="preserve">Riserva / rotazione</x:t>
        </x:is>
      </x:c>
      <x:c r="F64" t="n">
        <x:v>1</x:v>
      </x:c>
      <x:c r="G64" t="n">
        <x:v>1</x:v>
      </x:c>
      <x:c r="H64" t="n">
        <x:f>ROUND(G64*504/1000,0)</x:f>
        <x:v>1</x:v>
      </x:c>
      <x:c r="I64"/>
      <x:c r="J64"/>
      <x:c r="K64"/>
    </x:row>
    <x:row r="65">
      <x:c r="A65" t="inlineStr">
        <x:is>
          <x:t xml:space="preserve">P</x:t>
        </x:is>
      </x:c>
      <x:c r="B65" t="inlineStr">
        <x:is>
          <x:t xml:space="preserve">Grandi</x:t>
        </x:is>
      </x:c>
      <x:c r="C65" t="inlineStr">
        <x:is>
          <x:t xml:space="preserve">Venezia</x:t>
        </x:is>
      </x:c>
      <x:c r="D65" t="inlineStr">
        <x:is>
          <x:t xml:space="preserve">Por</x:t>
        </x:is>
      </x:c>
      <x:c r="E65" t="inlineStr">
        <x:is>
          <x:t xml:space="preserve">Riserva / rotazione</x:t>
        </x:is>
      </x:c>
      <x:c r="F65" t="n">
        <x:v>1</x:v>
      </x:c>
      <x:c r="G65" t="n">
        <x:v>1</x:v>
      </x:c>
      <x:c r="H65" t="n">
        <x:f>ROUND(G65*504/1000,0)</x:f>
        <x:v>1</x:v>
      </x:c>
      <x:c r="I65"/>
      <x:c r="J65"/>
      <x:c r="K65"/>
    </x:row>
    <x:row r="66">
      <x:c r="A66" t="inlineStr">
        <x:is>
          <x:t xml:space="preserve">P</x:t>
        </x:is>
      </x:c>
      <x:c r="B66" t="inlineStr">
        <x:is>
          <x:t xml:space="preserve">Pozzi</x:t>
        </x:is>
      </x:c>
      <x:c r="C66" t="inlineStr">
        <x:is>
          <x:t xml:space="preserve">Venezia</x:t>
        </x:is>
      </x:c>
      <x:c r="D66" t="inlineStr">
        <x:is>
          <x:t xml:space="preserve">Por</x:t>
        </x:is>
      </x:c>
      <x:c r="E66" t="inlineStr">
        <x:is>
          <x:t xml:space="preserve">Riserva / rotazione</x:t>
        </x:is>
      </x:c>
      <x:c r="F66" t="n">
        <x:v>1</x:v>
      </x:c>
      <x:c r="G66" t="n">
        <x:v>1</x:v>
      </x:c>
      <x:c r="H66" t="n">
        <x:f>ROUND(G66*504/1000,0)</x:f>
        <x:v>1</x:v>
      </x:c>
      <x:c r="I66"/>
      <x:c r="J66"/>
      <x:c r="K66"/>
    </x:row>
    <x:row r="67">
      <x:c r="A67"/>
      <x:c r="B67"/>
      <x:c r="C67"/>
      <x:c r="D67"/>
      <x:c r="E67"/>
      <x:c r="F67"/>
      <x:c r="G67"/>
      <x:c r="H67"/>
      <x:c r="I67"/>
      <x:c r="J67"/>
      <x:c r="K67"/>
    </x:row>
    <x:row r="68">
      <x:c r="A68" t="inlineStr">
        <x:is>
          <x:t xml:space="preserve">DIFENSORI</x:t>
        </x:is>
      </x:c>
      <x:c r="B68"/>
      <x:c r="C68"/>
      <x:c r="D68"/>
      <x:c r="E68"/>
      <x:c r="F68"/>
      <x:c r="G68"/>
      <x:c r="H68"/>
      <x:c r="I68"/>
      <x:c r="J68"/>
      <x:c r="K68"/>
    </x:row>
    <x:row r="69">
      <x:c r="A69" t="inlineStr">
        <x:is>
          <x:t xml:space="preserve">Ruolo</x:t>
        </x:is>
      </x:c>
      <x:c r="B69" t="inlineStr">
        <x:is>
          <x:t xml:space="preserve">Calciatore</x:t>
        </x:is>
      </x:c>
      <x:c r="C69" t="inlineStr">
        <x:is>
          <x:t xml:space="preserve">Squadra</x:t>
        </x:is>
      </x:c>
      <x:c r="D69" t="inlineStr">
        <x:is>
          <x:t xml:space="preserve">Posizione specifica</x:t>
        </x:is>
      </x:c>
      <x:c r="E69" t="inlineStr">
        <x:is>
          <x:t xml:space="preserve">Status</x:t>
        </x:is>
      </x:c>
      <x:c r="F69" t="inlineStr">
        <x:is>
          <x:t xml:space="preserve">Quotazione</x:t>
        </x:is>
      </x:c>
      <x:c r="G69" t="inlineStr">
        <x:is>
          <x:t xml:space="preserve">FVM / 1000</x:t>
        </x:is>
      </x:c>
      <x:c r="H69" t="inlineStr">
        <x:is>
          <x:t xml:space="preserve">FVM su 504</x:t>
        </x:is>
      </x:c>
      <x:c r="I69" t="inlineStr">
        <x:is>
          <x:t xml:space="preserve">Specialità</x:t>
        </x:is>
      </x:c>
      <x:c r="J69" t="inlineStr">
        <x:is>
          <x:t xml:space="preserve">Acquistato da</x:t>
        </x:is>
      </x:c>
      <x:c r="K69" t="inlineStr">
        <x:is>
          <x:t xml:space="preserve">Prezzo asta</x:t>
        </x:is>
      </x:c>
    </x:row>
    <x:row r="70">
      <x:c r="A70" t="inlineStr">
        <x:is>
          <x:t xml:space="preserve">D</x:t>
        </x:is>
      </x:c>
      <x:c r="B70" t="inlineStr">
        <x:is>
          <x:t xml:space="preserve">Dimarco</x:t>
        </x:is>
      </x:c>
      <x:c r="C70" t="inlineStr">
        <x:is>
          <x:t xml:space="preserve">Inter</x:t>
        </x:is>
      </x:c>
      <x:c r="D70" t="inlineStr">
        <x:is>
          <x:t xml:space="preserve">E;W</x:t>
        </x:is>
      </x:c>
      <x:c r="E70" t="inlineStr">
        <x:is>
          <x:t xml:space="preserve">Titolare</x:t>
        </x:is>
      </x:c>
      <x:c r="F70" t="n">
        <x:v>32</x:v>
      </x:c>
      <x:c r="G70" t="n">
        <x:v>265</x:v>
      </x:c>
      <x:c r="H70" t="n">
        <x:f>ROUND(G70*504/1000,0)</x:f>
        <x:v>134</x:v>
      </x:c>
      <x:c r="I70" t="inlineStr">
        <x:is>
          <x:t xml:space="preserve">Piazzati</x:t>
        </x:is>
      </x:c>
      <x:c r="J70"/>
      <x:c r="K70"/>
    </x:row>
    <x:row r="71">
      <x:c r="A71" t="inlineStr">
        <x:is>
          <x:t xml:space="preserve">D</x:t>
        </x:is>
      </x:c>
      <x:c r="B71" t="inlineStr">
        <x:is>
          <x:t xml:space="preserve">Wesley</x:t>
        </x:is>
      </x:c>
      <x:c r="C71" t="inlineStr">
        <x:is>
          <x:t xml:space="preserve">Roma</x:t>
        </x:is>
      </x:c>
      <x:c r="D71" t="inlineStr">
        <x:is>
          <x:t xml:space="preserve">E</x:t>
        </x:is>
      </x:c>
      <x:c r="E71" t="inlineStr">
        <x:is>
          <x:t xml:space="preserve">Titolare</x:t>
        </x:is>
      </x:c>
      <x:c r="F71" t="n">
        <x:v>17</x:v>
      </x:c>
      <x:c r="G71" t="n">
        <x:v>90</x:v>
      </x:c>
      <x:c r="H71" t="n">
        <x:f>ROUND(G71*504/1000,0)</x:f>
        <x:v>45</x:v>
      </x:c>
      <x:c r="I71"/>
      <x:c r="J71"/>
      <x:c r="K71"/>
    </x:row>
    <x:row r="72">
      <x:c r="A72" t="inlineStr">
        <x:is>
          <x:t xml:space="preserve">D</x:t>
        </x:is>
      </x:c>
      <x:c r="B72" t="inlineStr">
        <x:is>
          <x:t xml:space="preserve">Akanji</x:t>
        </x:is>
      </x:c>
      <x:c r="C72" t="inlineStr">
        <x:is>
          <x:t xml:space="preserve">Inter</x:t>
        </x:is>
      </x:c>
      <x:c r="D72" t="inlineStr">
        <x:is>
          <x:t xml:space="preserve">Dc</x:t>
        </x:is>
      </x:c>
      <x:c r="E72" t="inlineStr">
        <x:is>
          <x:t xml:space="preserve">Titolare</x:t>
        </x:is>
      </x:c>
      <x:c r="F72" t="n">
        <x:v>16</x:v>
      </x:c>
      <x:c r="G72" t="n">
        <x:v>55</x:v>
      </x:c>
      <x:c r="H72" t="n">
        <x:f>ROUND(G72*504/1000,0)</x:f>
        <x:v>28</x:v>
      </x:c>
      <x:c r="I72"/>
      <x:c r="J72"/>
      <x:c r="K72"/>
    </x:row>
    <x:row r="73">
      <x:c r="A73" t="inlineStr">
        <x:is>
          <x:t xml:space="preserve">D</x:t>
        </x:is>
      </x:c>
      <x:c r="B73" t="inlineStr">
        <x:is>
          <x:t xml:space="preserve">Bremer</x:t>
        </x:is>
      </x:c>
      <x:c r="C73" t="inlineStr">
        <x:is>
          <x:t xml:space="preserve">Juventus</x:t>
        </x:is>
      </x:c>
      <x:c r="D73" t="inlineStr">
        <x:is>
          <x:t xml:space="preserve">Dc</x:t>
        </x:is>
      </x:c>
      <x:c r="E73" t="inlineStr">
        <x:is>
          <x:t xml:space="preserve">Titolare</x:t>
        </x:is>
      </x:c>
      <x:c r="F73" t="n">
        <x:v>15</x:v>
      </x:c>
      <x:c r="G73" t="n">
        <x:v>50</x:v>
      </x:c>
      <x:c r="H73" t="n">
        <x:f>ROUND(G73*504/1000,0)</x:f>
        <x:v>25</x:v>
      </x:c>
      <x:c r="I73"/>
      <x:c r="J73"/>
      <x:c r="K73"/>
    </x:row>
    <x:row r="74">
      <x:c r="A74" t="inlineStr">
        <x:is>
          <x:t xml:space="preserve">D</x:t>
        </x:is>
      </x:c>
      <x:c r="B74" t="inlineStr">
        <x:is>
          <x:t xml:space="preserve">Mancini</x:t>
        </x:is>
      </x:c>
      <x:c r="C74" t="inlineStr">
        <x:is>
          <x:t xml:space="preserve">Roma</x:t>
        </x:is>
      </x:c>
      <x:c r="D74" t="inlineStr">
        <x:is>
          <x:t xml:space="preserve">Dc</x:t>
        </x:is>
      </x:c>
      <x:c r="E74" t="inlineStr">
        <x:is>
          <x:t xml:space="preserve">Titolare</x:t>
        </x:is>
      </x:c>
      <x:c r="F74" t="n">
        <x:v>15</x:v>
      </x:c>
      <x:c r="G74" t="n">
        <x:v>49</x:v>
      </x:c>
      <x:c r="H74" t="n">
        <x:f>ROUND(G74*504/1000,0)</x:f>
        <x:v>25</x:v>
      </x:c>
      <x:c r="I74"/>
      <x:c r="J74"/>
      <x:c r="K74"/>
    </x:row>
    <x:row r="75">
      <x:c r="A75" t="inlineStr">
        <x:is>
          <x:t xml:space="preserve">D</x:t>
        </x:is>
      </x:c>
      <x:c r="B75" t="inlineStr">
        <x:is>
          <x:t xml:space="preserve">Bastoni</x:t>
        </x:is>
      </x:c>
      <x:c r="C75" t="inlineStr">
        <x:is>
          <x:t xml:space="preserve">Inter</x:t>
        </x:is>
      </x:c>
      <x:c r="D75" t="inlineStr">
        <x:is>
          <x:t xml:space="preserve">Dc</x:t>
        </x:is>
      </x:c>
      <x:c r="E75" t="inlineStr">
        <x:is>
          <x:t xml:space="preserve">Titolare</x:t>
        </x:is>
      </x:c>
      <x:c r="F75" t="n">
        <x:v>14</x:v>
      </x:c>
      <x:c r="G75" t="n">
        <x:v>44</x:v>
      </x:c>
      <x:c r="H75" t="n">
        <x:f>ROUND(G75*504/1000,0)</x:f>
        <x:v>22</x:v>
      </x:c>
      <x:c r="I75"/>
      <x:c r="J75"/>
      <x:c r="K75"/>
    </x:row>
    <x:row r="76">
      <x:c r="A76" t="inlineStr">
        <x:is>
          <x:t xml:space="preserve">D</x:t>
        </x:is>
      </x:c>
      <x:c r="B76" t="inlineStr">
        <x:is>
          <x:t xml:space="preserve">Pavlovic</x:t>
        </x:is>
      </x:c>
      <x:c r="C76" t="inlineStr">
        <x:is>
          <x:t xml:space="preserve">Milan</x:t>
        </x:is>
      </x:c>
      <x:c r="D76" t="inlineStr">
        <x:is>
          <x:t xml:space="preserve">Dc</x:t>
        </x:is>
      </x:c>
      <x:c r="E76" t="inlineStr">
        <x:is>
          <x:t xml:space="preserve">Titolare</x:t>
        </x:is>
      </x:c>
      <x:c r="F76" t="n">
        <x:v>14</x:v>
      </x:c>
      <x:c r="G76" t="n">
        <x:v>48</x:v>
      </x:c>
      <x:c r="H76" t="n">
        <x:f>ROUND(G76*504/1000,0)</x:f>
        <x:v>24</x:v>
      </x:c>
      <x:c r="I76"/>
      <x:c r="J76"/>
      <x:c r="K76"/>
    </x:row>
    <x:row r="77">
      <x:c r="A77" t="inlineStr">
        <x:is>
          <x:t xml:space="preserve">D</x:t>
        </x:is>
      </x:c>
      <x:c r="B77" t="inlineStr">
        <x:is>
          <x:t xml:space="preserve">Rrahmani</x:t>
        </x:is>
      </x:c>
      <x:c r="C77" t="inlineStr">
        <x:is>
          <x:t xml:space="preserve">Napoli</x:t>
        </x:is>
      </x:c>
      <x:c r="D77" t="inlineStr">
        <x:is>
          <x:t xml:space="preserve">Dc</x:t>
        </x:is>
      </x:c>
      <x:c r="E77" t="inlineStr">
        <x:is>
          <x:t xml:space="preserve">Titolare</x:t>
        </x:is>
      </x:c>
      <x:c r="F77" t="n">
        <x:v>14</x:v>
      </x:c>
      <x:c r="G77" t="n">
        <x:v>47</x:v>
      </x:c>
      <x:c r="H77" t="n">
        <x:f>ROUND(G77*504/1000,0)</x:f>
        <x:v>24</x:v>
      </x:c>
      <x:c r="I77"/>
      <x:c r="J77"/>
      <x:c r="K77"/>
    </x:row>
    <x:row r="78">
      <x:c r="A78" t="inlineStr">
        <x:is>
          <x:t xml:space="preserve">D</x:t>
        </x:is>
      </x:c>
      <x:c r="B78" t="inlineStr">
        <x:is>
          <x:t xml:space="preserve">Kalulu</x:t>
        </x:is>
      </x:c>
      <x:c r="C78" t="inlineStr">
        <x:is>
          <x:t xml:space="preserve">Juventus</x:t>
        </x:is>
      </x:c>
      <x:c r="D78" t="inlineStr">
        <x:is>
          <x:t xml:space="preserve">Dd;Dc</x:t>
        </x:is>
      </x:c>
      <x:c r="E78" t="inlineStr">
        <x:is>
          <x:t xml:space="preserve">Titolare</x:t>
        </x:is>
      </x:c>
      <x:c r="F78" t="n">
        <x:v>13</x:v>
      </x:c>
      <x:c r="G78" t="n">
        <x:v>46</x:v>
      </x:c>
      <x:c r="H78" t="n">
        <x:f>ROUND(G78*504/1000,0)</x:f>
        <x:v>23</x:v>
      </x:c>
      <x:c r="I78"/>
      <x:c r="J78"/>
      <x:c r="K78"/>
    </x:row>
    <x:row r="79">
      <x:c r="A79" t="inlineStr">
        <x:is>
          <x:t xml:space="preserve">D</x:t>
        </x:is>
      </x:c>
      <x:c r="B79" t="inlineStr">
        <x:is>
          <x:t xml:space="preserve">N'Dicka</x:t>
        </x:is>
      </x:c>
      <x:c r="C79" t="inlineStr">
        <x:is>
          <x:t xml:space="preserve">Roma</x:t>
        </x:is>
      </x:c>
      <x:c r="D79" t="inlineStr">
        <x:is>
          <x:t xml:space="preserve">Dc</x:t>
        </x:is>
      </x:c>
      <x:c r="E79" t="inlineStr">
        <x:is>
          <x:t xml:space="preserve">Titolare</x:t>
        </x:is>
      </x:c>
      <x:c r="F79" t="n">
        <x:v>13</x:v>
      </x:c>
      <x:c r="G79" t="n">
        <x:v>44</x:v>
      </x:c>
      <x:c r="H79" t="n">
        <x:f>ROUND(G79*504/1000,0)</x:f>
        <x:v>22</x:v>
      </x:c>
      <x:c r="I79"/>
      <x:c r="J79"/>
      <x:c r="K79"/>
    </x:row>
    <x:row r="80">
      <x:c r="A80" t="inlineStr">
        <x:is>
          <x:t xml:space="preserve">D</x:t>
        </x:is>
      </x:c>
      <x:c r="B80" t="inlineStr">
        <x:is>
          <x:t xml:space="preserve">Solet</x:t>
        </x:is>
      </x:c>
      <x:c r="C80" t="inlineStr">
        <x:is>
          <x:t xml:space="preserve">Udinese</x:t>
        </x:is>
      </x:c>
      <x:c r="D80" t="inlineStr">
        <x:is>
          <x:t xml:space="preserve">Dc</x:t>
        </x:is>
      </x:c>
      <x:c r="E80" t="inlineStr">
        <x:is>
          <x:t xml:space="preserve">Titolare</x:t>
        </x:is>
      </x:c>
      <x:c r="F80" t="n">
        <x:v>13</x:v>
      </x:c>
      <x:c r="G80" t="n">
        <x:v>46</x:v>
      </x:c>
      <x:c r="H80" t="n">
        <x:f>ROUND(G80*504/1000,0)</x:f>
        <x:v>23</x:v>
      </x:c>
      <x:c r="I80" t="inlineStr">
        <x:is>
          <x:t xml:space="preserve">Rigorista</x:t>
        </x:is>
      </x:c>
      <x:c r="J80"/>
      <x:c r="K80"/>
    </x:row>
    <x:row r="81">
      <x:c r="A81" t="inlineStr">
        <x:is>
          <x:t xml:space="preserve">D</x:t>
        </x:is>
      </x:c>
      <x:c r="B81" t="inlineStr">
        <x:is>
          <x:t xml:space="preserve">Stones</x:t>
        </x:is>
      </x:c>
      <x:c r="C81" t="inlineStr">
        <x:is>
          <x:t xml:space="preserve">Inter</x:t>
        </x:is>
      </x:c>
      <x:c r="D81" t="inlineStr">
        <x:is>
          <x:t xml:space="preserve">Dc</x:t>
        </x:is>
      </x:c>
      <x:c r="E81" t="inlineStr">
        <x:is>
          <x:t xml:space="preserve">Ballottaggio</x:t>
        </x:is>
      </x:c>
      <x:c r="F81" t="n">
        <x:v>12</x:v>
      </x:c>
      <x:c r="G81" t="n">
        <x:v>38</x:v>
      </x:c>
      <x:c r="H81" t="n">
        <x:f>ROUND(G81*504/1000,0)</x:f>
        <x:v>19</x:v>
      </x:c>
      <x:c r="I81"/>
      <x:c r="J81"/>
      <x:c r="K81"/>
    </x:row>
    <x:row r="82">
      <x:c r="A82" t="inlineStr">
        <x:is>
          <x:t xml:space="preserve">D</x:t>
        </x:is>
      </x:c>
      <x:c r="B82" t="inlineStr">
        <x:is>
          <x:t xml:space="preserve">Gila</x:t>
        </x:is>
      </x:c>
      <x:c r="C82" t="inlineStr">
        <x:is>
          <x:t xml:space="preserve">Milan</x:t>
        </x:is>
      </x:c>
      <x:c r="D82" t="inlineStr">
        <x:is>
          <x:t xml:space="preserve">Dc</x:t>
        </x:is>
      </x:c>
      <x:c r="E82" t="inlineStr">
        <x:is>
          <x:t xml:space="preserve">Titolare</x:t>
        </x:is>
      </x:c>
      <x:c r="F82" t="n">
        <x:v>12</x:v>
      </x:c>
      <x:c r="G82" t="n">
        <x:v>31</x:v>
      </x:c>
      <x:c r="H82" t="n">
        <x:f>ROUND(G82*504/1000,0)</x:f>
        <x:v>16</x:v>
      </x:c>
      <x:c r="I82"/>
      <x:c r="J82"/>
      <x:c r="K82"/>
    </x:row>
    <x:row r="83">
      <x:c r="A83" t="inlineStr">
        <x:is>
          <x:t xml:space="preserve">D</x:t>
        </x:is>
      </x:c>
      <x:c r="B83" t="inlineStr">
        <x:is>
          <x:t xml:space="preserve">Di Lorenzo</x:t>
        </x:is>
      </x:c>
      <x:c r="C83" t="inlineStr">
        <x:is>
          <x:t xml:space="preserve">Napoli</x:t>
        </x:is>
      </x:c>
      <x:c r="D83" t="inlineStr">
        <x:is>
          <x:t xml:space="preserve">Dd;E</x:t>
        </x:is>
      </x:c>
      <x:c r="E83" t="inlineStr">
        <x:is>
          <x:t xml:space="preserve">Titolare</x:t>
        </x:is>
      </x:c>
      <x:c r="F83" t="n">
        <x:v>12</x:v>
      </x:c>
      <x:c r="G83" t="n">
        <x:v>40</x:v>
      </x:c>
      <x:c r="H83" t="n">
        <x:f>ROUND(G83*504/1000,0)</x:f>
        <x:v>20</x:v>
      </x:c>
      <x:c r="I83"/>
      <x:c r="J83"/>
      <x:c r="K83"/>
    </x:row>
    <x:row r="84">
      <x:c r="A84" t="inlineStr">
        <x:is>
          <x:t xml:space="preserve">D</x:t>
        </x:is>
      </x:c>
      <x:c r="B84" t="inlineStr">
        <x:is>
          <x:t xml:space="preserve">Ostigard</x:t>
        </x:is>
      </x:c>
      <x:c r="C84" t="inlineStr">
        <x:is>
          <x:t xml:space="preserve">Genoa</x:t>
        </x:is>
      </x:c>
      <x:c r="D84" t="inlineStr">
        <x:is>
          <x:t xml:space="preserve">Dc</x:t>
        </x:is>
      </x:c>
      <x:c r="E84" t="inlineStr">
        <x:is>
          <x:t xml:space="preserve">Titolare</x:t>
        </x:is>
      </x:c>
      <x:c r="F84" t="n">
        <x:v>11</x:v>
      </x:c>
      <x:c r="G84" t="n">
        <x:v>40</x:v>
      </x:c>
      <x:c r="H84" t="n">
        <x:f>ROUND(G84*504/1000,0)</x:f>
        <x:v>20</x:v>
      </x:c>
      <x:c r="I84" t="inlineStr">
        <x:is>
          <x:t xml:space="preserve">Rigorista</x:t>
        </x:is>
      </x:c>
      <x:c r="J84"/>
      <x:c r="K84"/>
    </x:row>
    <x:row r="85">
      <x:c r="A85" t="inlineStr">
        <x:is>
          <x:t xml:space="preserve">D</x:t>
        </x:is>
      </x:c>
      <x:c r="B85" t="inlineStr">
        <x:is>
          <x:t xml:space="preserve">Bisseck</x:t>
        </x:is>
      </x:c>
      <x:c r="C85" t="inlineStr">
        <x:is>
          <x:t xml:space="preserve">Inter</x:t>
        </x:is>
      </x:c>
      <x:c r="D85" t="inlineStr">
        <x:is>
          <x:t xml:space="preserve">Dc</x:t>
        </x:is>
      </x:c>
      <x:c r="E85" t="inlineStr">
        <x:is>
          <x:t xml:space="preserve">Titolare / ballottaggio</x:t>
        </x:is>
      </x:c>
      <x:c r="F85" t="n">
        <x:v>11</x:v>
      </x:c>
      <x:c r="G85" t="n">
        <x:v>33</x:v>
      </x:c>
      <x:c r="H85" t="n">
        <x:f>ROUND(G85*504/1000,0)</x:f>
        <x:v>17</x:v>
      </x:c>
      <x:c r="I85"/>
      <x:c r="J85"/>
      <x:c r="K85"/>
    </x:row>
    <x:row r="86">
      <x:c r="A86" t="inlineStr">
        <x:is>
          <x:t xml:space="preserve">D</x:t>
        </x:is>
      </x:c>
      <x:c r="B86" t="inlineStr">
        <x:is>
          <x:t xml:space="preserve">Scalvini</x:t>
        </x:is>
      </x:c>
      <x:c r="C86" t="inlineStr">
        <x:is>
          <x:t xml:space="preserve">Atalanta</x:t>
        </x:is>
      </x:c>
      <x:c r="D86" t="inlineStr">
        <x:is>
          <x:t xml:space="preserve">Dc</x:t>
        </x:is>
      </x:c>
      <x:c r="E86" t="inlineStr">
        <x:is>
          <x:t xml:space="preserve">Titolare</x:t>
        </x:is>
      </x:c>
      <x:c r="F86" t="n">
        <x:v>10</x:v>
      </x:c>
      <x:c r="G86" t="n">
        <x:v>28</x:v>
      </x:c>
      <x:c r="H86" t="n">
        <x:f>ROUND(G86*504/1000,0)</x:f>
        <x:v>14</x:v>
      </x:c>
      <x:c r="I86"/>
      <x:c r="J86"/>
      <x:c r="K86"/>
    </x:row>
    <x:row r="87">
      <x:c r="A87" t="inlineStr">
        <x:is>
          <x:t xml:space="preserve">D</x:t>
        </x:is>
      </x:c>
      <x:c r="B87" t="inlineStr">
        <x:is>
          <x:t xml:space="preserve">Ramon</x:t>
        </x:is>
      </x:c>
      <x:c r="C87" t="inlineStr">
        <x:is>
          <x:t xml:space="preserve">Como</x:t>
        </x:is>
      </x:c>
      <x:c r="D87" t="inlineStr">
        <x:is>
          <x:t xml:space="preserve">Dc</x:t>
        </x:is>
      </x:c>
      <x:c r="E87" t="inlineStr">
        <x:is>
          <x:t xml:space="preserve">Titolare</x:t>
        </x:is>
      </x:c>
      <x:c r="F87" t="n">
        <x:v>10</x:v>
      </x:c>
      <x:c r="G87" t="n">
        <x:v>32</x:v>
      </x:c>
      <x:c r="H87" t="n">
        <x:f>ROUND(G87*504/1000,0)</x:f>
        <x:v>16</x:v>
      </x:c>
      <x:c r="I87"/>
      <x:c r="J87"/>
      <x:c r="K87"/>
    </x:row>
    <x:row r="88">
      <x:c r="A88" t="inlineStr">
        <x:is>
          <x:t xml:space="preserve">D</x:t>
        </x:is>
      </x:c>
      <x:c r="B88" t="inlineStr">
        <x:is>
          <x:t xml:space="preserve">Dodò</x:t>
        </x:is>
      </x:c>
      <x:c r="C88" t="inlineStr">
        <x:is>
          <x:t xml:space="preserve">Fiorentina</x:t>
        </x:is>
      </x:c>
      <x:c r="D88" t="inlineStr">
        <x:is>
          <x:t xml:space="preserve">Dd;E</x:t>
        </x:is>
      </x:c>
      <x:c r="E88" t="inlineStr">
        <x:is>
          <x:t xml:space="preserve">Riserva / rotazione</x:t>
        </x:is>
      </x:c>
      <x:c r="F88" t="n">
        <x:v>10</x:v>
      </x:c>
      <x:c r="G88" t="n">
        <x:v>30</x:v>
      </x:c>
      <x:c r="H88" t="n">
        <x:f>ROUND(G88*504/1000,0)</x:f>
        <x:v>15</x:v>
      </x:c>
      <x:c r="I88"/>
      <x:c r="J88"/>
      <x:c r="K88"/>
    </x:row>
    <x:row r="89">
      <x:c r="A89" t="inlineStr">
        <x:is>
          <x:t xml:space="preserve">D</x:t>
        </x:is>
      </x:c>
      <x:c r="B89" t="inlineStr">
        <x:is>
          <x:t xml:space="preserve">Hermoso</x:t>
        </x:is>
      </x:c>
      <x:c r="C89" t="inlineStr">
        <x:is>
          <x:t xml:space="preserve">Roma</x:t>
        </x:is>
      </x:c>
      <x:c r="D89" t="inlineStr">
        <x:is>
          <x:t xml:space="preserve">Dc</x:t>
        </x:is>
      </x:c>
      <x:c r="E89" t="inlineStr">
        <x:is>
          <x:t xml:space="preserve">Titolare / ballottaggio</x:t>
        </x:is>
      </x:c>
      <x:c r="F89" t="n">
        <x:v>10</x:v>
      </x:c>
      <x:c r="G89" t="n">
        <x:v>26</x:v>
      </x:c>
      <x:c r="H89" t="n">
        <x:f>ROUND(G89*504/1000,0)</x:f>
        <x:v>13</x:v>
      </x:c>
      <x:c r="I89"/>
      <x:c r="J89"/>
      <x:c r="K89"/>
    </x:row>
    <x:row r="90">
      <x:c r="A90" t="inlineStr">
        <x:is>
          <x:t xml:space="preserve">D</x:t>
        </x:is>
      </x:c>
      <x:c r="B90" t="inlineStr">
        <x:is>
          <x:t xml:space="preserve">Vasquez</x:t>
        </x:is>
      </x:c>
      <x:c r="C90" t="inlineStr">
        <x:is>
          <x:t xml:space="preserve">Genoa</x:t>
        </x:is>
      </x:c>
      <x:c r="D90" t="inlineStr">
        <x:is>
          <x:t xml:space="preserve">Ds;Dc</x:t>
        </x:is>
      </x:c>
      <x:c r="E90" t="inlineStr">
        <x:is>
          <x:t xml:space="preserve">Titolare</x:t>
        </x:is>
      </x:c>
      <x:c r="F90" t="n">
        <x:v>9</x:v>
      </x:c>
      <x:c r="G90" t="n">
        <x:v>33</x:v>
      </x:c>
      <x:c r="H90" t="n">
        <x:f>ROUND(G90*504/1000,0)</x:f>
        <x:v>17</x:v>
      </x:c>
      <x:c r="I90"/>
      <x:c r="J90"/>
      <x:c r="K90"/>
    </x:row>
    <x:row r="91">
      <x:c r="A91" t="inlineStr">
        <x:is>
          <x:t xml:space="preserve">D</x:t>
        </x:is>
      </x:c>
      <x:c r="B91" t="inlineStr">
        <x:is>
          <x:t xml:space="preserve">Cambiaso</x:t>
        </x:is>
      </x:c>
      <x:c r="C91" t="inlineStr">
        <x:is>
          <x:t xml:space="preserve">Juventus</x:t>
        </x:is>
      </x:c>
      <x:c r="D91" t="inlineStr">
        <x:is>
          <x:t xml:space="preserve">Dd;Ds;E</x:t>
        </x:is>
      </x:c>
      <x:c r="E91" t="inlineStr">
        <x:is>
          <x:t xml:space="preserve">Ballottaggio</x:t>
        </x:is>
      </x:c>
      <x:c r="F91" t="n">
        <x:v>9</x:v>
      </x:c>
      <x:c r="G91" t="n">
        <x:v>27</x:v>
      </x:c>
      <x:c r="H91" t="n">
        <x:f>ROUND(G91*504/1000,0)</x:f>
        <x:v>14</x:v>
      </x:c>
      <x:c r="I91"/>
      <x:c r="J91"/>
      <x:c r="K91"/>
    </x:row>
    <x:row r="92">
      <x:c r="A92" t="inlineStr">
        <x:is>
          <x:t xml:space="preserve">D</x:t>
        </x:is>
      </x:c>
      <x:c r="B92" t="inlineStr">
        <x:is>
          <x:t xml:space="preserve">Hien</x:t>
        </x:is>
      </x:c>
      <x:c r="C92" t="inlineStr">
        <x:is>
          <x:t xml:space="preserve">Atalanta</x:t>
        </x:is>
      </x:c>
      <x:c r="D92" t="inlineStr">
        <x:is>
          <x:t xml:space="preserve">Dc</x:t>
        </x:is>
      </x:c>
      <x:c r="E92" t="inlineStr">
        <x:is>
          <x:t xml:space="preserve">Ballottaggio</x:t>
        </x:is>
      </x:c>
      <x:c r="F92" t="n">
        <x:v>8</x:v>
      </x:c>
      <x:c r="G92" t="n">
        <x:v>16</x:v>
      </x:c>
      <x:c r="H92" t="n">
        <x:f>ROUND(G92*504/1000,0)</x:f>
        <x:v>8</x:v>
      </x:c>
      <x:c r="I92"/>
      <x:c r="J92"/>
      <x:c r="K92"/>
    </x:row>
    <x:row r="93">
      <x:c r="A93" t="inlineStr">
        <x:is>
          <x:t xml:space="preserve">D</x:t>
        </x:is>
      </x:c>
      <x:c r="B93" t="inlineStr">
        <x:is>
          <x:t xml:space="preserve">Zappacosta</x:t>
        </x:is>
      </x:c>
      <x:c r="C93" t="inlineStr">
        <x:is>
          <x:t xml:space="preserve">Atalanta</x:t>
        </x:is>
      </x:c>
      <x:c r="D93" t="inlineStr">
        <x:is>
          <x:t xml:space="preserve">Dd;E</x:t>
        </x:is>
      </x:c>
      <x:c r="E93" t="inlineStr">
        <x:is>
          <x:t xml:space="preserve">Ballottaggio</x:t>
        </x:is>
      </x:c>
      <x:c r="F93" t="n">
        <x:v>8</x:v>
      </x:c>
      <x:c r="G93" t="n">
        <x:v>24</x:v>
      </x:c>
      <x:c r="H93" t="n">
        <x:f>ROUND(G93*504/1000,0)</x:f>
        <x:v>12</x:v>
      </x:c>
      <x:c r="I93"/>
      <x:c r="J93"/>
      <x:c r="K93"/>
    </x:row>
    <x:row r="94">
      <x:c r="A94" t="inlineStr">
        <x:is>
          <x:t xml:space="preserve">D</x:t>
        </x:is>
      </x:c>
      <x:c r="B94" t="inlineStr">
        <x:is>
          <x:t xml:space="preserve">Lucumì</x:t>
        </x:is>
      </x:c>
      <x:c r="C94" t="inlineStr">
        <x:is>
          <x:t xml:space="preserve">Bologna</x:t>
        </x:is>
      </x:c>
      <x:c r="D94" t="inlineStr">
        <x:is>
          <x:t xml:space="preserve">Dc</x:t>
        </x:is>
      </x:c>
      <x:c r="E94" t="inlineStr">
        <x:is>
          <x:t xml:space="preserve">Riserva / rotazione</x:t>
        </x:is>
      </x:c>
      <x:c r="F94" t="n">
        <x:v>8</x:v>
      </x:c>
      <x:c r="G94" t="n">
        <x:v>18</x:v>
      </x:c>
      <x:c r="H94" t="n">
        <x:f>ROUND(G94*504/1000,0)</x:f>
        <x:v>9</x:v>
      </x:c>
      <x:c r="I94"/>
      <x:c r="J94"/>
      <x:c r="K94"/>
    </x:row>
    <x:row r="95">
      <x:c r="A95" t="inlineStr">
        <x:is>
          <x:t xml:space="preserve">D</x:t>
        </x:is>
      </x:c>
      <x:c r="B95" t="inlineStr">
        <x:is>
          <x:t xml:space="preserve">Miranda J.</x:t>
        </x:is>
      </x:c>
      <x:c r="C95" t="inlineStr">
        <x:is>
          <x:t xml:space="preserve">Bologna</x:t>
        </x:is>
      </x:c>
      <x:c r="D95" t="inlineStr">
        <x:is>
          <x:t xml:space="preserve">Ds;E</x:t>
        </x:is>
      </x:c>
      <x:c r="E95" t="inlineStr">
        <x:is>
          <x:t xml:space="preserve">Titolare</x:t>
        </x:is>
      </x:c>
      <x:c r="F95" t="n">
        <x:v>8</x:v>
      </x:c>
      <x:c r="G95" t="n">
        <x:v>24</x:v>
      </x:c>
      <x:c r="H95" t="n">
        <x:f>ROUND(G95*504/1000,0)</x:f>
        <x:v>12</x:v>
      </x:c>
      <x:c r="I95" t="inlineStr">
        <x:is>
          <x:t xml:space="preserve">Piazzati</x:t>
        </x:is>
      </x:c>
      <x:c r="J95"/>
      <x:c r="K95"/>
    </x:row>
    <x:row r="96">
      <x:c r="A96" t="inlineStr">
        <x:is>
          <x:t xml:space="preserve">D</x:t>
        </x:is>
      </x:c>
      <x:c r="B96" t="inlineStr">
        <x:is>
          <x:t xml:space="preserve">Mina</x:t>
        </x:is>
      </x:c>
      <x:c r="C96" t="inlineStr">
        <x:is>
          <x:t xml:space="preserve">Cagliari</x:t>
        </x:is>
      </x:c>
      <x:c r="D96" t="inlineStr">
        <x:is>
          <x:t xml:space="preserve">Dc</x:t>
        </x:is>
      </x:c>
      <x:c r="E96" t="inlineStr">
        <x:is>
          <x:t xml:space="preserve">Titolare</x:t>
        </x:is>
      </x:c>
      <x:c r="F96" t="n">
        <x:v>8</x:v>
      </x:c>
      <x:c r="G96" t="n">
        <x:v>20</x:v>
      </x:c>
      <x:c r="H96" t="n">
        <x:f>ROUND(G96*504/1000,0)</x:f>
        <x:v>10</x:v>
      </x:c>
      <x:c r="I96" t="inlineStr">
        <x:is>
          <x:t xml:space="preserve">Rigorista</x:t>
        </x:is>
      </x:c>
      <x:c r="J96"/>
      <x:c r="K96"/>
    </x:row>
    <x:row r="97">
      <x:c r="A97" t="inlineStr">
        <x:is>
          <x:t xml:space="preserve">D</x:t>
        </x:is>
      </x:c>
      <x:c r="B97" t="inlineStr">
        <x:is>
          <x:t xml:space="preserve">Dragusin</x:t>
        </x:is>
      </x:c>
      <x:c r="C97" t="inlineStr">
        <x:is>
          <x:t xml:space="preserve">Fiorentina</x:t>
        </x:is>
      </x:c>
      <x:c r="D97" t="inlineStr">
        <x:is>
          <x:t xml:space="preserve">Dc</x:t>
        </x:is>
      </x:c>
      <x:c r="E97" t="inlineStr">
        <x:is>
          <x:t xml:space="preserve">Titolare</x:t>
        </x:is>
      </x:c>
      <x:c r="F97" t="n">
        <x:v>8</x:v>
      </x:c>
      <x:c r="G97" t="n">
        <x:v>27</x:v>
      </x:c>
      <x:c r="H97" t="n">
        <x:f>ROUND(G97*504/1000,0)</x:f>
        <x:v>14</x:v>
      </x:c>
      <x:c r="I97"/>
      <x:c r="J97"/>
      <x:c r="K97"/>
    </x:row>
    <x:row r="98">
      <x:c r="A98" t="inlineStr">
        <x:is>
          <x:t xml:space="preserve">D</x:t>
        </x:is>
      </x:c>
      <x:c r="B98" t="inlineStr">
        <x:is>
          <x:t xml:space="preserve">Jimenez A.</x:t>
        </x:is>
      </x:c>
      <x:c r="C98" t="inlineStr">
        <x:is>
          <x:t xml:space="preserve">Fiorentina</x:t>
        </x:is>
      </x:c>
      <x:c r="D98" t="inlineStr">
        <x:is>
          <x:t xml:space="preserve">Dd;Ds;E</x:t>
        </x:is>
      </x:c>
      <x:c r="E98" t="inlineStr">
        <x:is>
          <x:t xml:space="preserve">Titolare / ballottaggio</x:t>
        </x:is>
      </x:c>
      <x:c r="F98" t="n">
        <x:v>8</x:v>
      </x:c>
      <x:c r="G98" t="n">
        <x:v>23</x:v>
      </x:c>
      <x:c r="H98" t="n">
        <x:f>ROUND(G98*504/1000,0)</x:f>
        <x:v>12</x:v>
      </x:c>
      <x:c r="I98"/>
      <x:c r="J98"/>
      <x:c r="K98"/>
    </x:row>
    <x:row r="99">
      <x:c r="A99" t="inlineStr">
        <x:is>
          <x:t xml:space="preserve">D</x:t>
        </x:is>
      </x:c>
      <x:c r="B99" t="inlineStr">
        <x:is>
          <x:t xml:space="preserve">Norton-Cuffy</x:t>
        </x:is>
      </x:c>
      <x:c r="C99" t="inlineStr">
        <x:is>
          <x:t xml:space="preserve">Genoa</x:t>
        </x:is>
      </x:c>
      <x:c r="D99" t="inlineStr">
        <x:is>
          <x:t xml:space="preserve">Dd;E</x:t>
        </x:is>
      </x:c>
      <x:c r="E99" t="inlineStr">
        <x:is>
          <x:t xml:space="preserve">Riserva / rotazione</x:t>
        </x:is>
      </x:c>
      <x:c r="F99" t="n">
        <x:v>8</x:v>
      </x:c>
      <x:c r="G99" t="n">
        <x:v>22</x:v>
      </x:c>
      <x:c r="H99" t="n">
        <x:f>ROUND(G99*504/1000,0)</x:f>
        <x:v>11</x:v>
      </x:c>
      <x:c r="I99"/>
      <x:c r="J99"/>
      <x:c r="K99"/>
    </x:row>
    <x:row r="100">
      <x:c r="A100" t="inlineStr">
        <x:is>
          <x:t xml:space="preserve">D</x:t>
        </x:is>
      </x:c>
      <x:c r="B100" t="inlineStr">
        <x:is>
          <x:t xml:space="preserve">Celik</x:t>
        </x:is>
      </x:c>
      <x:c r="C100" t="inlineStr">
        <x:is>
          <x:t xml:space="preserve">Juventus</x:t>
        </x:is>
      </x:c>
      <x:c r="D100" t="inlineStr">
        <x:is>
          <x:t xml:space="preserve">B;Dd;E</x:t>
        </x:is>
      </x:c>
      <x:c r="E100" t="inlineStr">
        <x:is>
          <x:t xml:space="preserve">Titolare / ballottaggio</x:t>
        </x:is>
      </x:c>
      <x:c r="F100" t="n">
        <x:v>8</x:v>
      </x:c>
      <x:c r="G100" t="n">
        <x:v>21</x:v>
      </x:c>
      <x:c r="H100" t="n">
        <x:f>ROUND(G100*504/1000,0)</x:f>
        <x:v>11</x:v>
      </x:c>
      <x:c r="I100"/>
      <x:c r="J100"/>
      <x:c r="K100"/>
    </x:row>
    <x:row r="101">
      <x:c r="A101" t="inlineStr">
        <x:is>
          <x:t xml:space="preserve">D</x:t>
        </x:is>
      </x:c>
      <x:c r="B101" t="inlineStr">
        <x:is>
          <x:t xml:space="preserve">Bartesaghi</x:t>
        </x:is>
      </x:c>
      <x:c r="C101" t="inlineStr">
        <x:is>
          <x:t xml:space="preserve">Milan</x:t>
        </x:is>
      </x:c>
      <x:c r="D101" t="inlineStr">
        <x:is>
          <x:t xml:space="preserve">Ds;E</x:t>
        </x:is>
      </x:c>
      <x:c r="E101" t="inlineStr">
        <x:is>
          <x:t xml:space="preserve">Titolare / ballottaggio</x:t>
        </x:is>
      </x:c>
      <x:c r="F101" t="n">
        <x:v>8</x:v>
      </x:c>
      <x:c r="G101" t="n">
        <x:v>25</x:v>
      </x:c>
      <x:c r="H101" t="n">
        <x:f>ROUND(G101*504/1000,0)</x:f>
        <x:v>13</x:v>
      </x:c>
      <x:c r="I101"/>
      <x:c r="J101"/>
      <x:c r="K101"/>
    </x:row>
    <x:row r="102">
      <x:c r="A102" t="inlineStr">
        <x:is>
          <x:t xml:space="preserve">D</x:t>
        </x:is>
      </x:c>
      <x:c r="B102" t="inlineStr">
        <x:is>
          <x:t xml:space="preserve">Gutierrez</x:t>
        </x:is>
      </x:c>
      <x:c r="C102" t="inlineStr">
        <x:is>
          <x:t xml:space="preserve">Napoli</x:t>
        </x:is>
      </x:c>
      <x:c r="D102" t="inlineStr">
        <x:is>
          <x:t xml:space="preserve">Ds;E</x:t>
        </x:is>
      </x:c>
      <x:c r="E102" t="inlineStr">
        <x:is>
          <x:t xml:space="preserve">Riserva / rotazione</x:t>
        </x:is>
      </x:c>
      <x:c r="F102" t="n">
        <x:v>8</x:v>
      </x:c>
      <x:c r="G102" t="n">
        <x:v>26</x:v>
      </x:c>
      <x:c r="H102" t="n">
        <x:f>ROUND(G102*504/1000,0)</x:f>
        <x:v>13</x:v>
      </x:c>
      <x:c r="I102"/>
      <x:c r="J102"/>
      <x:c r="K102"/>
    </x:row>
    <x:row r="103">
      <x:c r="A103" t="inlineStr">
        <x:is>
          <x:t xml:space="preserve">D</x:t>
        </x:is>
      </x:c>
      <x:c r="B103" t="inlineStr">
        <x:is>
          <x:t xml:space="preserve">Spinazzola</x:t>
        </x:is>
      </x:c>
      <x:c r="C103" t="inlineStr">
        <x:is>
          <x:t xml:space="preserve">Napoli</x:t>
        </x:is>
      </x:c>
      <x:c r="D103" t="inlineStr">
        <x:is>
          <x:t xml:space="preserve">Ds;E</x:t>
        </x:is>
      </x:c>
      <x:c r="E103" t="inlineStr">
        <x:is>
          <x:t xml:space="preserve">Titolare / ballottaggio</x:t>
        </x:is>
      </x:c>
      <x:c r="F103" t="n">
        <x:v>8</x:v>
      </x:c>
      <x:c r="G103" t="n">
        <x:v>24</x:v>
      </x:c>
      <x:c r="H103" t="n">
        <x:f>ROUND(G103*504/1000,0)</x:f>
        <x:v>12</x:v>
      </x:c>
      <x:c r="I103"/>
      <x:c r="J103"/>
      <x:c r="K103"/>
    </x:row>
    <x:row r="104">
      <x:c r="A104" t="inlineStr">
        <x:is>
          <x:t xml:space="preserve">D</x:t>
        </x:is>
      </x:c>
      <x:c r="B104" t="inlineStr">
        <x:is>
          <x:t xml:space="preserve">Delprato</x:t>
        </x:is>
      </x:c>
      <x:c r="C104" t="inlineStr">
        <x:is>
          <x:t xml:space="preserve">Parma</x:t>
        </x:is>
      </x:c>
      <x:c r="D104" t="inlineStr">
        <x:is>
          <x:t xml:space="preserve">B;Dd;E</x:t>
        </x:is>
      </x:c>
      <x:c r="E104" t="inlineStr">
        <x:is>
          <x:t xml:space="preserve">Titolare</x:t>
        </x:is>
      </x:c>
      <x:c r="F104" t="n">
        <x:v>8</x:v>
      </x:c>
      <x:c r="G104" t="n">
        <x:v>21</x:v>
      </x:c>
      <x:c r="H104" t="n">
        <x:f>ROUND(G104*504/1000,0)</x:f>
        <x:v>11</x:v>
      </x:c>
      <x:c r="I104"/>
      <x:c r="J104"/>
      <x:c r="K104"/>
    </x:row>
    <x:row r="105">
      <x:c r="A105" t="inlineStr">
        <x:is>
          <x:t xml:space="preserve">D</x:t>
        </x:is>
      </x:c>
      <x:c r="B105" t="inlineStr">
        <x:is>
          <x:t xml:space="preserve">Valeri</x:t>
        </x:is>
      </x:c>
      <x:c r="C105" t="inlineStr">
        <x:is>
          <x:t xml:space="preserve">Parma</x:t>
        </x:is>
      </x:c>
      <x:c r="D105" t="inlineStr">
        <x:is>
          <x:t xml:space="preserve">Ds;E</x:t>
        </x:is>
      </x:c>
      <x:c r="E105" t="inlineStr">
        <x:is>
          <x:t xml:space="preserve">Titolare</x:t>
        </x:is>
      </x:c>
      <x:c r="F105" t="n">
        <x:v>8</x:v>
      </x:c>
      <x:c r="G105" t="n">
        <x:v>24</x:v>
      </x:c>
      <x:c r="H105" t="n">
        <x:f>ROUND(G105*504/1000,0)</x:f>
        <x:v>12</x:v>
      </x:c>
      <x:c r="I105" t="inlineStr">
        <x:is>
          <x:t xml:space="preserve">Rigorista · Piazzati</x:t>
        </x:is>
      </x:c>
      <x:c r="J105"/>
      <x:c r="K105"/>
    </x:row>
    <x:row r="106">
      <x:c r="A106" t="inlineStr">
        <x:is>
          <x:t xml:space="preserve">D</x:t>
        </x:is>
      </x:c>
      <x:c r="B106" t="inlineStr">
        <x:is>
          <x:t xml:space="preserve">Koulierakis</x:t>
        </x:is>
      </x:c>
      <x:c r="C106" t="inlineStr">
        <x:is>
          <x:t xml:space="preserve">Roma</x:t>
        </x:is>
      </x:c>
      <x:c r="D106" t="inlineStr">
        <x:is>
          <x:t xml:space="preserve">Dc</x:t>
        </x:is>
      </x:c>
      <x:c r="E106" t="inlineStr">
        <x:is>
          <x:t xml:space="preserve">Ballottaggio</x:t>
        </x:is>
      </x:c>
      <x:c r="F106" t="n">
        <x:v>8</x:v>
      </x:c>
      <x:c r="G106" t="n">
        <x:v>20</x:v>
      </x:c>
      <x:c r="H106" t="n">
        <x:f>ROUND(G106*504/1000,0)</x:f>
        <x:v>10</x:v>
      </x:c>
      <x:c r="I106"/>
      <x:c r="J106"/>
      <x:c r="K106"/>
    </x:row>
    <x:row r="107">
      <x:c r="A107" t="inlineStr">
        <x:is>
          <x:t xml:space="preserve">D</x:t>
        </x:is>
      </x:c>
      <x:c r="B107" t="inlineStr">
        <x:is>
          <x:t xml:space="preserve">Vojvoda</x:t>
        </x:is>
      </x:c>
      <x:c r="C107" t="inlineStr">
        <x:is>
          <x:t xml:space="preserve">Udinese</x:t>
        </x:is>
      </x:c>
      <x:c r="D107" t="inlineStr">
        <x:is>
          <x:t xml:space="preserve">Dd;E</x:t>
        </x:is>
      </x:c>
      <x:c r="E107" t="inlineStr">
        <x:is>
          <x:t xml:space="preserve">Titolare</x:t>
        </x:is>
      </x:c>
      <x:c r="F107" t="n">
        <x:v>8</x:v>
      </x:c>
      <x:c r="G107" t="n">
        <x:v>19</x:v>
      </x:c>
      <x:c r="H107" t="n">
        <x:f>ROUND(G107*504/1000,0)</x:f>
        <x:v>10</x:v>
      </x:c>
      <x:c r="I107"/>
      <x:c r="J107"/>
      <x:c r="K107"/>
    </x:row>
    <x:row r="108">
      <x:c r="A108" t="inlineStr">
        <x:is>
          <x:t xml:space="preserve">D</x:t>
        </x:is>
      </x:c>
      <x:c r="B108" t="inlineStr">
        <x:is>
          <x:t xml:space="preserve">Djimsiti</x:t>
        </x:is>
      </x:c>
      <x:c r="C108" t="inlineStr">
        <x:is>
          <x:t xml:space="preserve">Atalanta</x:t>
        </x:is>
      </x:c>
      <x:c r="D108" t="inlineStr">
        <x:is>
          <x:t xml:space="preserve">Dc</x:t>
        </x:is>
      </x:c>
      <x:c r="E108" t="inlineStr">
        <x:is>
          <x:t xml:space="preserve">Riserva / rotazione</x:t>
        </x:is>
      </x:c>
      <x:c r="F108" t="n">
        <x:v>7</x:v>
      </x:c>
      <x:c r="G108" t="n">
        <x:v>16</x:v>
      </x:c>
      <x:c r="H108" t="n">
        <x:f>ROUND(G108*504/1000,0)</x:f>
        <x:v>8</x:v>
      </x:c>
      <x:c r="I108"/>
      <x:c r="J108"/>
      <x:c r="K108"/>
    </x:row>
    <x:row r="109">
      <x:c r="A109" t="inlineStr">
        <x:is>
          <x:t xml:space="preserve">D</x:t>
        </x:is>
      </x:c>
      <x:c r="B109" t="inlineStr">
        <x:is>
          <x:t xml:space="preserve">Obert</x:t>
        </x:is>
      </x:c>
      <x:c r="C109" t="inlineStr">
        <x:is>
          <x:t xml:space="preserve">Cagliari</x:t>
        </x:is>
      </x:c>
      <x:c r="D109" t="inlineStr">
        <x:is>
          <x:t xml:space="preserve">B;Ds;E</x:t>
        </x:is>
      </x:c>
      <x:c r="E109" t="inlineStr">
        <x:is>
          <x:t xml:space="preserve">Titolare</x:t>
        </x:is>
      </x:c>
      <x:c r="F109" t="n">
        <x:v>7</x:v>
      </x:c>
      <x:c r="G109" t="n">
        <x:v>14</x:v>
      </x:c>
      <x:c r="H109" t="n">
        <x:f>ROUND(G109*504/1000,0)</x:f>
        <x:v>7</x:v>
      </x:c>
      <x:c r="I109"/>
      <x:c r="J109"/>
      <x:c r="K109"/>
    </x:row>
    <x:row r="110">
      <x:c r="A110" t="inlineStr">
        <x:is>
          <x:t xml:space="preserve">D</x:t>
        </x:is>
      </x:c>
      <x:c r="B110" t="inlineStr">
        <x:is>
          <x:t xml:space="preserve">Kaiki</x:t>
        </x:is>
      </x:c>
      <x:c r="C110" t="inlineStr">
        <x:is>
          <x:t xml:space="preserve">Como</x:t>
        </x:is>
      </x:c>
      <x:c r="D110" t="inlineStr">
        <x:is>
          <x:t xml:space="preserve">Ds;E</x:t>
        </x:is>
      </x:c>
      <x:c r="E110" t="inlineStr">
        <x:is>
          <x:t xml:space="preserve">Ballottaggio</x:t>
        </x:is>
      </x:c>
      <x:c r="F110" t="n">
        <x:v>7</x:v>
      </x:c>
      <x:c r="G110" t="n">
        <x:v>23</x:v>
      </x:c>
      <x:c r="H110" t="n">
        <x:f>ROUND(G110*504/1000,0)</x:f>
        <x:v>12</x:v>
      </x:c>
      <x:c r="I110"/>
      <x:c r="J110"/>
      <x:c r="K110"/>
    </x:row>
    <x:row r="111">
      <x:c r="A111" t="inlineStr">
        <x:is>
          <x:t xml:space="preserve">D</x:t>
        </x:is>
      </x:c>
      <x:c r="B111" t="inlineStr">
        <x:is>
          <x:t xml:space="preserve">Carlos Augusto</x:t>
        </x:is>
      </x:c>
      <x:c r="C111" t="inlineStr">
        <x:is>
          <x:t xml:space="preserve">Inter</x:t>
        </x:is>
      </x:c>
      <x:c r="D111" t="inlineStr">
        <x:is>
          <x:t xml:space="preserve">B;Ds;E</x:t>
        </x:is>
      </x:c>
      <x:c r="E111" t="inlineStr">
        <x:is>
          <x:t xml:space="preserve">Riserva / rotazione</x:t>
        </x:is>
      </x:c>
      <x:c r="F111" t="n">
        <x:v>7</x:v>
      </x:c>
      <x:c r="G111" t="n">
        <x:v>27</x:v>
      </x:c>
      <x:c r="H111" t="n">
        <x:f>ROUND(G111*504/1000,0)</x:f>
        <x:v>14</x:v>
      </x:c>
      <x:c r="I111"/>
      <x:c r="J111"/>
      <x:c r="K111"/>
    </x:row>
    <x:row r="112">
      <x:c r="A112" t="inlineStr">
        <x:is>
          <x:t xml:space="preserve">D</x:t>
        </x:is>
      </x:c>
      <x:c r="B112" t="inlineStr">
        <x:is>
          <x:t xml:space="preserve">Doekhi</x:t>
        </x:is>
      </x:c>
      <x:c r="C112" t="inlineStr">
        <x:is>
          <x:t xml:space="preserve">Lazio</x:t>
        </x:is>
      </x:c>
      <x:c r="D112" t="inlineStr">
        <x:is>
          <x:t xml:space="preserve">Dc</x:t>
        </x:is>
      </x:c>
      <x:c r="E112" t="inlineStr">
        <x:is>
          <x:t xml:space="preserve">Ballottaggio</x:t>
        </x:is>
      </x:c>
      <x:c r="F112" t="n">
        <x:v>7</x:v>
      </x:c>
      <x:c r="G112" t="n">
        <x:v>22</x:v>
      </x:c>
      <x:c r="H112" t="n">
        <x:f>ROUND(G112*504/1000,0)</x:f>
        <x:v>11</x:v>
      </x:c>
      <x:c r="I112"/>
      <x:c r="J112"/>
      <x:c r="K112"/>
    </x:row>
    <x:row r="113">
      <x:c r="A113" t="inlineStr">
        <x:is>
          <x:t xml:space="preserve">D</x:t>
        </x:is>
      </x:c>
      <x:c r="B113" t="inlineStr">
        <x:is>
          <x:t xml:space="preserve">Romagnoli</x:t>
        </x:is>
      </x:c>
      <x:c r="C113" t="inlineStr">
        <x:is>
          <x:t xml:space="preserve">Lazio</x:t>
        </x:is>
      </x:c>
      <x:c r="D113" t="inlineStr">
        <x:is>
          <x:t xml:space="preserve">Dc</x:t>
        </x:is>
      </x:c>
      <x:c r="E113" t="inlineStr">
        <x:is>
          <x:t xml:space="preserve">Riserva / rotazione</x:t>
        </x:is>
      </x:c>
      <x:c r="F113" t="n">
        <x:v>7</x:v>
      </x:c>
      <x:c r="G113" t="n">
        <x:v>24</x:v>
      </x:c>
      <x:c r="H113" t="n">
        <x:f>ROUND(G113*504/1000,0)</x:f>
        <x:v>12</x:v>
      </x:c>
      <x:c r="I113"/>
      <x:c r="J113"/>
      <x:c r="K113"/>
    </x:row>
    <x:row r="114">
      <x:c r="A114" t="inlineStr">
        <x:is>
          <x:t xml:space="preserve">D</x:t>
        </x:is>
      </x:c>
      <x:c r="B114" t="inlineStr">
        <x:is>
          <x:t xml:space="preserve">Tiago Gabriel</x:t>
        </x:is>
      </x:c>
      <x:c r="C114" t="inlineStr">
        <x:is>
          <x:t xml:space="preserve">Lecce</x:t>
        </x:is>
      </x:c>
      <x:c r="D114" t="inlineStr">
        <x:is>
          <x:t xml:space="preserve">Dc</x:t>
        </x:is>
      </x:c>
      <x:c r="E114" t="inlineStr">
        <x:is>
          <x:t xml:space="preserve">Titolare</x:t>
        </x:is>
      </x:c>
      <x:c r="F114" t="n">
        <x:v>7</x:v>
      </x:c>
      <x:c r="G114" t="n">
        <x:v>17</x:v>
      </x:c>
      <x:c r="H114" t="n">
        <x:f>ROUND(G114*504/1000,0)</x:f>
        <x:v>9</x:v>
      </x:c>
      <x:c r="I114"/>
      <x:c r="J114"/>
      <x:c r="K114"/>
    </x:row>
    <x:row r="115">
      <x:c r="A115" t="inlineStr">
        <x:is>
          <x:t xml:space="preserve">D</x:t>
        </x:is>
      </x:c>
      <x:c r="B115" t="inlineStr">
        <x:is>
          <x:t xml:space="preserve">Gabbia</x:t>
        </x:is>
      </x:c>
      <x:c r="C115" t="inlineStr">
        <x:is>
          <x:t xml:space="preserve">Milan</x:t>
        </x:is>
      </x:c>
      <x:c r="D115" t="inlineStr">
        <x:is>
          <x:t xml:space="preserve">Dc</x:t>
        </x:is>
      </x:c>
      <x:c r="E115" t="inlineStr">
        <x:is>
          <x:t xml:space="preserve">Titolare / ballottaggio</x:t>
        </x:is>
      </x:c>
      <x:c r="F115" t="n">
        <x:v>7</x:v>
      </x:c>
      <x:c r="G115" t="n">
        <x:v>23</x:v>
      </x:c>
      <x:c r="H115" t="n">
        <x:f>ROUND(G115*504/1000,0)</x:f>
        <x:v>12</x:v>
      </x:c>
      <x:c r="I115"/>
      <x:c r="J115"/>
      <x:c r="K115"/>
    </x:row>
    <x:row r="116">
      <x:c r="A116" t="inlineStr">
        <x:is>
          <x:t xml:space="preserve">D</x:t>
        </x:is>
      </x:c>
      <x:c r="B116" t="inlineStr">
        <x:is>
          <x:t xml:space="preserve">Tomori</x:t>
        </x:is>
      </x:c>
      <x:c r="C116" t="inlineStr">
        <x:is>
          <x:t xml:space="preserve">Milan</x:t>
        </x:is>
      </x:c>
      <x:c r="D116" t="inlineStr">
        <x:is>
          <x:t xml:space="preserve">Dc</x:t>
        </x:is>
      </x:c>
      <x:c r="E116" t="inlineStr">
        <x:is>
          <x:t xml:space="preserve">Riserva / rotazione</x:t>
        </x:is>
      </x:c>
      <x:c r="F116" t="n">
        <x:v>7</x:v>
      </x:c>
      <x:c r="G116" t="n">
        <x:v>20</x:v>
      </x:c>
      <x:c r="H116" t="n">
        <x:f>ROUND(G116*504/1000,0)</x:f>
        <x:v>10</x:v>
      </x:c>
      <x:c r="I116"/>
      <x:c r="J116"/>
      <x:c r="K116"/>
    </x:row>
    <x:row r="117">
      <x:c r="A117" t="inlineStr">
        <x:is>
          <x:t xml:space="preserve">D</x:t>
        </x:is>
      </x:c>
      <x:c r="B117" t="inlineStr">
        <x:is>
          <x:t xml:space="preserve">Buongiorno</x:t>
        </x:is>
      </x:c>
      <x:c r="C117" t="inlineStr">
        <x:is>
          <x:t xml:space="preserve">Napoli</x:t>
        </x:is>
      </x:c>
      <x:c r="D117" t="inlineStr">
        <x:is>
          <x:t xml:space="preserve">Dc</x:t>
        </x:is>
      </x:c>
      <x:c r="E117" t="inlineStr">
        <x:is>
          <x:t xml:space="preserve">Ballottaggio</x:t>
        </x:is>
      </x:c>
      <x:c r="F117" t="n">
        <x:v>7</x:v>
      </x:c>
      <x:c r="G117" t="n">
        <x:v>18</x:v>
      </x:c>
      <x:c r="H117" t="n">
        <x:f>ROUND(G117*504/1000,0)</x:f>
        <x:v>9</x:v>
      </x:c>
      <x:c r="I117"/>
      <x:c r="J117"/>
      <x:c r="K117"/>
    </x:row>
    <x:row r="118">
      <x:c r="A118" t="inlineStr">
        <x:is>
          <x:t xml:space="preserve">D</x:t>
        </x:is>
      </x:c>
      <x:c r="B118" t="inlineStr">
        <x:is>
          <x:t xml:space="preserve">Idzes</x:t>
        </x:is>
      </x:c>
      <x:c r="C118" t="inlineStr">
        <x:is>
          <x:t xml:space="preserve">Sassuolo</x:t>
        </x:is>
      </x:c>
      <x:c r="D118" t="inlineStr">
        <x:is>
          <x:t xml:space="preserve">Dc</x:t>
        </x:is>
      </x:c>
      <x:c r="E118" t="inlineStr">
        <x:is>
          <x:t xml:space="preserve">Titolare</x:t>
        </x:is>
      </x:c>
      <x:c r="F118" t="n">
        <x:v>7</x:v>
      </x:c>
      <x:c r="G118" t="n">
        <x:v>1</x:v>
      </x:c>
      <x:c r="H118" t="n">
        <x:f>ROUND(G118*504/1000,0)</x:f>
        <x:v>1</x:v>
      </x:c>
      <x:c r="I118"/>
      <x:c r="J118"/>
      <x:c r="K118"/>
    </x:row>
    <x:row r="119">
      <x:c r="A119" t="inlineStr">
        <x:is>
          <x:t xml:space="preserve">D</x:t>
        </x:is>
      </x:c>
      <x:c r="B119" t="inlineStr">
        <x:is>
          <x:t xml:space="preserve">Coco</x:t>
        </x:is>
      </x:c>
      <x:c r="C119" t="inlineStr">
        <x:is>
          <x:t xml:space="preserve">Torino</x:t>
        </x:is>
      </x:c>
      <x:c r="D119" t="inlineStr">
        <x:is>
          <x:t xml:space="preserve">Dc</x:t>
        </x:is>
      </x:c>
      <x:c r="E119" t="inlineStr">
        <x:is>
          <x:t xml:space="preserve">Titolare / ballottaggio</x:t>
        </x:is>
      </x:c>
      <x:c r="F119" t="n">
        <x:v>7</x:v>
      </x:c>
      <x:c r="G119" t="n">
        <x:v>18</x:v>
      </x:c>
      <x:c r="H119" t="n">
        <x:f>ROUND(G119*504/1000,0)</x:f>
        <x:v>9</x:v>
      </x:c>
      <x:c r="I119"/>
      <x:c r="J119"/>
      <x:c r="K119"/>
    </x:row>
    <x:row r="120">
      <x:c r="A120" t="inlineStr">
        <x:is>
          <x:t xml:space="preserve">D</x:t>
        </x:is>
      </x:c>
      <x:c r="B120" t="inlineStr">
        <x:is>
          <x:t xml:space="preserve">Ismajli</x:t>
        </x:is>
      </x:c>
      <x:c r="C120" t="inlineStr">
        <x:is>
          <x:t xml:space="preserve">Torino</x:t>
        </x:is>
      </x:c>
      <x:c r="D120" t="inlineStr">
        <x:is>
          <x:t xml:space="preserve">Dc</x:t>
        </x:is>
      </x:c>
      <x:c r="E120" t="inlineStr">
        <x:is>
          <x:t xml:space="preserve">Ballottaggio</x:t>
        </x:is>
      </x:c>
      <x:c r="F120" t="n">
        <x:v>7</x:v>
      </x:c>
      <x:c r="G120" t="n">
        <x:v>18</x:v>
      </x:c>
      <x:c r="H120" t="n">
        <x:f>ROUND(G120*504/1000,0)</x:f>
        <x:v>9</x:v>
      </x:c>
      <x:c r="I120"/>
      <x:c r="J120"/>
      <x:c r="K120"/>
    </x:row>
    <x:row r="121">
      <x:c r="A121" t="inlineStr">
        <x:is>
          <x:t xml:space="preserve">D</x:t>
        </x:is>
      </x:c>
      <x:c r="B121" t="inlineStr">
        <x:is>
          <x:t xml:space="preserve">Kristensen T.</x:t>
        </x:is>
      </x:c>
      <x:c r="C121" t="inlineStr">
        <x:is>
          <x:t xml:space="preserve">Udinese</x:t>
        </x:is>
      </x:c>
      <x:c r="D121" t="inlineStr">
        <x:is>
          <x:t xml:space="preserve">Dd;Dc</x:t>
        </x:is>
      </x:c>
      <x:c r="E121" t="inlineStr">
        <x:is>
          <x:t xml:space="preserve">Riserva / rotazione</x:t>
        </x:is>
      </x:c>
      <x:c r="F121" t="n">
        <x:v>7</x:v>
      </x:c>
      <x:c r="G121" t="n">
        <x:v>15</x:v>
      </x:c>
      <x:c r="H121" t="n">
        <x:f>ROUND(G121*504/1000,0)</x:f>
        <x:v>8</x:v>
      </x:c>
      <x:c r="I121"/>
      <x:c r="J121"/>
      <x:c r="K121"/>
    </x:row>
    <x:row r="122">
      <x:c r="A122" t="inlineStr">
        <x:is>
          <x:t xml:space="preserve">D</x:t>
        </x:is>
      </x:c>
      <x:c r="B122" t="inlineStr">
        <x:is>
          <x:t xml:space="preserve">Ahanor</x:t>
        </x:is>
      </x:c>
      <x:c r="C122" t="inlineStr">
        <x:is>
          <x:t xml:space="preserve">Atalanta</x:t>
        </x:is>
      </x:c>
      <x:c r="D122" t="inlineStr">
        <x:is>
          <x:t xml:space="preserve">B;Ds;E</x:t>
        </x:is>
      </x:c>
      <x:c r="E122" t="inlineStr">
        <x:is>
          <x:t xml:space="preserve">Riserva / rotazione</x:t>
        </x:is>
      </x:c>
      <x:c r="F122" t="n">
        <x:v>6</x:v>
      </x:c>
      <x:c r="G122" t="n">
        <x:v>16</x:v>
      </x:c>
      <x:c r="H122" t="n">
        <x:f>ROUND(G122*504/1000,0)</x:f>
        <x:v>8</x:v>
      </x:c>
      <x:c r="I122"/>
      <x:c r="J122"/>
      <x:c r="K122"/>
    </x:row>
    <x:row r="123">
      <x:c r="A123" t="inlineStr">
        <x:is>
          <x:t xml:space="preserve">D</x:t>
        </x:is>
      </x:c>
      <x:c r="B123" t="inlineStr">
        <x:is>
          <x:t xml:space="preserve">Bellanova</x:t>
        </x:is>
      </x:c>
      <x:c r="C123" t="inlineStr">
        <x:is>
          <x:t xml:space="preserve">Atalanta</x:t>
        </x:is>
      </x:c>
      <x:c r="D123" t="inlineStr">
        <x:is>
          <x:t xml:space="preserve">Dd;E</x:t>
        </x:is>
      </x:c>
      <x:c r="E123" t="inlineStr">
        <x:is>
          <x:t xml:space="preserve">Titolare / ballottaggio</x:t>
        </x:is>
      </x:c>
      <x:c r="F123" t="n">
        <x:v>6</x:v>
      </x:c>
      <x:c r="G123" t="n">
        <x:v>15</x:v>
      </x:c>
      <x:c r="H123" t="n">
        <x:f>ROUND(G123*504/1000,0)</x:f>
        <x:v>8</x:v>
      </x:c>
      <x:c r="I123"/>
      <x:c r="J123"/>
      <x:c r="K123"/>
    </x:row>
    <x:row r="124">
      <x:c r="A124" t="inlineStr">
        <x:is>
          <x:t xml:space="preserve">D</x:t>
        </x:is>
      </x:c>
      <x:c r="B124" t="inlineStr">
        <x:is>
          <x:t xml:space="preserve">Bernasconi</x:t>
        </x:is>
      </x:c>
      <x:c r="C124" t="inlineStr">
        <x:is>
          <x:t xml:space="preserve">Atalanta</x:t>
        </x:is>
      </x:c>
      <x:c r="D124" t="inlineStr">
        <x:is>
          <x:t xml:space="preserve">Ds;E</x:t>
        </x:is>
      </x:c>
      <x:c r="E124" t="inlineStr">
        <x:is>
          <x:t xml:space="preserve">Titolare</x:t>
        </x:is>
      </x:c>
      <x:c r="F124" t="n">
        <x:v>6</x:v>
      </x:c>
      <x:c r="G124" t="n">
        <x:v>17</x:v>
      </x:c>
      <x:c r="H124" t="n">
        <x:f>ROUND(G124*504/1000,0)</x:f>
        <x:v>9</x:v>
      </x:c>
      <x:c r="I124"/>
      <x:c r="J124"/>
      <x:c r="K124"/>
    </x:row>
    <x:row r="125">
      <x:c r="A125" t="inlineStr">
        <x:is>
          <x:t xml:space="preserve">D</x:t>
        </x:is>
      </x:c>
      <x:c r="B125" t="inlineStr">
        <x:is>
          <x:t xml:space="preserve">Heggem</x:t>
        </x:is>
      </x:c>
      <x:c r="C125" t="inlineStr">
        <x:is>
          <x:t xml:space="preserve">Bologna</x:t>
        </x:is>
      </x:c>
      <x:c r="D125" t="inlineStr">
        <x:is>
          <x:t xml:space="preserve">Ds;Dc</x:t>
        </x:is>
      </x:c>
      <x:c r="E125" t="inlineStr">
        <x:is>
          <x:t xml:space="preserve">Titolare</x:t>
        </x:is>
      </x:c>
      <x:c r="F125" t="n">
        <x:v>6</x:v>
      </x:c>
      <x:c r="G125" t="n">
        <x:v>15</x:v>
      </x:c>
      <x:c r="H125" t="n">
        <x:f>ROUND(G125*504/1000,0)</x:f>
        <x:v>8</x:v>
      </x:c>
      <x:c r="I125"/>
      <x:c r="J125"/>
      <x:c r="K125"/>
    </x:row>
    <x:row r="126">
      <x:c r="A126" t="inlineStr">
        <x:is>
          <x:t xml:space="preserve">D</x:t>
        </x:is>
      </x:c>
      <x:c r="B126" t="inlineStr">
        <x:is>
          <x:t xml:space="preserve">Zortea</x:t>
        </x:is>
      </x:c>
      <x:c r="C126" t="inlineStr">
        <x:is>
          <x:t xml:space="preserve">Bologna</x:t>
        </x:is>
      </x:c>
      <x:c r="D126" t="inlineStr">
        <x:is>
          <x:t xml:space="preserve">Dd;E</x:t>
        </x:is>
      </x:c>
      <x:c r="E126" t="inlineStr">
        <x:is>
          <x:t xml:space="preserve">Titolare</x:t>
        </x:is>
      </x:c>
      <x:c r="F126" t="n">
        <x:v>6</x:v>
      </x:c>
      <x:c r="G126" t="n">
        <x:v>19</x:v>
      </x:c>
      <x:c r="H126" t="n">
        <x:f>ROUND(G126*504/1000,0)</x:f>
        <x:v>10</x:v>
      </x:c>
      <x:c r="I126"/>
      <x:c r="J126"/>
      <x:c r="K126"/>
    </x:row>
    <x:row r="127">
      <x:c r="A127" t="inlineStr">
        <x:is>
          <x:t xml:space="preserve">D</x:t>
        </x:is>
      </x:c>
      <x:c r="B127" t="inlineStr">
        <x:is>
          <x:t xml:space="preserve">Valle</x:t>
        </x:is>
      </x:c>
      <x:c r="C127" t="inlineStr">
        <x:is>
          <x:t xml:space="preserve">Como</x:t>
        </x:is>
      </x:c>
      <x:c r="D127" t="inlineStr">
        <x:is>
          <x:t xml:space="preserve">Ds;E</x:t>
        </x:is>
      </x:c>
      <x:c r="E127" t="inlineStr">
        <x:is>
          <x:t xml:space="preserve">Titolare / ballottaggio</x:t>
        </x:is>
      </x:c>
      <x:c r="F127" t="n">
        <x:v>6</x:v>
      </x:c>
      <x:c r="G127" t="n">
        <x:v>18</x:v>
      </x:c>
      <x:c r="H127" t="n">
        <x:f>ROUND(G127*504/1000,0)</x:f>
        <x:v>9</x:v>
      </x:c>
      <x:c r="I127"/>
      <x:c r="J127"/>
      <x:c r="K127"/>
    </x:row>
    <x:row r="128">
      <x:c r="A128" t="inlineStr">
        <x:is>
          <x:t xml:space="preserve">D</x:t>
        </x:is>
      </x:c>
      <x:c r="B128" t="inlineStr">
        <x:is>
          <x:t xml:space="preserve">Valdepenas</x:t>
        </x:is>
      </x:c>
      <x:c r="C128" t="inlineStr">
        <x:is>
          <x:t xml:space="preserve">Fiorentina</x:t>
        </x:is>
      </x:c>
      <x:c r="D128" t="inlineStr">
        <x:is>
          <x:t xml:space="preserve">Ds;Dc</x:t>
        </x:is>
      </x:c>
      <x:c r="E128" t="inlineStr">
        <x:is>
          <x:t xml:space="preserve">Titolare</x:t>
        </x:is>
      </x:c>
      <x:c r="F128" t="n">
        <x:v>6</x:v>
      </x:c>
      <x:c r="G128" t="n">
        <x:v>18</x:v>
      </x:c>
      <x:c r="H128" t="n">
        <x:f>ROUND(G128*504/1000,0)</x:f>
        <x:v>9</x:v>
      </x:c>
      <x:c r="I128"/>
      <x:c r="J128"/>
      <x:c r="K128"/>
    </x:row>
    <x:row r="129">
      <x:c r="A129" t="inlineStr">
        <x:is>
          <x:t xml:space="preserve">D</x:t>
        </x:is>
      </x:c>
      <x:c r="B129" t="inlineStr">
        <x:is>
          <x:t xml:space="preserve">Viery</x:t>
        </x:is>
      </x:c>
      <x:c r="C129" t="inlineStr">
        <x:is>
          <x:t xml:space="preserve">Fiorentina</x:t>
        </x:is>
      </x:c>
      <x:c r="D129" t="inlineStr">
        <x:is>
          <x:t xml:space="preserve">Ds;Dc</x:t>
        </x:is>
      </x:c>
      <x:c r="E129" t="inlineStr">
        <x:is>
          <x:t xml:space="preserve">Titolare / ballottaggio</x:t>
        </x:is>
      </x:c>
      <x:c r="F129" t="n">
        <x:v>6</x:v>
      </x:c>
      <x:c r="G129" t="n">
        <x:v>19</x:v>
      </x:c>
      <x:c r="H129" t="n">
        <x:f>ROUND(G129*504/1000,0)</x:f>
        <x:v>10</x:v>
      </x:c>
      <x:c r="I129"/>
      <x:c r="J129"/>
      <x:c r="K129"/>
    </x:row>
    <x:row r="130">
      <x:c r="A130" t="inlineStr">
        <x:is>
          <x:t xml:space="preserve">D</x:t>
        </x:is>
      </x:c>
      <x:c r="B130" t="inlineStr">
        <x:is>
          <x:t xml:space="preserve">Monterisi</x:t>
        </x:is>
      </x:c>
      <x:c r="C130" t="inlineStr">
        <x:is>
          <x:t xml:space="preserve">Frosinone</x:t>
        </x:is>
      </x:c>
      <x:c r="D130" t="inlineStr">
        <x:is>
          <x:t xml:space="preserve">Dc</x:t>
        </x:is>
      </x:c>
      <x:c r="E130" t="inlineStr">
        <x:is>
          <x:t xml:space="preserve">Titolare</x:t>
        </x:is>
      </x:c>
      <x:c r="F130" t="n">
        <x:v>6</x:v>
      </x:c>
      <x:c r="G130" t="n">
        <x:v>14</x:v>
      </x:c>
      <x:c r="H130" t="n">
        <x:f>ROUND(G130*504/1000,0)</x:f>
        <x:v>7</x:v>
      </x:c>
      <x:c r="I130"/>
      <x:c r="J130"/>
      <x:c r="K130"/>
    </x:row>
    <x:row r="131">
      <x:c r="A131" t="inlineStr">
        <x:is>
          <x:t xml:space="preserve">D</x:t>
        </x:is>
      </x:c>
      <x:c r="B131" t="inlineStr">
        <x:is>
          <x:t xml:space="preserve">Marcandalli</x:t>
        </x:is>
      </x:c>
      <x:c r="C131" t="inlineStr">
        <x:is>
          <x:t xml:space="preserve">Genoa</x:t>
        </x:is>
      </x:c>
      <x:c r="D131" t="inlineStr">
        <x:is>
          <x:t xml:space="preserve">Dc</x:t>
        </x:is>
      </x:c>
      <x:c r="E131" t="inlineStr">
        <x:is>
          <x:t xml:space="preserve">Titolare</x:t>
        </x:is>
      </x:c>
      <x:c r="F131" t="n">
        <x:v>6</x:v>
      </x:c>
      <x:c r="G131" t="n">
        <x:v>13</x:v>
      </x:c>
      <x:c r="H131" t="n">
        <x:f>ROUND(G131*504/1000,0)</x:f>
        <x:v>7</x:v>
      </x:c>
      <x:c r="I131"/>
      <x:c r="J131"/>
      <x:c r="K131"/>
    </x:row>
    <x:row r="132">
      <x:c r="A132" t="inlineStr">
        <x:is>
          <x:t xml:space="preserve">D</x:t>
        </x:is>
      </x:c>
      <x:c r="B132" t="inlineStr">
        <x:is>
          <x:t xml:space="preserve">Pavard</x:t>
        </x:is>
      </x:c>
      <x:c r="C132" t="inlineStr">
        <x:is>
          <x:t xml:space="preserve">Inter</x:t>
        </x:is>
      </x:c>
      <x:c r="D132" t="inlineStr">
        <x:is>
          <x:t xml:space="preserve">Dd;Dc</x:t>
        </x:is>
      </x:c>
      <x:c r="E132" t="inlineStr">
        <x:is>
          <x:t xml:space="preserve">Riserva / rotazione</x:t>
        </x:is>
      </x:c>
      <x:c r="F132" t="n">
        <x:v>6</x:v>
      </x:c>
      <x:c r="G132" t="n">
        <x:v>18</x:v>
      </x:c>
      <x:c r="H132" t="n">
        <x:f>ROUND(G132*504/1000,0)</x:f>
        <x:v>9</x:v>
      </x:c>
      <x:c r="I132"/>
      <x:c r="J132"/>
      <x:c r="K132"/>
    </x:row>
    <x:row r="133">
      <x:c r="A133" t="inlineStr">
        <x:is>
          <x:t xml:space="preserve">D</x:t>
        </x:is>
      </x:c>
      <x:c r="B133" t="inlineStr">
        <x:is>
          <x:t xml:space="preserve">Marusic</x:t>
        </x:is>
      </x:c>
      <x:c r="C133" t="inlineStr">
        <x:is>
          <x:t xml:space="preserve">Lazio</x:t>
        </x:is>
      </x:c>
      <x:c r="D133" t="inlineStr">
        <x:is>
          <x:t xml:space="preserve">Dd;Ds;E</x:t>
        </x:is>
      </x:c>
      <x:c r="E133" t="inlineStr">
        <x:is>
          <x:t xml:space="preserve">Titolare / ballottaggio</x:t>
        </x:is>
      </x:c>
      <x:c r="F133" t="n">
        <x:v>6</x:v>
      </x:c>
      <x:c r="G133" t="n">
        <x:v>20</x:v>
      </x:c>
      <x:c r="H133" t="n">
        <x:f>ROUND(G133*504/1000,0)</x:f>
        <x:v>10</x:v>
      </x:c>
      <x:c r="I133"/>
      <x:c r="J133"/>
      <x:c r="K133"/>
    </x:row>
    <x:row r="134">
      <x:c r="A134" t="inlineStr">
        <x:is>
          <x:t xml:space="preserve">D</x:t>
        </x:is>
      </x:c>
      <x:c r="B134" t="inlineStr">
        <x:is>
          <x:t xml:space="preserve">Tavares N.</x:t>
        </x:is>
      </x:c>
      <x:c r="C134" t="inlineStr">
        <x:is>
          <x:t xml:space="preserve">Lazio</x:t>
        </x:is>
      </x:c>
      <x:c r="D134" t="inlineStr">
        <x:is>
          <x:t xml:space="preserve">Ds;E</x:t>
        </x:is>
      </x:c>
      <x:c r="E134" t="inlineStr">
        <x:is>
          <x:t xml:space="preserve">Titolare / ballottaggio</x:t>
        </x:is>
      </x:c>
      <x:c r="F134" t="n">
        <x:v>6</x:v>
      </x:c>
      <x:c r="G134" t="n">
        <x:v>17</x:v>
      </x:c>
      <x:c r="H134" t="n">
        <x:f>ROUND(G134*504/1000,0)</x:f>
        <x:v>9</x:v>
      </x:c>
      <x:c r="I134"/>
      <x:c r="J134"/>
      <x:c r="K134"/>
    </x:row>
    <x:row r="135">
      <x:c r="A135" t="inlineStr">
        <x:is>
          <x:t xml:space="preserve">D</x:t>
        </x:is>
      </x:c>
      <x:c r="B135" t="inlineStr">
        <x:is>
          <x:t xml:space="preserve">Gallo</x:t>
        </x:is>
      </x:c>
      <x:c r="C135" t="inlineStr">
        <x:is>
          <x:t xml:space="preserve">Lecce</x:t>
        </x:is>
      </x:c>
      <x:c r="D135" t="inlineStr">
        <x:is>
          <x:t xml:space="preserve">Ds;E</x:t>
        </x:is>
      </x:c>
      <x:c r="E135" t="inlineStr">
        <x:is>
          <x:t xml:space="preserve">Titolare</x:t>
        </x:is>
      </x:c>
      <x:c r="F135" t="n">
        <x:v>6</x:v>
      </x:c>
      <x:c r="G135" t="n">
        <x:v>13</x:v>
      </x:c>
      <x:c r="H135" t="n">
        <x:f>ROUND(G135*504/1000,0)</x:f>
        <x:v>7</x:v>
      </x:c>
      <x:c r="I135" t="inlineStr">
        <x:is>
          <x:t xml:space="preserve">Piazzati</x:t>
        </x:is>
      </x:c>
      <x:c r="J135"/>
      <x:c r="K135"/>
    </x:row>
    <x:row r="136">
      <x:c r="A136" t="inlineStr">
        <x:is>
          <x:t xml:space="preserve">D</x:t>
        </x:is>
      </x:c>
      <x:c r="B136" t="inlineStr">
        <x:is>
          <x:t xml:space="preserve">Mangas</x:t>
        </x:is>
      </x:c>
      <x:c r="C136" t="inlineStr">
        <x:is>
          <x:t xml:space="preserve">Monza</x:t>
        </x:is>
      </x:c>
      <x:c r="D136" t="inlineStr">
        <x:is>
          <x:t xml:space="preserve">Ds;E</x:t>
        </x:is>
      </x:c>
      <x:c r="E136" t="inlineStr">
        <x:is>
          <x:t xml:space="preserve">Titolare</x:t>
        </x:is>
      </x:c>
      <x:c r="F136" t="n">
        <x:v>6</x:v>
      </x:c>
      <x:c r="G136" t="n">
        <x:v>15</x:v>
      </x:c>
      <x:c r="H136" t="n">
        <x:f>ROUND(G136*504/1000,0)</x:f>
        <x:v>8</x:v>
      </x:c>
      <x:c r="I136"/>
      <x:c r="J136"/>
      <x:c r="K136"/>
    </x:row>
    <x:row r="137">
      <x:c r="A137" t="inlineStr">
        <x:is>
          <x:t xml:space="preserve">D</x:t>
        </x:is>
      </x:c>
      <x:c r="B137" t="inlineStr">
        <x:is>
          <x:t xml:space="preserve">Beukema</x:t>
        </x:is>
      </x:c>
      <x:c r="C137" t="inlineStr">
        <x:is>
          <x:t xml:space="preserve">Napoli</x:t>
        </x:is>
      </x:c>
      <x:c r="D137" t="inlineStr">
        <x:is>
          <x:t xml:space="preserve">Dc</x:t>
        </x:is>
      </x:c>
      <x:c r="E137" t="inlineStr">
        <x:is>
          <x:t xml:space="preserve">Riserva / rotazione</x:t>
        </x:is>
      </x:c>
      <x:c r="F137" t="n">
        <x:v>6</x:v>
      </x:c>
      <x:c r="G137" t="n">
        <x:v>16</x:v>
      </x:c>
      <x:c r="H137" t="n">
        <x:f>ROUND(G137*504/1000,0)</x:f>
        <x:v>8</x:v>
      </x:c>
      <x:c r="I137"/>
      <x:c r="J137"/>
      <x:c r="K137"/>
    </x:row>
    <x:row r="138">
      <x:c r="A138" t="inlineStr">
        <x:is>
          <x:t xml:space="preserve">D</x:t>
        </x:is>
      </x:c>
      <x:c r="B138" t="inlineStr">
        <x:is>
          <x:t xml:space="preserve">Circati</x:t>
        </x:is>
      </x:c>
      <x:c r="C138" t="inlineStr">
        <x:is>
          <x:t xml:space="preserve">Parma</x:t>
        </x:is>
      </x:c>
      <x:c r="D138" t="inlineStr">
        <x:is>
          <x:t xml:space="preserve">Dc</x:t>
        </x:is>
      </x:c>
      <x:c r="E138" t="inlineStr">
        <x:is>
          <x:t xml:space="preserve">Riserva / rotazione</x:t>
        </x:is>
      </x:c>
      <x:c r="F138" t="n">
        <x:v>6</x:v>
      </x:c>
      <x:c r="G138" t="n">
        <x:v>18</x:v>
      </x:c>
      <x:c r="H138" t="n">
        <x:f>ROUND(G138*504/1000,0)</x:f>
        <x:v>9</x:v>
      </x:c>
      <x:c r="I138"/>
      <x:c r="J138"/>
      <x:c r="K138"/>
    </x:row>
    <x:row r="139">
      <x:c r="A139" t="inlineStr">
        <x:is>
          <x:t xml:space="preserve">D</x:t>
        </x:is>
      </x:c>
      <x:c r="B139" t="inlineStr">
        <x:is>
          <x:t xml:space="preserve">Comuzzo</x:t>
        </x:is>
      </x:c>
      <x:c r="C139" t="inlineStr">
        <x:is>
          <x:t xml:space="preserve">Torino</x:t>
        </x:is>
      </x:c>
      <x:c r="D139" t="inlineStr">
        <x:is>
          <x:t xml:space="preserve">Dc</x:t>
        </x:is>
      </x:c>
      <x:c r="E139" t="inlineStr">
        <x:is>
          <x:t xml:space="preserve">Titolare</x:t>
        </x:is>
      </x:c>
      <x:c r="F139" t="n">
        <x:v>6</x:v>
      </x:c>
      <x:c r="G139" t="n">
        <x:v>11</x:v>
      </x:c>
      <x:c r="H139" t="n">
        <x:f>ROUND(G139*504/1000,0)</x:f>
        <x:v>6</x:v>
      </x:c>
      <x:c r="I139"/>
      <x:c r="J139"/>
      <x:c r="K139"/>
    </x:row>
    <x:row r="140">
      <x:c r="A140" t="inlineStr">
        <x:is>
          <x:t xml:space="preserve">D</x:t>
        </x:is>
      </x:c>
      <x:c r="B140" t="inlineStr">
        <x:is>
          <x:t xml:space="preserve">Kamara H.</x:t>
        </x:is>
      </x:c>
      <x:c r="C140" t="inlineStr">
        <x:is>
          <x:t xml:space="preserve">Udinese</x:t>
        </x:is>
      </x:c>
      <x:c r="D140" t="inlineStr">
        <x:is>
          <x:t xml:space="preserve">Ds;E</x:t>
        </x:is>
      </x:c>
      <x:c r="E140" t="inlineStr">
        <x:is>
          <x:t xml:space="preserve">Titolare</x:t>
        </x:is>
      </x:c>
      <x:c r="F140" t="n">
        <x:v>6</x:v>
      </x:c>
      <x:c r="G140" t="n">
        <x:v>12</x:v>
      </x:c>
      <x:c r="H140" t="n">
        <x:f>ROUND(G140*504/1000,0)</x:f>
        <x:v>6</x:v>
      </x:c>
      <x:c r="I140"/>
      <x:c r="J140"/>
      <x:c r="K140"/>
    </x:row>
    <x:row r="141">
      <x:c r="A141" t="inlineStr">
        <x:is>
          <x:t xml:space="preserve">D</x:t>
        </x:is>
      </x:c>
      <x:c r="B141" t="inlineStr">
        <x:is>
          <x:t xml:space="preserve">Bella-Kotchap</x:t>
        </x:is>
      </x:c>
      <x:c r="C141" t="inlineStr">
        <x:is>
          <x:t xml:space="preserve">Venezia</x:t>
        </x:is>
      </x:c>
      <x:c r="D141" t="inlineStr">
        <x:is>
          <x:t xml:space="preserve">Dc</x:t>
        </x:is>
      </x:c>
      <x:c r="E141" t="inlineStr">
        <x:is>
          <x:t xml:space="preserve">Titolare</x:t>
        </x:is>
      </x:c>
      <x:c r="F141" t="n">
        <x:v>6</x:v>
      </x:c>
      <x:c r="G141" t="n">
        <x:v>13</x:v>
      </x:c>
      <x:c r="H141" t="n">
        <x:f>ROUND(G141*504/1000,0)</x:f>
        <x:v>7</x:v>
      </x:c>
      <x:c r="I141"/>
      <x:c r="J141"/>
      <x:c r="K141"/>
    </x:row>
    <x:row r="142">
      <x:c r="A142" t="inlineStr">
        <x:is>
          <x:t xml:space="preserve">D</x:t>
        </x:is>
      </x:c>
      <x:c r="B142" t="inlineStr">
        <x:is>
          <x:t xml:space="preserve">Kolasinac</x:t>
        </x:is>
      </x:c>
      <x:c r="C142" t="inlineStr">
        <x:is>
          <x:t xml:space="preserve">Atalanta</x:t>
        </x:is>
      </x:c>
      <x:c r="D142" t="inlineStr">
        <x:is>
          <x:t xml:space="preserve">Ds;Dc</x:t>
        </x:is>
      </x:c>
      <x:c r="E142" t="inlineStr">
        <x:is>
          <x:t xml:space="preserve">Riserva / rotazione</x:t>
        </x:is>
      </x:c>
      <x:c r="F142" t="n">
        <x:v>5</x:v>
      </x:c>
      <x:c r="G142" t="n">
        <x:v>12</x:v>
      </x:c>
      <x:c r="H142" t="n">
        <x:f>ROUND(G142*504/1000,0)</x:f>
        <x:v>6</x:v>
      </x:c>
      <x:c r="I142"/>
      <x:c r="J142"/>
      <x:c r="K142"/>
    </x:row>
    <x:row r="143">
      <x:c r="A143" t="inlineStr">
        <x:is>
          <x:t xml:space="preserve">D</x:t>
        </x:is>
      </x:c>
      <x:c r="B143" t="inlineStr">
        <x:is>
          <x:t xml:space="preserve">Holm</x:t>
        </x:is>
      </x:c>
      <x:c r="C143" t="inlineStr">
        <x:is>
          <x:t xml:space="preserve">Bologna</x:t>
        </x:is>
      </x:c>
      <x:c r="D143" t="inlineStr">
        <x:is>
          <x:t xml:space="preserve">Dd;E</x:t>
        </x:is>
      </x:c>
      <x:c r="E143" t="inlineStr">
        <x:is>
          <x:t xml:space="preserve">Riserva / rotazione</x:t>
        </x:is>
      </x:c>
      <x:c r="F143" t="n">
        <x:v>5</x:v>
      </x:c>
      <x:c r="G143" t="n">
        <x:v>13</x:v>
      </x:c>
      <x:c r="H143" t="n">
        <x:f>ROUND(G143*504/1000,0)</x:f>
        <x:v>7</x:v>
      </x:c>
      <x:c r="I143"/>
      <x:c r="J143"/>
      <x:c r="K143"/>
    </x:row>
    <x:row r="144">
      <x:c r="A144" t="inlineStr">
        <x:is>
          <x:t xml:space="preserve">D</x:t>
        </x:is>
      </x:c>
      <x:c r="B144" t="inlineStr">
        <x:is>
          <x:t xml:space="preserve">Vitik</x:t>
        </x:is>
      </x:c>
      <x:c r="C144" t="inlineStr">
        <x:is>
          <x:t xml:space="preserve">Bologna</x:t>
        </x:is>
      </x:c>
      <x:c r="D144" t="inlineStr">
        <x:is>
          <x:t xml:space="preserve">Dc</x:t>
        </x:is>
      </x:c>
      <x:c r="E144" t="inlineStr">
        <x:is>
          <x:t xml:space="preserve">Riserva / rotazione</x:t>
        </x:is>
      </x:c>
      <x:c r="F144" t="n">
        <x:v>5</x:v>
      </x:c>
      <x:c r="G144" t="n">
        <x:v>11</x:v>
      </x:c>
      <x:c r="H144" t="n">
        <x:f>ROUND(G144*504/1000,0)</x:f>
        <x:v>6</x:v>
      </x:c>
      <x:c r="I144"/>
      <x:c r="J144"/>
      <x:c r="K144"/>
    </x:row>
    <x:row r="145">
      <x:c r="A145" t="inlineStr">
        <x:is>
          <x:t xml:space="preserve">D</x:t>
        </x:is>
      </x:c>
      <x:c r="B145" t="inlineStr">
        <x:is>
          <x:t xml:space="preserve">Kofler</x:t>
        </x:is>
      </x:c>
      <x:c r="C145" t="inlineStr">
        <x:is>
          <x:t xml:space="preserve">Cagliari</x:t>
        </x:is>
      </x:c>
      <x:c r="D145" t="inlineStr">
        <x:is>
          <x:t xml:space="preserve">Dc</x:t>
        </x:is>
      </x:c>
      <x:c r="E145" t="inlineStr">
        <x:is>
          <x:t xml:space="preserve">Riserva / rotazione</x:t>
        </x:is>
      </x:c>
      <x:c r="F145" t="n">
        <x:v>5</x:v>
      </x:c>
      <x:c r="G145" t="n">
        <x:v>11</x:v>
      </x:c>
      <x:c r="H145" t="n">
        <x:f>ROUND(G145*504/1000,0)</x:f>
        <x:v>6</x:v>
      </x:c>
      <x:c r="I145"/>
      <x:c r="J145"/>
      <x:c r="K145"/>
    </x:row>
    <x:row r="146">
      <x:c r="A146" t="inlineStr">
        <x:is>
          <x:t xml:space="preserve">D</x:t>
        </x:is>
      </x:c>
      <x:c r="B146" t="inlineStr">
        <x:is>
          <x:t xml:space="preserve">Zè Pedro</x:t>
        </x:is>
      </x:c>
      <x:c r="C146" t="inlineStr">
        <x:is>
          <x:t xml:space="preserve">Cagliari</x:t>
        </x:is>
      </x:c>
      <x:c r="D146" t="inlineStr">
        <x:is>
          <x:t xml:space="preserve">Dd;Dc</x:t>
        </x:is>
      </x:c>
      <x:c r="E146" t="inlineStr">
        <x:is>
          <x:t xml:space="preserve">Titolare / ballottaggio</x:t>
        </x:is>
      </x:c>
      <x:c r="F146" t="n">
        <x:v>5</x:v>
      </x:c>
      <x:c r="G146" t="n">
        <x:v>11</x:v>
      </x:c>
      <x:c r="H146" t="n">
        <x:f>ROUND(G146*504/1000,0)</x:f>
        <x:v>6</x:v>
      </x:c>
      <x:c r="I146"/>
      <x:c r="J146"/>
      <x:c r="K146"/>
    </x:row>
    <x:row r="147">
      <x:c r="A147" t="inlineStr">
        <x:is>
          <x:t xml:space="preserve">D</x:t>
        </x:is>
      </x:c>
      <x:c r="B147" t="inlineStr">
        <x:is>
          <x:t xml:space="preserve">Kempf</x:t>
        </x:is>
      </x:c>
      <x:c r="C147" t="inlineStr">
        <x:is>
          <x:t xml:space="preserve">Como</x:t>
        </x:is>
      </x:c>
      <x:c r="D147" t="inlineStr">
        <x:is>
          <x:t xml:space="preserve">Dc</x:t>
        </x:is>
      </x:c>
      <x:c r="E147" t="inlineStr">
        <x:is>
          <x:t xml:space="preserve">Riserva / rotazione</x:t>
        </x:is>
      </x:c>
      <x:c r="F147" t="n">
        <x:v>5</x:v>
      </x:c>
      <x:c r="G147" t="n">
        <x:v>13</x:v>
      </x:c>
      <x:c r="H147" t="n">
        <x:f>ROUND(G147*504/1000,0)</x:f>
        <x:v>7</x:v>
      </x:c>
      <x:c r="I147"/>
      <x:c r="J147"/>
      <x:c r="K147"/>
    </x:row>
    <x:row r="148">
      <x:c r="A148" t="inlineStr">
        <x:is>
          <x:t xml:space="preserve">D</x:t>
        </x:is>
      </x:c>
      <x:c r="B148" t="inlineStr">
        <x:is>
          <x:t xml:space="preserve">Parisi</x:t>
        </x:is>
      </x:c>
      <x:c r="C148" t="inlineStr">
        <x:is>
          <x:t xml:space="preserve">Fiorentina</x:t>
        </x:is>
      </x:c>
      <x:c r="D148" t="inlineStr">
        <x:is>
          <x:t xml:space="preserve">Ds;E</x:t>
        </x:is>
      </x:c>
      <x:c r="E148" t="inlineStr">
        <x:is>
          <x:t xml:space="preserve">Riserva / rotazione</x:t>
        </x:is>
      </x:c>
      <x:c r="F148" t="n">
        <x:v>5</x:v>
      </x:c>
      <x:c r="G148" t="n">
        <x:v>12</x:v>
      </x:c>
      <x:c r="H148" t="n">
        <x:f>ROUND(G148*504/1000,0)</x:f>
        <x:v>6</x:v>
      </x:c>
      <x:c r="I148"/>
      <x:c r="J148"/>
      <x:c r="K148"/>
    </x:row>
    <x:row r="149">
      <x:c r="A149" t="inlineStr">
        <x:is>
          <x:t xml:space="preserve">D</x:t>
        </x:is>
      </x:c>
      <x:c r="B149" t="inlineStr">
        <x:is>
          <x:t xml:space="preserve">Bracaglia</x:t>
        </x:is>
      </x:c>
      <x:c r="C149" t="inlineStr">
        <x:is>
          <x:t xml:space="preserve">Frosinone</x:t>
        </x:is>
      </x:c>
      <x:c r="D149" t="inlineStr">
        <x:is>
          <x:t xml:space="preserve">Ds;Dc</x:t>
        </x:is>
      </x:c>
      <x:c r="E149" t="inlineStr">
        <x:is>
          <x:t xml:space="preserve">Titolare / ballottaggio</x:t>
        </x:is>
      </x:c>
      <x:c r="F149" t="n">
        <x:v>5</x:v>
      </x:c>
      <x:c r="G149" t="n">
        <x:v>11</x:v>
      </x:c>
      <x:c r="H149" t="n">
        <x:f>ROUND(G149*504/1000,0)</x:f>
        <x:v>6</x:v>
      </x:c>
      <x:c r="I149"/>
      <x:c r="J149"/>
      <x:c r="K149"/>
    </x:row>
    <x:row r="150">
      <x:c r="A150" t="inlineStr">
        <x:is>
          <x:t xml:space="preserve">D</x:t>
        </x:is>
      </x:c>
      <x:c r="B150" t="inlineStr">
        <x:is>
          <x:t xml:space="preserve">Oyono A.</x:t>
        </x:is>
      </x:c>
      <x:c r="C150" t="inlineStr">
        <x:is>
          <x:t xml:space="preserve">Frosinone</x:t>
        </x:is>
      </x:c>
      <x:c r="D150" t="inlineStr">
        <x:is>
          <x:t xml:space="preserve">Dd;E</x:t>
        </x:is>
      </x:c>
      <x:c r="E150" t="inlineStr">
        <x:is>
          <x:t xml:space="preserve">Ballottaggio</x:t>
        </x:is>
      </x:c>
      <x:c r="F150" t="n">
        <x:v>5</x:v>
      </x:c>
      <x:c r="G150" t="n">
        <x:v>12</x:v>
      </x:c>
      <x:c r="H150" t="n">
        <x:f>ROUND(G150*504/1000,0)</x:f>
        <x:v>6</x:v>
      </x:c>
      <x:c r="I150"/>
      <x:c r="J150"/>
      <x:c r="K150"/>
    </x:row>
    <x:row r="151">
      <x:c r="A151" t="inlineStr">
        <x:is>
          <x:t xml:space="preserve">D</x:t>
        </x:is>
      </x:c>
      <x:c r="B151" t="inlineStr">
        <x:is>
          <x:t xml:space="preserve">Martin</x:t>
        </x:is>
      </x:c>
      <x:c r="C151" t="inlineStr">
        <x:is>
          <x:t xml:space="preserve">Genoa</x:t>
        </x:is>
      </x:c>
      <x:c r="D151" t="inlineStr">
        <x:is>
          <x:t xml:space="preserve">Ds;E</x:t>
        </x:is>
      </x:c>
      <x:c r="E151" t="inlineStr">
        <x:is>
          <x:t xml:space="preserve">Riserva / rotazione</x:t>
        </x:is>
      </x:c>
      <x:c r="F151" t="n">
        <x:v>5</x:v>
      </x:c>
      <x:c r="G151" t="n">
        <x:v>15</x:v>
      </x:c>
      <x:c r="H151" t="n">
        <x:f>ROUND(G151*504/1000,0)</x:f>
        <x:v>8</x:v>
      </x:c>
      <x:c r="I151"/>
      <x:c r="J151"/>
      <x:c r="K151"/>
    </x:row>
    <x:row r="152">
      <x:c r="A152" t="inlineStr">
        <x:is>
          <x:t xml:space="preserve">D</x:t>
        </x:is>
      </x:c>
      <x:c r="B152" t="inlineStr">
        <x:is>
          <x:t xml:space="preserve">Kelly L.</x:t>
        </x:is>
      </x:c>
      <x:c r="C152" t="inlineStr">
        <x:is>
          <x:t xml:space="preserve">Juventus</x:t>
        </x:is>
      </x:c>
      <x:c r="D152" t="inlineStr">
        <x:is>
          <x:t xml:space="preserve">Ds;Dc</x:t>
        </x:is>
      </x:c>
      <x:c r="E152" t="inlineStr">
        <x:is>
          <x:t xml:space="preserve">Ballottaggio</x:t>
        </x:is>
      </x:c>
      <x:c r="F152" t="n">
        <x:v>5</x:v>
      </x:c>
      <x:c r="G152" t="n">
        <x:v>13</x:v>
      </x:c>
      <x:c r="H152" t="n">
        <x:f>ROUND(G152*504/1000,0)</x:f>
        <x:v>7</x:v>
      </x:c>
      <x:c r="I152"/>
      <x:c r="J152"/>
      <x:c r="K152"/>
    </x:row>
    <x:row r="153">
      <x:c r="A153" t="inlineStr">
        <x:is>
          <x:t xml:space="preserve">D</x:t>
        </x:is>
      </x:c>
      <x:c r="B153" t="inlineStr">
        <x:is>
          <x:t xml:space="preserve">Pedraza</x:t>
        </x:is>
      </x:c>
      <x:c r="C153" t="inlineStr">
        <x:is>
          <x:t xml:space="preserve">Lazio</x:t>
        </x:is>
      </x:c>
      <x:c r="D153" t="inlineStr">
        <x:is>
          <x:t xml:space="preserve">Ds;E</x:t>
        </x:is>
      </x:c>
      <x:c r="E153" t="inlineStr">
        <x:is>
          <x:t xml:space="preserve">Ballottaggio</x:t>
        </x:is>
      </x:c>
      <x:c r="F153" t="n">
        <x:v>5</x:v>
      </x:c>
      <x:c r="G153" t="n">
        <x:v>15</x:v>
      </x:c>
      <x:c r="H153" t="n">
        <x:f>ROUND(G153*504/1000,0)</x:f>
        <x:v>8</x:v>
      </x:c>
      <x:c r="I153"/>
      <x:c r="J153"/>
      <x:c r="K153"/>
    </x:row>
    <x:row r="154">
      <x:c r="A154" t="inlineStr">
        <x:is>
          <x:t xml:space="preserve">D</x:t>
        </x:is>
      </x:c>
      <x:c r="B154" t="inlineStr">
        <x:is>
          <x:t xml:space="preserve">Gaspar K.</x:t>
        </x:is>
      </x:c>
      <x:c r="C154" t="inlineStr">
        <x:is>
          <x:t xml:space="preserve">Lecce</x:t>
        </x:is>
      </x:c>
      <x:c r="D154" t="inlineStr">
        <x:is>
          <x:t xml:space="preserve">Dc</x:t>
        </x:is>
      </x:c>
      <x:c r="E154" t="inlineStr">
        <x:is>
          <x:t xml:space="preserve">Titolare</x:t>
        </x:is>
      </x:c>
      <x:c r="F154" t="n">
        <x:v>5</x:v>
      </x:c>
      <x:c r="G154" t="n">
        <x:v>12</x:v>
      </x:c>
      <x:c r="H154" t="n">
        <x:f>ROUND(G154*504/1000,0)</x:f>
        <x:v>6</x:v>
      </x:c>
      <x:c r="I154"/>
      <x:c r="J154"/>
      <x:c r="K154"/>
    </x:row>
    <x:row r="155">
      <x:c r="A155" t="inlineStr">
        <x:is>
          <x:t xml:space="preserve">D</x:t>
        </x:is>
      </x:c>
      <x:c r="B155" t="inlineStr">
        <x:is>
          <x:t xml:space="preserve">Veiga D.</x:t>
        </x:is>
      </x:c>
      <x:c r="C155" t="inlineStr">
        <x:is>
          <x:t xml:space="preserve">Lecce</x:t>
        </x:is>
      </x:c>
      <x:c r="D155" t="inlineStr">
        <x:is>
          <x:t xml:space="preserve">Dd;E</x:t>
        </x:is>
      </x:c>
      <x:c r="E155" t="inlineStr">
        <x:is>
          <x:t xml:space="preserve">Titolare</x:t>
        </x:is>
      </x:c>
      <x:c r="F155" t="n">
        <x:v>5</x:v>
      </x:c>
      <x:c r="G155" t="n">
        <x:v>11</x:v>
      </x:c>
      <x:c r="H155" t="n">
        <x:f>ROUND(G155*504/1000,0)</x:f>
        <x:v>6</x:v>
      </x:c>
      <x:c r="I155"/>
      <x:c r="J155"/>
      <x:c r="K155"/>
    </x:row>
    <x:row r="156">
      <x:c r="A156" t="inlineStr">
        <x:is>
          <x:t xml:space="preserve">D</x:t>
        </x:is>
      </x:c>
      <x:c r="B156" t="inlineStr">
        <x:is>
          <x:t xml:space="preserve">Olivera</x:t>
        </x:is>
      </x:c>
      <x:c r="C156" t="inlineStr">
        <x:is>
          <x:t xml:space="preserve">Napoli</x:t>
        </x:is>
      </x:c>
      <x:c r="D156" t="inlineStr">
        <x:is>
          <x:t xml:space="preserve">B;Ds;E</x:t>
        </x:is>
      </x:c>
      <x:c r="E156" t="inlineStr">
        <x:is>
          <x:t xml:space="preserve">Ballottaggio</x:t>
        </x:is>
      </x:c>
      <x:c r="F156" t="n">
        <x:v>5</x:v>
      </x:c>
      <x:c r="G156" t="n">
        <x:v>13</x:v>
      </x:c>
      <x:c r="H156" t="n">
        <x:f>ROUND(G156*504/1000,0)</x:f>
        <x:v>7</x:v>
      </x:c>
      <x:c r="I156"/>
      <x:c r="J156"/>
      <x:c r="K156"/>
    </x:row>
    <x:row r="157">
      <x:c r="A157" t="inlineStr">
        <x:is>
          <x:t xml:space="preserve">D</x:t>
        </x:is>
      </x:c>
      <x:c r="B157" t="inlineStr">
        <x:is>
          <x:t xml:space="preserve">Rensch</x:t>
        </x:is>
      </x:c>
      <x:c r="C157" t="inlineStr">
        <x:is>
          <x:t xml:space="preserve">Roma</x:t>
        </x:is>
      </x:c>
      <x:c r="D157" t="inlineStr">
        <x:is>
          <x:t xml:space="preserve">B;Dd;E</x:t>
        </x:is>
      </x:c>
      <x:c r="E157" t="inlineStr">
        <x:is>
          <x:t xml:space="preserve">Riserva / rotazione</x:t>
        </x:is>
      </x:c>
      <x:c r="F157" t="n">
        <x:v>5</x:v>
      </x:c>
      <x:c r="G157" t="n">
        <x:v>16</x:v>
      </x:c>
      <x:c r="H157" t="n">
        <x:f>ROUND(G157*504/1000,0)</x:f>
        <x:v>8</x:v>
      </x:c>
      <x:c r="I157"/>
      <x:c r="J157"/>
      <x:c r="K157"/>
    </x:row>
    <x:row r="158">
      <x:c r="A158" t="inlineStr">
        <x:is>
          <x:t xml:space="preserve">D</x:t>
        </x:is>
      </x:c>
      <x:c r="B158" t="inlineStr">
        <x:is>
          <x:t xml:space="preserve">Pedersen</x:t>
        </x:is>
      </x:c>
      <x:c r="C158" t="inlineStr">
        <x:is>
          <x:t xml:space="preserve">Torino</x:t>
        </x:is>
      </x:c>
      <x:c r="D158" t="inlineStr">
        <x:is>
          <x:t xml:space="preserve">Dd;E</x:t>
        </x:is>
      </x:c>
      <x:c r="E158" t="inlineStr">
        <x:is>
          <x:t xml:space="preserve">Riserva / rotazione</x:t>
        </x:is>
      </x:c>
      <x:c r="F158" t="n">
        <x:v>5</x:v>
      </x:c>
      <x:c r="G158" t="n">
        <x:v>13</x:v>
      </x:c>
      <x:c r="H158" t="n">
        <x:f>ROUND(G158*504/1000,0)</x:f>
        <x:v>7</x:v>
      </x:c>
      <x:c r="I158"/>
      <x:c r="J158"/>
      <x:c r="K158"/>
    </x:row>
    <x:row r="159">
      <x:c r="A159" t="inlineStr">
        <x:is>
          <x:t xml:space="preserve">D</x:t>
        </x:is>
      </x:c>
      <x:c r="B159" t="inlineStr">
        <x:is>
          <x:t xml:space="preserve">Haps</x:t>
        </x:is>
      </x:c>
      <x:c r="C159" t="inlineStr">
        <x:is>
          <x:t xml:space="preserve">Venezia</x:t>
        </x:is>
      </x:c>
      <x:c r="D159" t="inlineStr">
        <x:is>
          <x:t xml:space="preserve">Ds;E</x:t>
        </x:is>
      </x:c>
      <x:c r="E159" t="inlineStr">
        <x:is>
          <x:t xml:space="preserve">Titolare / ballottaggio</x:t>
        </x:is>
      </x:c>
      <x:c r="F159" t="n">
        <x:v>5</x:v>
      </x:c>
      <x:c r="G159" t="n">
        <x:v>11</x:v>
      </x:c>
      <x:c r="H159" t="n">
        <x:f>ROUND(G159*504/1000,0)</x:f>
        <x:v>6</x:v>
      </x:c>
      <x:c r="I159"/>
      <x:c r="J159"/>
      <x:c r="K159"/>
    </x:row>
    <x:row r="160">
      <x:c r="A160" t="inlineStr">
        <x:is>
          <x:t xml:space="preserve">D</x:t>
        </x:is>
      </x:c>
      <x:c r="B160" t="inlineStr">
        <x:is>
          <x:t xml:space="preserve">Moreno M.</x:t>
        </x:is>
      </x:c>
      <x:c r="C160" t="inlineStr">
        <x:is>
          <x:t xml:space="preserve">Venezia</x:t>
        </x:is>
      </x:c>
      <x:c r="D160" t="inlineStr">
        <x:is>
          <x:t xml:space="preserve">Dc</x:t>
        </x:is>
      </x:c>
      <x:c r="E160" t="inlineStr">
        <x:is>
          <x:t xml:space="preserve">Riserva / rotazione</x:t>
        </x:is>
      </x:c>
      <x:c r="F160" t="n">
        <x:v>5</x:v>
      </x:c>
      <x:c r="G160" t="n">
        <x:v>11</x:v>
      </x:c>
      <x:c r="H160" t="n">
        <x:f>ROUND(G160*504/1000,0)</x:f>
        <x:v>6</x:v>
      </x:c>
      <x:c r="I160"/>
      <x:c r="J160"/>
      <x:c r="K160"/>
    </x:row>
    <x:row r="161">
      <x:c r="A161" t="inlineStr">
        <x:is>
          <x:t xml:space="preserve">D</x:t>
        </x:is>
      </x:c>
      <x:c r="B161" t="inlineStr">
        <x:is>
          <x:t xml:space="preserve">Zappa</x:t>
        </x:is>
      </x:c>
      <x:c r="C161" t="inlineStr">
        <x:is>
          <x:t xml:space="preserve">Cagliari</x:t>
        </x:is>
      </x:c>
      <x:c r="D161" t="inlineStr">
        <x:is>
          <x:t xml:space="preserve">B;Dd;E</x:t>
        </x:is>
      </x:c>
      <x:c r="E161" t="inlineStr">
        <x:is>
          <x:t xml:space="preserve">Riserva / rotazione</x:t>
        </x:is>
      </x:c>
      <x:c r="F161" t="n">
        <x:v>4</x:v>
      </x:c>
      <x:c r="G161" t="n">
        <x:v>9</x:v>
      </x:c>
      <x:c r="H161" t="n">
        <x:f>ROUND(G161*504/1000,0)</x:f>
        <x:v>5</x:v>
      </x:c>
      <x:c r="I161"/>
      <x:c r="J161"/>
      <x:c r="K161"/>
    </x:row>
    <x:row r="162">
      <x:c r="A162" t="inlineStr">
        <x:is>
          <x:t xml:space="preserve">D</x:t>
        </x:is>
      </x:c>
      <x:c r="B162" t="inlineStr">
        <x:is>
          <x:t xml:space="preserve">Smolcic I.</x:t>
        </x:is>
      </x:c>
      <x:c r="C162" t="inlineStr">
        <x:is>
          <x:t xml:space="preserve">Como</x:t>
        </x:is>
      </x:c>
      <x:c r="D162" t="inlineStr">
        <x:is>
          <x:t xml:space="preserve">Dd;E</x:t>
        </x:is>
      </x:c>
      <x:c r="E162" t="inlineStr">
        <x:is>
          <x:t xml:space="preserve">Ballottaggio</x:t>
        </x:is>
      </x:c>
      <x:c r="F162" t="n">
        <x:v>4</x:v>
      </x:c>
      <x:c r="G162" t="n">
        <x:v>10</x:v>
      </x:c>
      <x:c r="H162" t="n">
        <x:f>ROUND(G162*504/1000,0)</x:f>
        <x:v>5</x:v>
      </x:c>
      <x:c r="I162"/>
      <x:c r="J162"/>
      <x:c r="K162"/>
    </x:row>
    <x:row r="163">
      <x:c r="A163" t="inlineStr">
        <x:is>
          <x:t xml:space="preserve">D</x:t>
        </x:is>
      </x:c>
      <x:c r="B163" t="inlineStr">
        <x:is>
          <x:t xml:space="preserve">Pongracic</x:t>
        </x:is>
      </x:c>
      <x:c r="C163" t="inlineStr">
        <x:is>
          <x:t xml:space="preserve">Fiorentina</x:t>
        </x:is>
      </x:c>
      <x:c r="D163" t="inlineStr">
        <x:is>
          <x:t xml:space="preserve">Dc</x:t>
        </x:is>
      </x:c>
      <x:c r="E163" t="inlineStr">
        <x:is>
          <x:t xml:space="preserve">Ballottaggio</x:t>
        </x:is>
      </x:c>
      <x:c r="F163" t="n">
        <x:v>4</x:v>
      </x:c>
      <x:c r="G163" t="n">
        <x:v>8</x:v>
      </x:c>
      <x:c r="H163" t="n">
        <x:f>ROUND(G163*504/1000,0)</x:f>
        <x:v>4</x:v>
      </x:c>
      <x:c r="I163"/>
      <x:c r="J163"/>
      <x:c r="K163"/>
    </x:row>
    <x:row r="164">
      <x:c r="A164" t="inlineStr">
        <x:is>
          <x:t xml:space="preserve">D</x:t>
        </x:is>
      </x:c>
      <x:c r="B164" t="inlineStr">
        <x:is>
          <x:t xml:space="preserve">Calvani</x:t>
        </x:is>
      </x:c>
      <x:c r="C164" t="inlineStr">
        <x:is>
          <x:t xml:space="preserve">Frosinone</x:t>
        </x:is>
      </x:c>
      <x:c r="D164" t="inlineStr">
        <x:is>
          <x:t xml:space="preserve">Dc</x:t>
        </x:is>
      </x:c>
      <x:c r="E164" t="inlineStr">
        <x:is>
          <x:t xml:space="preserve">Titolare</x:t>
        </x:is>
      </x:c>
      <x:c r="F164" t="n">
        <x:v>4</x:v>
      </x:c>
      <x:c r="G164" t="n">
        <x:v>10</x:v>
      </x:c>
      <x:c r="H164" t="n">
        <x:f>ROUND(G164*504/1000,0)</x:f>
        <x:v>5</x:v>
      </x:c>
      <x:c r="I164"/>
      <x:c r="J164"/>
      <x:c r="K164"/>
    </x:row>
    <x:row r="165">
      <x:c r="A165" t="inlineStr">
        <x:is>
          <x:t xml:space="preserve">D</x:t>
        </x:is>
      </x:c>
      <x:c r="B165" t="inlineStr">
        <x:is>
          <x:t xml:space="preserve">Mitaj</x:t>
        </x:is>
      </x:c>
      <x:c r="C165" t="inlineStr">
        <x:is>
          <x:t xml:space="preserve">Genoa</x:t>
        </x:is>
      </x:c>
      <x:c r="D165" t="inlineStr">
        <x:is>
          <x:t xml:space="preserve">Ds;E</x:t>
        </x:is>
      </x:c>
      <x:c r="E165" t="inlineStr">
        <x:is>
          <x:t xml:space="preserve">Titolare / ballottaggio</x:t>
        </x:is>
      </x:c>
      <x:c r="F165" t="n">
        <x:v>4</x:v>
      </x:c>
      <x:c r="G165" t="n">
        <x:v>9</x:v>
      </x:c>
      <x:c r="H165" t="n">
        <x:f>ROUND(G165*504/1000,0)</x:f>
        <x:v>5</x:v>
      </x:c>
      <x:c r="I165"/>
      <x:c r="J165"/>
      <x:c r="K165"/>
    </x:row>
    <x:row r="166">
      <x:c r="A166" t="inlineStr">
        <x:is>
          <x:t xml:space="preserve">D</x:t>
        </x:is>
      </x:c>
      <x:c r="B166" t="inlineStr">
        <x:is>
          <x:t xml:space="preserve">Gatti</x:t>
        </x:is>
      </x:c>
      <x:c r="C166" t="inlineStr">
        <x:is>
          <x:t xml:space="preserve">Juventus</x:t>
        </x:is>
      </x:c>
      <x:c r="D166" t="inlineStr">
        <x:is>
          <x:t xml:space="preserve">Dc</x:t>
        </x:is>
      </x:c>
      <x:c r="E166" t="inlineStr">
        <x:is>
          <x:t xml:space="preserve">Riserva / rotazione</x:t>
        </x:is>
      </x:c>
      <x:c r="F166" t="n">
        <x:v>4</x:v>
      </x:c>
      <x:c r="G166" t="n">
        <x:v>10</x:v>
      </x:c>
      <x:c r="H166" t="n">
        <x:f>ROUND(G166*504/1000,0)</x:f>
        <x:v>5</x:v>
      </x:c>
      <x:c r="I166"/>
      <x:c r="J166"/>
      <x:c r="K166"/>
    </x:row>
    <x:row r="167">
      <x:c r="A167" t="inlineStr">
        <x:is>
          <x:t xml:space="preserve">D</x:t>
        </x:is>
      </x:c>
      <x:c r="B167" t="inlineStr">
        <x:is>
          <x:t xml:space="preserve">Siebert</x:t>
        </x:is>
      </x:c>
      <x:c r="C167" t="inlineStr">
        <x:is>
          <x:t xml:space="preserve">Lecce</x:t>
        </x:is>
      </x:c>
      <x:c r="D167" t="inlineStr">
        <x:is>
          <x:t xml:space="preserve">Dc</x:t>
        </x:is>
      </x:c>
      <x:c r="E167" t="inlineStr">
        <x:is>
          <x:t xml:space="preserve">Riserva / rotazione</x:t>
        </x:is>
      </x:c>
      <x:c r="F167" t="n">
        <x:v>4</x:v>
      </x:c>
      <x:c r="G167" t="n">
        <x:v>12</x:v>
      </x:c>
      <x:c r="H167" t="n">
        <x:f>ROUND(G167*504/1000,0)</x:f>
        <x:v>6</x:v>
      </x:c>
      <x:c r="I167"/>
      <x:c r="J167"/>
      <x:c r="K167"/>
    </x:row>
    <x:row r="168">
      <x:c r="A168" t="inlineStr">
        <x:is>
          <x:t xml:space="preserve">D</x:t>
        </x:is>
      </x:c>
      <x:c r="B168" t="inlineStr">
        <x:is>
          <x:t xml:space="preserve">Birindelli</x:t>
        </x:is>
      </x:c>
      <x:c r="C168" t="inlineStr">
        <x:is>
          <x:t xml:space="preserve">Monza</x:t>
        </x:is>
      </x:c>
      <x:c r="D168" t="inlineStr">
        <x:is>
          <x:t xml:space="preserve">Dd;Ds;E</x:t>
        </x:is>
      </x:c>
      <x:c r="E168" t="inlineStr">
        <x:is>
          <x:t xml:space="preserve">Titolare / ballottaggio</x:t>
        </x:is>
      </x:c>
      <x:c r="F168" t="n">
        <x:v>4</x:v>
      </x:c>
      <x:c r="G168" t="n">
        <x:v>12</x:v>
      </x:c>
      <x:c r="H168" t="n">
        <x:f>ROUND(G168*504/1000,0)</x:f>
        <x:v>6</x:v>
      </x:c>
      <x:c r="I168"/>
      <x:c r="J168"/>
      <x:c r="K168"/>
    </x:row>
    <x:row r="169">
      <x:c r="A169" t="inlineStr">
        <x:is>
          <x:t xml:space="preserve">D</x:t>
        </x:is>
      </x:c>
      <x:c r="B169" t="inlineStr">
        <x:is>
          <x:t xml:space="preserve">Delli Carri</x:t>
        </x:is>
      </x:c>
      <x:c r="C169" t="inlineStr">
        <x:is>
          <x:t xml:space="preserve">Monza</x:t>
        </x:is>
      </x:c>
      <x:c r="D169" t="inlineStr">
        <x:is>
          <x:t xml:space="preserve">Dc</x:t>
        </x:is>
      </x:c>
      <x:c r="E169" t="inlineStr">
        <x:is>
          <x:t xml:space="preserve">Riserva / rotazione</x:t>
        </x:is>
      </x:c>
      <x:c r="F169" t="n">
        <x:v>4</x:v>
      </x:c>
      <x:c r="G169" t="n">
        <x:v>11</x:v>
      </x:c>
      <x:c r="H169" t="n">
        <x:f>ROUND(G169*504/1000,0)</x:f>
        <x:v>6</x:v>
      </x:c>
      <x:c r="I169"/>
      <x:c r="J169"/>
      <x:c r="K169"/>
    </x:row>
    <x:row r="170">
      <x:c r="A170" t="inlineStr">
        <x:is>
          <x:t xml:space="preserve">D</x:t>
        </x:is>
      </x:c>
      <x:c r="B170" t="inlineStr">
        <x:is>
          <x:t xml:space="preserve">Lucchesi</x:t>
        </x:is>
      </x:c>
      <x:c r="C170" t="inlineStr">
        <x:is>
          <x:t xml:space="preserve">Monza</x:t>
        </x:is>
      </x:c>
      <x:c r="D170" t="inlineStr">
        <x:is>
          <x:t xml:space="preserve">Dc</x:t>
        </x:is>
      </x:c>
      <x:c r="E170" t="inlineStr">
        <x:is>
          <x:t xml:space="preserve">Titolare</x:t>
        </x:is>
      </x:c>
      <x:c r="F170" t="n">
        <x:v>4</x:v>
      </x:c>
      <x:c r="G170" t="n">
        <x:v>12</x:v>
      </x:c>
      <x:c r="H170" t="n">
        <x:f>ROUND(G170*504/1000,0)</x:f>
        <x:v>6</x:v>
      </x:c>
      <x:c r="I170"/>
      <x:c r="J170"/>
      <x:c r="K170"/>
    </x:row>
    <x:row r="171">
      <x:c r="A171" t="inlineStr">
        <x:is>
          <x:t xml:space="preserve">D</x:t>
        </x:is>
      </x:c>
      <x:c r="B171" t="inlineStr">
        <x:is>
          <x:t xml:space="preserve">Valenti</x:t>
        </x:is>
      </x:c>
      <x:c r="C171" t="inlineStr">
        <x:is>
          <x:t xml:space="preserve">Parma</x:t>
        </x:is>
      </x:c>
      <x:c r="D171" t="inlineStr">
        <x:is>
          <x:t xml:space="preserve">Dc</x:t>
        </x:is>
      </x:c>
      <x:c r="E171" t="inlineStr">
        <x:is>
          <x:t xml:space="preserve">Riserva / rotazione</x:t>
        </x:is>
      </x:c>
      <x:c r="F171" t="n">
        <x:v>4</x:v>
      </x:c>
      <x:c r="G171" t="n">
        <x:v>10</x:v>
      </x:c>
      <x:c r="H171" t="n">
        <x:f>ROUND(G171*504/1000,0)</x:f>
        <x:v>5</x:v>
      </x:c>
      <x:c r="I171"/>
      <x:c r="J171"/>
      <x:c r="K171"/>
    </x:row>
    <x:row r="172">
      <x:c r="A172" t="inlineStr">
        <x:is>
          <x:t xml:space="preserve">D</x:t>
        </x:is>
      </x:c>
      <x:c r="B172" t="inlineStr">
        <x:is>
          <x:t xml:space="preserve">Ghilardi</x:t>
        </x:is>
      </x:c>
      <x:c r="C172" t="inlineStr">
        <x:is>
          <x:t xml:space="preserve">Roma</x:t>
        </x:is>
      </x:c>
      <x:c r="D172" t="inlineStr">
        <x:is>
          <x:t xml:space="preserve">Dc</x:t>
        </x:is>
      </x:c>
      <x:c r="E172" t="inlineStr">
        <x:is>
          <x:t xml:space="preserve">Riserva / rotazione</x:t>
        </x:is>
      </x:c>
      <x:c r="F172" t="n">
        <x:v>4</x:v>
      </x:c>
      <x:c r="G172" t="n">
        <x:v>10</x:v>
      </x:c>
      <x:c r="H172" t="n">
        <x:f>ROUND(G172*504/1000,0)</x:f>
        <x:v>5</x:v>
      </x:c>
      <x:c r="I172"/>
      <x:c r="J172"/>
      <x:c r="K172"/>
    </x:row>
    <x:row r="173">
      <x:c r="A173" t="inlineStr">
        <x:is>
          <x:t xml:space="preserve">D</x:t>
        </x:is>
      </x:c>
      <x:c r="B173" t="inlineStr">
        <x:is>
          <x:t xml:space="preserve">Doig</x:t>
        </x:is>
      </x:c>
      <x:c r="C173" t="inlineStr">
        <x:is>
          <x:t xml:space="preserve">Sassuolo</x:t>
        </x:is>
      </x:c>
      <x:c r="D173" t="inlineStr">
        <x:is>
          <x:t xml:space="preserve">Ds;E</x:t>
        </x:is>
      </x:c>
      <x:c r="E173" t="inlineStr">
        <x:is>
          <x:t xml:space="preserve">Ballottaggio</x:t>
        </x:is>
      </x:c>
      <x:c r="F173" t="n">
        <x:v>4</x:v>
      </x:c>
      <x:c r="G173" t="n">
        <x:v>13</x:v>
      </x:c>
      <x:c r="H173" t="n">
        <x:f>ROUND(G173*504/1000,0)</x:f>
        <x:v>7</x:v>
      </x:c>
      <x:c r="I173"/>
      <x:c r="J173"/>
      <x:c r="K173"/>
    </x:row>
    <x:row r="174">
      <x:c r="A174" t="inlineStr">
        <x:is>
          <x:t xml:space="preserve">D</x:t>
        </x:is>
      </x:c>
      <x:c r="B174" t="inlineStr">
        <x:is>
          <x:t xml:space="preserve">Walukiewicz</x:t>
        </x:is>
      </x:c>
      <x:c r="C174" t="inlineStr">
        <x:is>
          <x:t xml:space="preserve">Sassuolo</x:t>
        </x:is>
      </x:c>
      <x:c r="D174" t="inlineStr">
        <x:is>
          <x:t xml:space="preserve">Dd;Dc</x:t>
        </x:is>
      </x:c>
      <x:c r="E174" t="inlineStr">
        <x:is>
          <x:t xml:space="preserve">Riserva / rotazione</x:t>
        </x:is>
      </x:c>
      <x:c r="F174" t="n">
        <x:v>4</x:v>
      </x:c>
      <x:c r="G174" t="n">
        <x:v>10</x:v>
      </x:c>
      <x:c r="H174" t="n">
        <x:f>ROUND(G174*504/1000,0)</x:f>
        <x:v>5</x:v>
      </x:c>
      <x:c r="I174"/>
      <x:c r="J174"/>
      <x:c r="K174"/>
    </x:row>
    <x:row r="175">
      <x:c r="A175" t="inlineStr">
        <x:is>
          <x:t xml:space="preserve">D</x:t>
        </x:is>
      </x:c>
      <x:c r="B175" t="inlineStr">
        <x:is>
          <x:t xml:space="preserve">Comert</x:t>
        </x:is>
      </x:c>
      <x:c r="C175" t="inlineStr">
        <x:is>
          <x:t xml:space="preserve">Torino</x:t>
        </x:is>
      </x:c>
      <x:c r="D175" t="inlineStr">
        <x:is>
          <x:t xml:space="preserve">Dc</x:t>
        </x:is>
      </x:c>
      <x:c r="E175" t="inlineStr">
        <x:is>
          <x:t xml:space="preserve">Titolare</x:t>
        </x:is>
      </x:c>
      <x:c r="F175" t="n">
        <x:v>4</x:v>
      </x:c>
      <x:c r="G175" t="n">
        <x:v>10</x:v>
      </x:c>
      <x:c r="H175" t="n">
        <x:f>ROUND(G175*504/1000,0)</x:f>
        <x:v>5</x:v>
      </x:c>
      <x:c r="I175"/>
      <x:c r="J175"/>
      <x:c r="K175"/>
    </x:row>
    <x:row r="176">
      <x:c r="A176" t="inlineStr">
        <x:is>
          <x:t xml:space="preserve">D</x:t>
        </x:is>
      </x:c>
      <x:c r="B176" t="inlineStr">
        <x:is>
          <x:t xml:space="preserve">Arizala</x:t>
        </x:is>
      </x:c>
      <x:c r="C176" t="inlineStr">
        <x:is>
          <x:t xml:space="preserve">Udinese</x:t>
        </x:is>
      </x:c>
      <x:c r="D176" t="inlineStr">
        <x:is>
          <x:t xml:space="preserve">Ds;E</x:t>
        </x:is>
      </x:c>
      <x:c r="E176" t="inlineStr">
        <x:is>
          <x:t xml:space="preserve">Riserva / rotazione</x:t>
        </x:is>
      </x:c>
      <x:c r="F176" t="n">
        <x:v>4</x:v>
      </x:c>
      <x:c r="G176" t="n">
        <x:v>8</x:v>
      </x:c>
      <x:c r="H176" t="n">
        <x:f>ROUND(G176*504/1000,0)</x:f>
        <x:v>4</x:v>
      </x:c>
      <x:c r="I176"/>
      <x:c r="J176"/>
      <x:c r="K176"/>
    </x:row>
    <x:row r="177">
      <x:c r="A177" t="inlineStr">
        <x:is>
          <x:t xml:space="preserve">D</x:t>
        </x:is>
      </x:c>
      <x:c r="B177" t="inlineStr">
        <x:is>
          <x:t xml:space="preserve">Bertola</x:t>
        </x:is>
      </x:c>
      <x:c r="C177" t="inlineStr">
        <x:is>
          <x:t xml:space="preserve">Udinese</x:t>
        </x:is>
      </x:c>
      <x:c r="D177" t="inlineStr">
        <x:is>
          <x:t xml:space="preserve">Dd;Ds;Dc</x:t>
        </x:is>
      </x:c>
      <x:c r="E177" t="inlineStr">
        <x:is>
          <x:t xml:space="preserve">Riserva / rotazione</x:t>
        </x:is>
      </x:c>
      <x:c r="F177" t="n">
        <x:v>4</x:v>
      </x:c>
      <x:c r="G177" t="n">
        <x:v>10</x:v>
      </x:c>
      <x:c r="H177" t="n">
        <x:f>ROUND(G177*504/1000,0)</x:f>
        <x:v>5</x:v>
      </x:c>
      <x:c r="I177"/>
      <x:c r="J177"/>
      <x:c r="K177"/>
    </x:row>
    <x:row r="178">
      <x:c r="A178" t="inlineStr">
        <x:is>
          <x:t xml:space="preserve">D</x:t>
        </x:is>
      </x:c>
      <x:c r="B178" t="inlineStr">
        <x:is>
          <x:t xml:space="preserve">Kabasele</x:t>
        </x:is>
      </x:c>
      <x:c r="C178" t="inlineStr">
        <x:is>
          <x:t xml:space="preserve">Udinese</x:t>
        </x:is>
      </x:c>
      <x:c r="D178" t="inlineStr">
        <x:is>
          <x:t xml:space="preserve">Dc</x:t>
        </x:is>
      </x:c>
      <x:c r="E178" t="inlineStr">
        <x:is>
          <x:t xml:space="preserve">Titolare</x:t>
        </x:is>
      </x:c>
      <x:c r="F178" t="n">
        <x:v>4</x:v>
      </x:c>
      <x:c r="G178" t="n">
        <x:v>9</x:v>
      </x:c>
      <x:c r="H178" t="n">
        <x:f>ROUND(G178*504/1000,0)</x:f>
        <x:v>5</x:v>
      </x:c>
      <x:c r="I178"/>
      <x:c r="J178"/>
      <x:c r="K178"/>
    </x:row>
    <x:row r="179">
      <x:c r="A179" t="inlineStr">
        <x:is>
          <x:t xml:space="preserve">D</x:t>
        </x:is>
      </x:c>
      <x:c r="B179" t="inlineStr">
        <x:is>
          <x:t xml:space="preserve">Zanoli</x:t>
        </x:is>
      </x:c>
      <x:c r="C179" t="inlineStr">
        <x:is>
          <x:t xml:space="preserve">Udinese</x:t>
        </x:is>
      </x:c>
      <x:c r="D179" t="inlineStr">
        <x:is>
          <x:t xml:space="preserve">Dd;E</x:t>
        </x:is>
      </x:c>
      <x:c r="E179" t="inlineStr">
        <x:is>
          <x:t xml:space="preserve">Riserva / rotazione</x:t>
        </x:is>
      </x:c>
      <x:c r="F179" t="n">
        <x:v>4</x:v>
      </x:c>
      <x:c r="G179" t="n">
        <x:v>10</x:v>
      </x:c>
      <x:c r="H179" t="n">
        <x:f>ROUND(G179*504/1000,0)</x:f>
        <x:v>5</x:v>
      </x:c>
      <x:c r="I179"/>
      <x:c r="J179"/>
      <x:c r="K179"/>
    </x:row>
    <x:row r="180">
      <x:c r="A180" t="inlineStr">
        <x:is>
          <x:t xml:space="preserve">D</x:t>
        </x:is>
      </x:c>
      <x:c r="B180" t="inlineStr">
        <x:is>
          <x:t xml:space="preserve">Correia T.</x:t>
        </x:is>
      </x:c>
      <x:c r="C180" t="inlineStr">
        <x:is>
          <x:t xml:space="preserve">Venezia</x:t>
        </x:is>
      </x:c>
      <x:c r="D180" t="inlineStr">
        <x:is>
          <x:t xml:space="preserve">Dd;E</x:t>
        </x:is>
      </x:c>
      <x:c r="E180" t="inlineStr">
        <x:is>
          <x:t xml:space="preserve">Ballottaggio</x:t>
        </x:is>
      </x:c>
      <x:c r="F180" t="n">
        <x:v>4</x:v>
      </x:c>
      <x:c r="G180" t="n">
        <x:v>12</x:v>
      </x:c>
      <x:c r="H180" t="n">
        <x:f>ROUND(G180*504/1000,0)</x:f>
        <x:v>6</x:v>
      </x:c>
      <x:c r="I180"/>
      <x:c r="J180"/>
      <x:c r="K180"/>
    </x:row>
    <x:row r="181">
      <x:c r="A181" t="inlineStr">
        <x:is>
          <x:t xml:space="preserve">D</x:t>
        </x:is>
      </x:c>
      <x:c r="B181" t="inlineStr">
        <x:is>
          <x:t xml:space="preserve">Halhal</x:t>
        </x:is>
      </x:c>
      <x:c r="C181" t="inlineStr">
        <x:is>
          <x:t xml:space="preserve">Venezia</x:t>
        </x:is>
      </x:c>
      <x:c r="D181" t="inlineStr">
        <x:is>
          <x:t xml:space="preserve">Dc</x:t>
        </x:is>
      </x:c>
      <x:c r="E181" t="inlineStr">
        <x:is>
          <x:t xml:space="preserve">Ballottaggio</x:t>
        </x:is>
      </x:c>
      <x:c r="F181" t="n">
        <x:v>4</x:v>
      </x:c>
      <x:c r="G181" t="n">
        <x:v>10</x:v>
      </x:c>
      <x:c r="H181" t="n">
        <x:f>ROUND(G181*504/1000,0)</x:f>
        <x:v>5</x:v>
      </x:c>
      <x:c r="I181"/>
      <x:c r="J181"/>
      <x:c r="K181"/>
    </x:row>
    <x:row r="182">
      <x:c r="A182" t="inlineStr">
        <x:is>
          <x:t xml:space="preserve">D</x:t>
        </x:is>
      </x:c>
      <x:c r="B182" t="inlineStr">
        <x:is>
          <x:t xml:space="preserve">Kossounou</x:t>
        </x:is>
      </x:c>
      <x:c r="C182" t="inlineStr">
        <x:is>
          <x:t xml:space="preserve">Atalanta</x:t>
        </x:is>
      </x:c>
      <x:c r="D182" t="inlineStr">
        <x:is>
          <x:t xml:space="preserve">Dd;Dc</x:t>
        </x:is>
      </x:c>
      <x:c r="E182" t="inlineStr">
        <x:is>
          <x:t xml:space="preserve">Riserva / rotazione</x:t>
        </x:is>
      </x:c>
      <x:c r="F182" t="n">
        <x:v>3</x:v>
      </x:c>
      <x:c r="G182" t="n">
        <x:v>7</x:v>
      </x:c>
      <x:c r="H182" t="n">
        <x:f>ROUND(G182*504/1000,0)</x:f>
        <x:v>4</x:v>
      </x:c>
      <x:c r="I182"/>
      <x:c r="J182"/>
      <x:c r="K182"/>
    </x:row>
    <x:row r="183">
      <x:c r="A183" t="inlineStr">
        <x:is>
          <x:t xml:space="preserve">D</x:t>
        </x:is>
      </x:c>
      <x:c r="B183" t="inlineStr">
        <x:is>
          <x:t xml:space="preserve">Casale</x:t>
        </x:is>
      </x:c>
      <x:c r="C183" t="inlineStr">
        <x:is>
          <x:t xml:space="preserve">Bologna</x:t>
        </x:is>
      </x:c>
      <x:c r="D183" t="inlineStr">
        <x:is>
          <x:t xml:space="preserve">Dc</x:t>
        </x:is>
      </x:c>
      <x:c r="E183" t="inlineStr">
        <x:is>
          <x:t xml:space="preserve">Riserva / rotazione</x:t>
        </x:is>
      </x:c>
      <x:c r="F183" t="n">
        <x:v>3</x:v>
      </x:c>
      <x:c r="G183" t="n">
        <x:v>6</x:v>
      </x:c>
      <x:c r="H183" t="n">
        <x:f>ROUND(G183*504/1000,0)</x:f>
        <x:v>3</x:v>
      </x:c>
      <x:c r="I183"/>
      <x:c r="J183"/>
      <x:c r="K183"/>
    </x:row>
    <x:row r="184">
      <x:c r="A184" t="inlineStr">
        <x:is>
          <x:t xml:space="preserve">D</x:t>
        </x:is>
      </x:c>
      <x:c r="B184" t="inlineStr">
        <x:is>
          <x:t xml:space="preserve">Idrissi R.</x:t>
        </x:is>
      </x:c>
      <x:c r="C184" t="inlineStr">
        <x:is>
          <x:t xml:space="preserve">Cagliari</x:t>
        </x:is>
      </x:c>
      <x:c r="D184" t="inlineStr">
        <x:is>
          <x:t xml:space="preserve">Ds;E</x:t>
        </x:is>
      </x:c>
      <x:c r="E184" t="inlineStr">
        <x:is>
          <x:t xml:space="preserve">Riserva / rotazione</x:t>
        </x:is>
      </x:c>
      <x:c r="F184" t="n">
        <x:v>3</x:v>
      </x:c>
      <x:c r="G184" t="n">
        <x:v>7</x:v>
      </x:c>
      <x:c r="H184" t="n">
        <x:f>ROUND(G184*504/1000,0)</x:f>
        <x:v>4</x:v>
      </x:c>
      <x:c r="I184"/>
      <x:c r="J184"/>
      <x:c r="K184"/>
    </x:row>
    <x:row r="185">
      <x:c r="A185" t="inlineStr">
        <x:is>
          <x:t xml:space="preserve">D</x:t>
        </x:is>
      </x:c>
      <x:c r="B185" t="inlineStr">
        <x:is>
          <x:t xml:space="preserve">Rodriguez Ju.</x:t>
        </x:is>
      </x:c>
      <x:c r="C185" t="inlineStr">
        <x:is>
          <x:t xml:space="preserve">Cagliari</x:t>
        </x:is>
      </x:c>
      <x:c r="D185" t="inlineStr">
        <x:is>
          <x:t xml:space="preserve">Ds;Dc</x:t>
        </x:is>
      </x:c>
      <x:c r="E185" t="inlineStr">
        <x:is>
          <x:t xml:space="preserve">Titolare</x:t>
        </x:is>
      </x:c>
      <x:c r="F185" t="n">
        <x:v>3</x:v>
      </x:c>
      <x:c r="G185" t="n">
        <x:v>10</x:v>
      </x:c>
      <x:c r="H185" t="n">
        <x:f>ROUND(G185*504/1000,0)</x:f>
        <x:v>5</x:v>
      </x:c>
      <x:c r="I185"/>
      <x:c r="J185"/>
      <x:c r="K185"/>
    </x:row>
    <x:row r="186">
      <x:c r="A186" t="inlineStr">
        <x:is>
          <x:t xml:space="preserve">D</x:t>
        </x:is>
      </x:c>
      <x:c r="B186" t="inlineStr">
        <x:is>
          <x:t xml:space="preserve">Joao Mario</x:t>
        </x:is>
      </x:c>
      <x:c r="C186" t="inlineStr">
        <x:is>
          <x:t xml:space="preserve">Fiorentina</x:t>
        </x:is>
      </x:c>
      <x:c r="D186" t="inlineStr">
        <x:is>
          <x:t xml:space="preserve">Dd;E</x:t>
        </x:is>
      </x:c>
      <x:c r="E186" t="inlineStr">
        <x:is>
          <x:t xml:space="preserve">Ballottaggio</x:t>
        </x:is>
      </x:c>
      <x:c r="F186" t="n">
        <x:v>3</x:v>
      </x:c>
      <x:c r="G186" t="n">
        <x:v>7</x:v>
      </x:c>
      <x:c r="H186" t="n">
        <x:f>ROUND(G186*504/1000,0)</x:f>
        <x:v>4</x:v>
      </x:c>
      <x:c r="I186"/>
      <x:c r="J186"/>
      <x:c r="K186"/>
    </x:row>
    <x:row r="187">
      <x:c r="A187" t="inlineStr">
        <x:is>
          <x:t xml:space="preserve">D</x:t>
        </x:is>
      </x:c>
      <x:c r="B187" t="inlineStr">
        <x:is>
          <x:t xml:space="preserve">Ranieri L.</x:t>
        </x:is>
      </x:c>
      <x:c r="C187" t="inlineStr">
        <x:is>
          <x:t xml:space="preserve">Fiorentina</x:t>
        </x:is>
      </x:c>
      <x:c r="D187" t="inlineStr">
        <x:is>
          <x:t xml:space="preserve">Ds;Dc</x:t>
        </x:is>
      </x:c>
      <x:c r="E187" t="inlineStr">
        <x:is>
          <x:t xml:space="preserve">Riserva / rotazione</x:t>
        </x:is>
      </x:c>
      <x:c r="F187" t="n">
        <x:v>3</x:v>
      </x:c>
      <x:c r="G187" t="n">
        <x:v>7</x:v>
      </x:c>
      <x:c r="H187" t="n">
        <x:f>ROUND(G187*504/1000,0)</x:f>
        <x:v>4</x:v>
      </x:c>
      <x:c r="I187"/>
      <x:c r="J187"/>
      <x:c r="K187"/>
    </x:row>
    <x:row r="188">
      <x:c r="A188" t="inlineStr">
        <x:is>
          <x:t xml:space="preserve">D</x:t>
        </x:is>
      </x:c>
      <x:c r="B188" t="inlineStr">
        <x:is>
          <x:t xml:space="preserve">Akpoguma</x:t>
        </x:is>
      </x:c>
      <x:c r="C188" t="inlineStr">
        <x:is>
          <x:t xml:space="preserve">Frosinone</x:t>
        </x:is>
      </x:c>
      <x:c r="D188" t="inlineStr">
        <x:is>
          <x:t xml:space="preserve">Dc</x:t>
        </x:is>
      </x:c>
      <x:c r="E188" t="inlineStr">
        <x:is>
          <x:t xml:space="preserve">Riserva / rotazione</x:t>
        </x:is>
      </x:c>
      <x:c r="F188" t="n">
        <x:v>3</x:v>
      </x:c>
      <x:c r="G188" t="n">
        <x:v>7</x:v>
      </x:c>
      <x:c r="H188" t="n">
        <x:f>ROUND(G188*504/1000,0)</x:f>
        <x:v>4</x:v>
      </x:c>
      <x:c r="I188"/>
      <x:c r="J188"/>
      <x:c r="K188"/>
    </x:row>
    <x:row r="189">
      <x:c r="A189" t="inlineStr">
        <x:is>
          <x:t xml:space="preserve">D</x:t>
        </x:is>
      </x:c>
      <x:c r="B189" t="inlineStr">
        <x:is>
          <x:t xml:space="preserve">Cittadini</x:t>
        </x:is>
      </x:c>
      <x:c r="C189" t="inlineStr">
        <x:is>
          <x:t xml:space="preserve">Frosinone</x:t>
        </x:is>
      </x:c>
      <x:c r="D189" t="inlineStr">
        <x:is>
          <x:t xml:space="preserve">Dc</x:t>
        </x:is>
      </x:c>
      <x:c r="E189" t="inlineStr">
        <x:is>
          <x:t xml:space="preserve">Riserva / rotazione</x:t>
        </x:is>
      </x:c>
      <x:c r="F189" t="n">
        <x:v>3</x:v>
      </x:c>
      <x:c r="G189" t="n">
        <x:v>8</x:v>
      </x:c>
      <x:c r="H189" t="n">
        <x:f>ROUND(G189*504/1000,0)</x:f>
        <x:v>4</x:v>
      </x:c>
      <x:c r="I189"/>
      <x:c r="J189"/>
      <x:c r="K189"/>
    </x:row>
    <x:row r="190">
      <x:c r="A190" t="inlineStr">
        <x:is>
          <x:t xml:space="preserve">D</x:t>
        </x:is>
      </x:c>
      <x:c r="B190" t="inlineStr">
        <x:is>
          <x:t xml:space="preserve">Floriani Mussolini</x:t>
        </x:is>
      </x:c>
      <x:c r="C190" t="inlineStr">
        <x:is>
          <x:t xml:space="preserve">Lazio</x:t>
        </x:is>
      </x:c>
      <x:c r="D190" t="inlineStr">
        <x:is>
          <x:t xml:space="preserve">Dd;E</x:t>
        </x:is>
      </x:c>
      <x:c r="E190" t="inlineStr">
        <x:is>
          <x:t xml:space="preserve">Riserva / rotazione</x:t>
        </x:is>
      </x:c>
      <x:c r="F190" t="n">
        <x:v>3</x:v>
      </x:c>
      <x:c r="G190" t="n">
        <x:v>12</x:v>
      </x:c>
      <x:c r="H190" t="n">
        <x:f>ROUND(G190*504/1000,0)</x:f>
        <x:v>6</x:v>
      </x:c>
      <x:c r="I190"/>
      <x:c r="J190"/>
      <x:c r="K190"/>
    </x:row>
    <x:row r="191">
      <x:c r="A191" t="inlineStr">
        <x:is>
          <x:t xml:space="preserve">D</x:t>
        </x:is>
      </x:c>
      <x:c r="B191" t="inlineStr">
        <x:is>
          <x:t xml:space="preserve">Provstgaard</x:t>
        </x:is>
      </x:c>
      <x:c r="C191" t="inlineStr">
        <x:is>
          <x:t xml:space="preserve">Lazio</x:t>
        </x:is>
      </x:c>
      <x:c r="D191" t="inlineStr">
        <x:is>
          <x:t xml:space="preserve">Dc</x:t>
        </x:is>
      </x:c>
      <x:c r="E191" t="inlineStr">
        <x:is>
          <x:t xml:space="preserve">Titolare</x:t>
        </x:is>
      </x:c>
      <x:c r="F191" t="n">
        <x:v>3</x:v>
      </x:c>
      <x:c r="G191" t="n">
        <x:v>10</x:v>
      </x:c>
      <x:c r="H191" t="n">
        <x:f>ROUND(G191*504/1000,0)</x:f>
        <x:v>5</x:v>
      </x:c>
      <x:c r="I191"/>
      <x:c r="J191"/>
      <x:c r="K191"/>
    </x:row>
    <x:row r="192">
      <x:c r="A192" t="inlineStr">
        <x:is>
          <x:t xml:space="preserve">D</x:t>
        </x:is>
      </x:c>
      <x:c r="B192" t="inlineStr">
        <x:is>
          <x:t xml:space="preserve">Athekame</x:t>
        </x:is>
      </x:c>
      <x:c r="C192" t="inlineStr">
        <x:is>
          <x:t xml:space="preserve">Milan</x:t>
        </x:is>
      </x:c>
      <x:c r="D192" t="inlineStr">
        <x:is>
          <x:t xml:space="preserve">Dd;E</x:t>
        </x:is>
      </x:c>
      <x:c r="E192" t="inlineStr">
        <x:is>
          <x:t xml:space="preserve">Riserva / rotazione</x:t>
        </x:is>
      </x:c>
      <x:c r="F192" t="n">
        <x:v>3</x:v>
      </x:c>
      <x:c r="G192" t="n">
        <x:v>8</x:v>
      </x:c>
      <x:c r="H192" t="n">
        <x:f>ROUND(G192*504/1000,0)</x:f>
        <x:v>4</x:v>
      </x:c>
      <x:c r="I192"/>
      <x:c r="J192"/>
      <x:c r="K192"/>
    </x:row>
    <x:row r="193">
      <x:c r="A193" t="inlineStr">
        <x:is>
          <x:t xml:space="preserve">D</x:t>
        </x:is>
      </x:c>
      <x:c r="B193" t="inlineStr">
        <x:is>
          <x:t xml:space="preserve">De Winter</x:t>
        </x:is>
      </x:c>
      <x:c r="C193" t="inlineStr">
        <x:is>
          <x:t xml:space="preserve">Milan</x:t>
        </x:is>
      </x:c>
      <x:c r="D193" t="inlineStr">
        <x:is>
          <x:t xml:space="preserve">Dd;Dc</x:t>
        </x:is>
      </x:c>
      <x:c r="E193" t="inlineStr">
        <x:is>
          <x:t xml:space="preserve">Ballottaggio</x:t>
        </x:is>
      </x:c>
      <x:c r="F193" t="n">
        <x:v>3</x:v>
      </x:c>
      <x:c r="G193" t="n">
        <x:v>12</x:v>
      </x:c>
      <x:c r="H193" t="n">
        <x:f>ROUND(G193*504/1000,0)</x:f>
        <x:v>6</x:v>
      </x:c>
      <x:c r="I193"/>
      <x:c r="J193"/>
      <x:c r="K193"/>
    </x:row>
    <x:row r="194">
      <x:c r="A194" t="inlineStr">
        <x:is>
          <x:t xml:space="preserve">D</x:t>
        </x:is>
      </x:c>
      <x:c r="B194" t="inlineStr">
        <x:is>
          <x:t xml:space="preserve">Estupinan</x:t>
        </x:is>
      </x:c>
      <x:c r="C194" t="inlineStr">
        <x:is>
          <x:t xml:space="preserve">Milan</x:t>
        </x:is>
      </x:c>
      <x:c r="D194" t="inlineStr">
        <x:is>
          <x:t xml:space="preserve">Ds;E</x:t>
        </x:is>
      </x:c>
      <x:c r="E194" t="inlineStr">
        <x:is>
          <x:t xml:space="preserve">Riserva / rotazione</x:t>
        </x:is>
      </x:c>
      <x:c r="F194" t="n">
        <x:v>3</x:v>
      </x:c>
      <x:c r="G194" t="n">
        <x:v>9</x:v>
      </x:c>
      <x:c r="H194" t="n">
        <x:f>ROUND(G194*504/1000,0)</x:f>
        <x:v>5</x:v>
      </x:c>
      <x:c r="I194"/>
      <x:c r="J194"/>
      <x:c r="K194"/>
    </x:row>
    <x:row r="195">
      <x:c r="A195" t="inlineStr">
        <x:is>
          <x:t xml:space="preserve">D</x:t>
        </x:is>
      </x:c>
      <x:c r="B195" t="inlineStr">
        <x:is>
          <x:t xml:space="preserve">Carboni A.</x:t>
        </x:is>
      </x:c>
      <x:c r="C195" t="inlineStr">
        <x:is>
          <x:t xml:space="preserve">Monza</x:t>
        </x:is>
      </x:c>
      <x:c r="D195" t="inlineStr">
        <x:is>
          <x:t xml:space="preserve">Ds;Dc</x:t>
        </x:is>
      </x:c>
      <x:c r="E195" t="inlineStr">
        <x:is>
          <x:t xml:space="preserve">Titolare</x:t>
        </x:is>
      </x:c>
      <x:c r="F195" t="n">
        <x:v>3</x:v>
      </x:c>
      <x:c r="G195" t="n">
        <x:v>9</x:v>
      </x:c>
      <x:c r="H195" t="n">
        <x:f>ROUND(G195*504/1000,0)</x:f>
        <x:v>5</x:v>
      </x:c>
      <x:c r="I195"/>
      <x:c r="J195"/>
      <x:c r="K195"/>
    </x:row>
    <x:row r="196">
      <x:c r="A196" t="inlineStr">
        <x:is>
          <x:t xml:space="preserve">D</x:t>
        </x:is>
      </x:c>
      <x:c r="B196" t="inlineStr">
        <x:is>
          <x:t xml:space="preserve">Kouadio</x:t>
        </x:is>
      </x:c>
      <x:c r="C196" t="inlineStr">
        <x:is>
          <x:t xml:space="preserve">Monza</x:t>
        </x:is>
      </x:c>
      <x:c r="D196" t="inlineStr">
        <x:is>
          <x:t xml:space="preserve">Dd;Dc</x:t>
        </x:is>
      </x:c>
      <x:c r="E196" t="inlineStr">
        <x:is>
          <x:t xml:space="preserve">Ballottaggio</x:t>
        </x:is>
      </x:c>
      <x:c r="F196" t="n">
        <x:v>3</x:v>
      </x:c>
      <x:c r="G196" t="n">
        <x:v>9</x:v>
      </x:c>
      <x:c r="H196" t="n">
        <x:f>ROUND(G196*504/1000,0)</x:f>
        <x:v>5</x:v>
      </x:c>
      <x:c r="I196"/>
      <x:c r="J196"/>
      <x:c r="K196"/>
    </x:row>
    <x:row r="197">
      <x:c r="A197" t="inlineStr">
        <x:is>
          <x:t xml:space="preserve">D</x:t>
        </x:is>
      </x:c>
      <x:c r="B197" t="inlineStr">
        <x:is>
          <x:t xml:space="preserve">Britschgi</x:t>
        </x:is>
      </x:c>
      <x:c r="C197" t="inlineStr">
        <x:is>
          <x:t xml:space="preserve">Parma</x:t>
        </x:is>
      </x:c>
      <x:c r="D197" t="inlineStr">
        <x:is>
          <x:t xml:space="preserve">Dd;Ds;E</x:t>
        </x:is>
      </x:c>
      <x:c r="E197" t="inlineStr">
        <x:is>
          <x:t xml:space="preserve">Ballottaggio</x:t>
        </x:is>
      </x:c>
      <x:c r="F197" t="n">
        <x:v>3</x:v>
      </x:c>
      <x:c r="G197" t="n">
        <x:v>10</x:v>
      </x:c>
      <x:c r="H197" t="n">
        <x:f>ROUND(G197*504/1000,0)</x:f>
        <x:v>5</x:v>
      </x:c>
      <x:c r="I197"/>
      <x:c r="J197"/>
      <x:c r="K197"/>
    </x:row>
    <x:row r="198">
      <x:c r="A198" t="inlineStr">
        <x:is>
          <x:t xml:space="preserve">D</x:t>
        </x:is>
      </x:c>
      <x:c r="B198" t="inlineStr">
        <x:is>
          <x:t xml:space="preserve">Troilo</x:t>
        </x:is>
      </x:c>
      <x:c r="C198" t="inlineStr">
        <x:is>
          <x:t xml:space="preserve">Parma</x:t>
        </x:is>
      </x:c>
      <x:c r="D198" t="inlineStr">
        <x:is>
          <x:t xml:space="preserve">Dc</x:t>
        </x:is>
      </x:c>
      <x:c r="E198" t="inlineStr">
        <x:is>
          <x:t xml:space="preserve">Titolare</x:t>
        </x:is>
      </x:c>
      <x:c r="F198" t="n">
        <x:v>3</x:v>
      </x:c>
      <x:c r="G198" t="n">
        <x:v>8</x:v>
      </x:c>
      <x:c r="H198" t="n">
        <x:f>ROUND(G198*504/1000,0)</x:f>
        <x:v>4</x:v>
      </x:c>
      <x:c r="I198"/>
      <x:c r="J198"/>
      <x:c r="K198"/>
    </x:row>
    <x:row r="199">
      <x:c r="A199" t="inlineStr">
        <x:is>
          <x:t xml:space="preserve">D</x:t>
        </x:is>
      </x:c>
      <x:c r="B199" t="inlineStr">
        <x:is>
          <x:t xml:space="preserve">Angelino</x:t>
        </x:is>
      </x:c>
      <x:c r="C199" t="inlineStr">
        <x:is>
          <x:t xml:space="preserve">Roma</x:t>
        </x:is>
      </x:c>
      <x:c r="D199" t="inlineStr">
        <x:is>
          <x:t xml:space="preserve">E</x:t>
        </x:is>
      </x:c>
      <x:c r="E199" t="inlineStr">
        <x:is>
          <x:t xml:space="preserve">Riserva / rotazione</x:t>
        </x:is>
      </x:c>
      <x:c r="F199" t="n">
        <x:v>3</x:v>
      </x:c>
      <x:c r="G199" t="n">
        <x:v>12</x:v>
      </x:c>
      <x:c r="H199" t="n">
        <x:f>ROUND(G199*504/1000,0)</x:f>
        <x:v>6</x:v>
      </x:c>
      <x:c r="I199"/>
      <x:c r="J199"/>
      <x:c r="K199"/>
    </x:row>
    <x:row r="200">
      <x:c r="A200" t="inlineStr">
        <x:is>
          <x:t xml:space="preserve">D</x:t>
        </x:is>
      </x:c>
      <x:c r="B200" t="inlineStr">
        <x:is>
          <x:t xml:space="preserve">Candè</x:t>
        </x:is>
      </x:c>
      <x:c r="C200" t="inlineStr">
        <x:is>
          <x:t xml:space="preserve">Sassuolo</x:t>
        </x:is>
      </x:c>
      <x:c r="D200" t="inlineStr">
        <x:is>
          <x:t xml:space="preserve">Ds;Dc</x:t>
        </x:is>
      </x:c>
      <x:c r="E200" t="inlineStr">
        <x:is>
          <x:t xml:space="preserve">Riserva / rotazione</x:t>
        </x:is>
      </x:c>
      <x:c r="F200" t="n">
        <x:v>3</x:v>
      </x:c>
      <x:c r="G200" t="n">
        <x:v>12</x:v>
      </x:c>
      <x:c r="H200" t="n">
        <x:f>ROUND(G200*504/1000,0)</x:f>
        <x:v>6</x:v>
      </x:c>
      <x:c r="I200"/>
      <x:c r="J200"/>
      <x:c r="K200"/>
    </x:row>
    <x:row r="201">
      <x:c r="A201" t="inlineStr">
        <x:is>
          <x:t xml:space="preserve">D</x:t>
        </x:is>
      </x:c>
      <x:c r="B201" t="inlineStr">
        <x:is>
          <x:t xml:space="preserve">Hainaut</x:t>
        </x:is>
      </x:c>
      <x:c r="C201" t="inlineStr">
        <x:is>
          <x:t xml:space="preserve">Venezia</x:t>
        </x:is>
      </x:c>
      <x:c r="D201" t="inlineStr">
        <x:is>
          <x:t xml:space="preserve">Dd;E</x:t>
        </x:is>
      </x:c>
      <x:c r="E201" t="inlineStr">
        <x:is>
          <x:t xml:space="preserve">Ballottaggio</x:t>
        </x:is>
      </x:c>
      <x:c r="F201" t="n">
        <x:v>3</x:v>
      </x:c>
      <x:c r="G201" t="n">
        <x:v>7</x:v>
      </x:c>
      <x:c r="H201" t="n">
        <x:f>ROUND(G201*504/1000,0)</x:f>
        <x:v>4</x:v>
      </x:c>
      <x:c r="I201"/>
      <x:c r="J201"/>
      <x:c r="K201"/>
    </x:row>
    <x:row r="202">
      <x:c r="A202" t="inlineStr">
        <x:is>
          <x:t xml:space="preserve">D</x:t>
        </x:is>
      </x:c>
      <x:c r="B202" t="inlineStr">
        <x:is>
          <x:t xml:space="preserve">Schingtienne</x:t>
        </x:is>
      </x:c>
      <x:c r="C202" t="inlineStr">
        <x:is>
          <x:t xml:space="preserve">Venezia</x:t>
        </x:is>
      </x:c>
      <x:c r="D202" t="inlineStr">
        <x:is>
          <x:t xml:space="preserve">Dc</x:t>
        </x:is>
      </x:c>
      <x:c r="E202" t="inlineStr">
        <x:is>
          <x:t xml:space="preserve">Titolare</x:t>
        </x:is>
      </x:c>
      <x:c r="F202" t="n">
        <x:v>3</x:v>
      </x:c>
      <x:c r="G202" t="n">
        <x:v>7</x:v>
      </x:c>
      <x:c r="H202" t="n">
        <x:f>ROUND(G202*504/1000,0)</x:f>
        <x:v>4</x:v>
      </x:c>
      <x:c r="I202"/>
      <x:c r="J202"/>
      <x:c r="K202"/>
    </x:row>
    <x:row r="203">
      <x:c r="A203" t="inlineStr">
        <x:is>
          <x:t xml:space="preserve">D</x:t>
        </x:is>
      </x:c>
      <x:c r="B203" t="inlineStr">
        <x:is>
          <x:t xml:space="preserve">Sverko</x:t>
        </x:is>
      </x:c>
      <x:c r="C203" t="inlineStr">
        <x:is>
          <x:t xml:space="preserve">Venezia</x:t>
        </x:is>
      </x:c>
      <x:c r="D203" t="inlineStr">
        <x:is>
          <x:t xml:space="preserve">Ds;Dc</x:t>
        </x:is>
      </x:c>
      <x:c r="E203" t="inlineStr">
        <x:is>
          <x:t xml:space="preserve">Riserva / rotazione</x:t>
        </x:is>
      </x:c>
      <x:c r="F203" t="n">
        <x:v>3</x:v>
      </x:c>
      <x:c r="G203" t="n">
        <x:v>7</x:v>
      </x:c>
      <x:c r="H203" t="n">
        <x:f>ROUND(G203*504/1000,0)</x:f>
        <x:v>4</x:v>
      </x:c>
      <x:c r="I203"/>
      <x:c r="J203"/>
      <x:c r="K203"/>
    </x:row>
    <x:row r="204">
      <x:c r="A204" t="inlineStr">
        <x:is>
          <x:t xml:space="preserve">D</x:t>
        </x:is>
      </x:c>
      <x:c r="B204" t="inlineStr">
        <x:is>
          <x:t xml:space="preserve">Alhassane</x:t>
        </x:is>
      </x:c>
      <x:c r="C204" t="inlineStr">
        <x:is>
          <x:t xml:space="preserve">Bologna</x:t>
        </x:is>
      </x:c>
      <x:c r="D204" t="inlineStr">
        <x:is>
          <x:t xml:space="preserve">Ds;E</x:t>
        </x:is>
      </x:c>
      <x:c r="E204" t="inlineStr">
        <x:is>
          <x:t xml:space="preserve">Riserva / rotazione</x:t>
        </x:is>
      </x:c>
      <x:c r="F204" t="n">
        <x:v>2</x:v>
      </x:c>
      <x:c r="G204" t="n">
        <x:v>6</x:v>
      </x:c>
      <x:c r="H204" t="n">
        <x:f>ROUND(G204*504/1000,0)</x:f>
        <x:v>3</x:v>
      </x:c>
      <x:c r="I204"/>
      <x:c r="J204"/>
      <x:c r="K204"/>
    </x:row>
    <x:row r="205">
      <x:c r="A205" t="inlineStr">
        <x:is>
          <x:t xml:space="preserve">D</x:t>
        </x:is>
      </x:c>
      <x:c r="B205" t="inlineStr">
        <x:is>
          <x:t xml:space="preserve">Helland</x:t>
        </x:is>
      </x:c>
      <x:c r="C205" t="inlineStr">
        <x:is>
          <x:t xml:space="preserve">Bologna</x:t>
        </x:is>
      </x:c>
      <x:c r="D205" t="inlineStr">
        <x:is>
          <x:t xml:space="preserve">Dd;Dc</x:t>
        </x:is>
      </x:c>
      <x:c r="E205" t="inlineStr">
        <x:is>
          <x:t xml:space="preserve">Riserva / rotazione</x:t>
        </x:is>
      </x:c>
      <x:c r="F205" t="n">
        <x:v>2</x:v>
      </x:c>
      <x:c r="G205" t="n">
        <x:v>5</x:v>
      </x:c>
      <x:c r="H205" t="n">
        <x:f>ROUND(G205*504/1000,0)</x:f>
        <x:v>3</x:v>
      </x:c>
      <x:c r="I205"/>
      <x:c r="J205"/>
      <x:c r="K205"/>
    </x:row>
    <x:row r="206">
      <x:c r="A206" t="inlineStr">
        <x:is>
          <x:t xml:space="preserve">D</x:t>
        </x:is>
      </x:c>
      <x:c r="B206" t="inlineStr">
        <x:is>
          <x:t xml:space="preserve">Van der Brempt</x:t>
        </x:is>
      </x:c>
      <x:c r="C206" t="inlineStr">
        <x:is>
          <x:t xml:space="preserve">Como</x:t>
        </x:is>
      </x:c>
      <x:c r="D206" t="inlineStr">
        <x:is>
          <x:t xml:space="preserve">Dd;E</x:t>
        </x:is>
      </x:c>
      <x:c r="E206" t="inlineStr">
        <x:is>
          <x:t xml:space="preserve">Riserva / rotazione</x:t>
        </x:is>
      </x:c>
      <x:c r="F206" t="n">
        <x:v>2</x:v>
      </x:c>
      <x:c r="G206" t="n">
        <x:v>5</x:v>
      </x:c>
      <x:c r="H206" t="n">
        <x:f>ROUND(G206*504/1000,0)</x:f>
        <x:v>3</x:v>
      </x:c>
      <x:c r="I206"/>
      <x:c r="J206"/>
      <x:c r="K206"/>
    </x:row>
    <x:row r="207">
      <x:c r="A207" t="inlineStr">
        <x:is>
          <x:t xml:space="preserve">D</x:t>
        </x:is>
      </x:c>
      <x:c r="B207" t="inlineStr">
        <x:is>
          <x:t xml:space="preserve">Otoa</x:t>
        </x:is>
      </x:c>
      <x:c r="C207" t="inlineStr">
        <x:is>
          <x:t xml:space="preserve">Genoa</x:t>
        </x:is>
      </x:c>
      <x:c r="D207" t="inlineStr">
        <x:is>
          <x:t xml:space="preserve">Dc</x:t>
        </x:is>
      </x:c>
      <x:c r="E207" t="inlineStr">
        <x:is>
          <x:t xml:space="preserve">Riserva / rotazione</x:t>
        </x:is>
      </x:c>
      <x:c r="F207" t="n">
        <x:v>2</x:v>
      </x:c>
      <x:c r="G207" t="n">
        <x:v>5</x:v>
      </x:c>
      <x:c r="H207" t="n">
        <x:f>ROUND(G207*504/1000,0)</x:f>
        <x:v>3</x:v>
      </x:c>
      <x:c r="I207"/>
      <x:c r="J207"/>
      <x:c r="K207"/>
    </x:row>
    <x:row r="208">
      <x:c r="A208" t="inlineStr">
        <x:is>
          <x:t xml:space="preserve">D</x:t>
        </x:is>
      </x:c>
      <x:c r="B208" t="inlineStr">
        <x:is>
          <x:t xml:space="preserve">Puczka</x:t>
        </x:is>
      </x:c>
      <x:c r="C208" t="inlineStr">
        <x:is>
          <x:t xml:space="preserve">Genoa</x:t>
        </x:is>
      </x:c>
      <x:c r="D208" t="inlineStr">
        <x:is>
          <x:t xml:space="preserve">Ds;E</x:t>
        </x:is>
      </x:c>
      <x:c r="E208" t="inlineStr">
        <x:is>
          <x:t xml:space="preserve">Ballottaggio</x:t>
        </x:is>
      </x:c>
      <x:c r="F208" t="n">
        <x:v>2</x:v>
      </x:c>
      <x:c r="G208" t="n">
        <x:v>7</x:v>
      </x:c>
      <x:c r="H208" t="n">
        <x:f>ROUND(G208*504/1000,0)</x:f>
        <x:v>4</x:v>
      </x:c>
      <x:c r="I208"/>
      <x:c r="J208"/>
      <x:c r="K208"/>
    </x:row>
    <x:row r="209">
      <x:c r="A209" t="inlineStr">
        <x:is>
          <x:t xml:space="preserve">D</x:t>
        </x:is>
      </x:c>
      <x:c r="B209" t="inlineStr">
        <x:is>
          <x:t xml:space="preserve">Sabelli</x:t>
        </x:is>
      </x:c>
      <x:c r="C209" t="inlineStr">
        <x:is>
          <x:t xml:space="preserve">Genoa</x:t>
        </x:is>
      </x:c>
      <x:c r="D209" t="inlineStr">
        <x:is>
          <x:t xml:space="preserve">Dd;Ds;E</x:t>
        </x:is>
      </x:c>
      <x:c r="E209" t="inlineStr">
        <x:is>
          <x:t xml:space="preserve">Riserva / rotazione</x:t>
        </x:is>
      </x:c>
      <x:c r="F209" t="n">
        <x:v>2</x:v>
      </x:c>
      <x:c r="G209" t="n">
        <x:v>5</x:v>
      </x:c>
      <x:c r="H209" t="n">
        <x:f>ROUND(G209*504/1000,0)</x:f>
        <x:v>3</x:v>
      </x:c>
      <x:c r="I209"/>
      <x:c r="J209"/>
      <x:c r="K209"/>
    </x:row>
    <x:row r="210">
      <x:c r="A210" t="inlineStr">
        <x:is>
          <x:t xml:space="preserve">D</x:t>
        </x:is>
      </x:c>
      <x:c r="B210" t="inlineStr">
        <x:is>
          <x:t xml:space="preserve">Lazzari</x:t>
        </x:is>
      </x:c>
      <x:c r="C210" t="inlineStr">
        <x:is>
          <x:t xml:space="preserve">Lazio</x:t>
        </x:is>
      </x:c>
      <x:c r="D210" t="inlineStr">
        <x:is>
          <x:t xml:space="preserve">Dd;E</x:t>
        </x:is>
      </x:c>
      <x:c r="E210" t="inlineStr">
        <x:is>
          <x:t xml:space="preserve">Riserva / rotazione</x:t>
        </x:is>
      </x:c>
      <x:c r="F210" t="n">
        <x:v>2</x:v>
      </x:c>
      <x:c r="G210" t="n">
        <x:v>8</x:v>
      </x:c>
      <x:c r="H210" t="n">
        <x:f>ROUND(G210*504/1000,0)</x:f>
        <x:v>4</x:v>
      </x:c>
      <x:c r="I210"/>
      <x:c r="J210"/>
      <x:c r="K210"/>
    </x:row>
    <x:row r="211">
      <x:c r="A211" t="inlineStr">
        <x:is>
          <x:t xml:space="preserve">D</x:t>
        </x:is>
      </x:c>
      <x:c r="B211" t="inlineStr">
        <x:is>
          <x:t xml:space="preserve">Pellegrini Lu.</x:t>
        </x:is>
      </x:c>
      <x:c r="C211" t="inlineStr">
        <x:is>
          <x:t xml:space="preserve">Lazio</x:t>
        </x:is>
      </x:c>
      <x:c r="D211" t="inlineStr">
        <x:is>
          <x:t xml:space="preserve">Ds;E</x:t>
        </x:is>
      </x:c>
      <x:c r="E211" t="inlineStr">
        <x:is>
          <x:t xml:space="preserve">Riserva / rotazione</x:t>
        </x:is>
      </x:c>
      <x:c r="F211" t="n">
        <x:v>2</x:v>
      </x:c>
      <x:c r="G211" t="n">
        <x:v>5</x:v>
      </x:c>
      <x:c r="H211" t="n">
        <x:f>ROUND(G211*504/1000,0)</x:f>
        <x:v>3</x:v>
      </x:c>
      <x:c r="I211"/>
      <x:c r="J211"/>
      <x:c r="K211"/>
    </x:row>
    <x:row r="212">
      <x:c r="A212" t="inlineStr">
        <x:is>
          <x:t xml:space="preserve">D</x:t>
        </x:is>
      </x:c>
      <x:c r="B212" t="inlineStr">
        <x:is>
          <x:t xml:space="preserve">Jean</x:t>
        </x:is>
      </x:c>
      <x:c r="C212" t="inlineStr">
        <x:is>
          <x:t xml:space="preserve">Lecce</x:t>
        </x:is>
      </x:c>
      <x:c r="D212" t="inlineStr">
        <x:is>
          <x:t xml:space="preserve">Dc</x:t>
        </x:is>
      </x:c>
      <x:c r="E212" t="inlineStr">
        <x:is>
          <x:t xml:space="preserve">Riserva / rotazione</x:t>
        </x:is>
      </x:c>
      <x:c r="F212" t="n">
        <x:v>2</x:v>
      </x:c>
      <x:c r="G212" t="n">
        <x:v>4</x:v>
      </x:c>
      <x:c r="H212" t="n">
        <x:f>ROUND(G212*504/1000,0)</x:f>
        <x:v>2</x:v>
      </x:c>
      <x:c r="I212"/>
      <x:c r="J212"/>
      <x:c r="K212"/>
    </x:row>
    <x:row r="213">
      <x:c r="A213" t="inlineStr">
        <x:is>
          <x:t xml:space="preserve">D</x:t>
        </x:is>
      </x:c>
      <x:c r="B213" t="inlineStr">
        <x:is>
          <x:t xml:space="preserve">Diawara S.</x:t>
        </x:is>
      </x:c>
      <x:c r="C213" t="inlineStr">
        <x:is>
          <x:t xml:space="preserve">Milan</x:t>
        </x:is>
      </x:c>
      <x:c r="D213" t="inlineStr">
        <x:is>
          <x:t xml:space="preserve">Ds;Dc</x:t>
        </x:is>
      </x:c>
      <x:c r="E213" t="inlineStr">
        <x:is>
          <x:t xml:space="preserve">Riserva / rotazione</x:t>
        </x:is>
      </x:c>
      <x:c r="F213" t="n">
        <x:v>2</x:v>
      </x:c>
      <x:c r="G213" t="n">
        <x:v>4</x:v>
      </x:c>
      <x:c r="H213" t="n">
        <x:f>ROUND(G213*504/1000,0)</x:f>
        <x:v>2</x:v>
      </x:c>
      <x:c r="I213"/>
      <x:c r="J213"/>
      <x:c r="K213"/>
    </x:row>
    <x:row r="214">
      <x:c r="A214" t="inlineStr">
        <x:is>
          <x:t xml:space="preserve">D</x:t>
        </x:is>
      </x:c>
      <x:c r="B214" t="inlineStr">
        <x:is>
          <x:t xml:space="preserve">Marin R.</x:t>
        </x:is>
      </x:c>
      <x:c r="C214" t="inlineStr">
        <x:is>
          <x:t xml:space="preserve">Napoli</x:t>
        </x:is>
      </x:c>
      <x:c r="D214" t="inlineStr">
        <x:is>
          <x:t xml:space="preserve">Dc</x:t>
        </x:is>
      </x:c>
      <x:c r="E214" t="inlineStr">
        <x:is>
          <x:t xml:space="preserve">Riserva / rotazione</x:t>
        </x:is>
      </x:c>
      <x:c r="F214" t="n">
        <x:v>2</x:v>
      </x:c>
      <x:c r="G214" t="n">
        <x:v>6</x:v>
      </x:c>
      <x:c r="H214" t="n">
        <x:f>ROUND(G214*504/1000,0)</x:f>
        <x:v>3</x:v>
      </x:c>
      <x:c r="I214"/>
      <x:c r="J214"/>
      <x:c r="K214"/>
    </x:row>
    <x:row r="215">
      <x:c r="A215" t="inlineStr">
        <x:is>
          <x:t xml:space="preserve">D</x:t>
        </x:is>
      </x:c>
      <x:c r="B215" t="inlineStr">
        <x:is>
          <x:t xml:space="preserve">Biraghi</x:t>
        </x:is>
      </x:c>
      <x:c r="C215" t="inlineStr">
        <x:is>
          <x:t xml:space="preserve">Torino</x:t>
        </x:is>
      </x:c>
      <x:c r="D215" t="inlineStr">
        <x:is>
          <x:t xml:space="preserve">B;Ds;E</x:t>
        </x:is>
      </x:c>
      <x:c r="E215" t="inlineStr">
        <x:is>
          <x:t xml:space="preserve">Riserva / rotazione</x:t>
        </x:is>
      </x:c>
      <x:c r="F215" t="n">
        <x:v>2</x:v>
      </x:c>
      <x:c r="G215" t="n">
        <x:v>5</x:v>
      </x:c>
      <x:c r="H215" t="n">
        <x:f>ROUND(G215*504/1000,0)</x:f>
        <x:v>3</x:v>
      </x:c>
      <x:c r="I215"/>
      <x:c r="J215"/>
      <x:c r="K215"/>
    </x:row>
    <x:row r="216">
      <x:c r="A216" t="inlineStr">
        <x:is>
          <x:t xml:space="preserve">D</x:t>
        </x:is>
      </x:c>
      <x:c r="B216" t="inlineStr">
        <x:is>
          <x:t xml:space="preserve">Ebosse</x:t>
        </x:is>
      </x:c>
      <x:c r="C216" t="inlineStr">
        <x:is>
          <x:t xml:space="preserve">Udinese</x:t>
        </x:is>
      </x:c>
      <x:c r="D216" t="inlineStr">
        <x:is>
          <x:t xml:space="preserve">Ds;Dc</x:t>
        </x:is>
      </x:c>
      <x:c r="E216" t="inlineStr">
        <x:is>
          <x:t xml:space="preserve">Riserva / rotazione</x:t>
        </x:is>
      </x:c>
      <x:c r="F216" t="n">
        <x:v>2</x:v>
      </x:c>
      <x:c r="G216" t="n">
        <x:v>4</x:v>
      </x:c>
      <x:c r="H216" t="n">
        <x:f>ROUND(G216*504/1000,0)</x:f>
        <x:v>2</x:v>
      </x:c>
      <x:c r="I216"/>
      <x:c r="J216"/>
      <x:c r="K216"/>
    </x:row>
    <x:row r="217">
      <x:c r="A217" t="inlineStr">
        <x:is>
          <x:t xml:space="preserve">D</x:t>
        </x:is>
      </x:c>
      <x:c r="B217" t="inlineStr">
        <x:is>
          <x:t xml:space="preserve">Palma</x:t>
        </x:is>
      </x:c>
      <x:c r="C217" t="inlineStr">
        <x:is>
          <x:t xml:space="preserve">Udinese</x:t>
        </x:is>
      </x:c>
      <x:c r="D217" t="inlineStr">
        <x:is>
          <x:t xml:space="preserve">Dc</x:t>
        </x:is>
      </x:c>
      <x:c r="E217" t="inlineStr">
        <x:is>
          <x:t xml:space="preserve">Titolare / ballottaggio</x:t>
        </x:is>
      </x:c>
      <x:c r="F217" t="n">
        <x:v>2</x:v>
      </x:c>
      <x:c r="G217" t="n">
        <x:v>5</x:v>
      </x:c>
      <x:c r="H217" t="n">
        <x:f>ROUND(G217*504/1000,0)</x:f>
        <x:v>3</x:v>
      </x:c>
      <x:c r="I217"/>
      <x:c r="J217"/>
      <x:c r="K217"/>
    </x:row>
    <x:row r="218">
      <x:c r="A218" t="inlineStr">
        <x:is>
          <x:t xml:space="preserve">D</x:t>
        </x:is>
      </x:c>
      <x:c r="B218" t="inlineStr">
        <x:is>
          <x:t xml:space="preserve">Franjic</x:t>
        </x:is>
      </x:c>
      <x:c r="C218" t="inlineStr">
        <x:is>
          <x:t xml:space="preserve">Venezia</x:t>
        </x:is>
      </x:c>
      <x:c r="D218" t="inlineStr">
        <x:is>
          <x:t xml:space="preserve">B;Ds;E</x:t>
        </x:is>
      </x:c>
      <x:c r="E218" t="inlineStr">
        <x:is>
          <x:t xml:space="preserve">Riserva / rotazione</x:t>
        </x:is>
      </x:c>
      <x:c r="F218" t="n">
        <x:v>2</x:v>
      </x:c>
      <x:c r="G218" t="n">
        <x:v>4</x:v>
      </x:c>
      <x:c r="H218" t="n">
        <x:f>ROUND(G218*504/1000,0)</x:f>
        <x:v>2</x:v>
      </x:c>
      <x:c r="I218"/>
      <x:c r="J218"/>
      <x:c r="K218"/>
    </x:row>
    <x:row r="219">
      <x:c r="A219" t="inlineStr">
        <x:is>
          <x:t xml:space="preserve">D</x:t>
        </x:is>
      </x:c>
      <x:c r="B219" t="inlineStr">
        <x:is>
          <x:t xml:space="preserve">Sagrado</x:t>
        </x:is>
      </x:c>
      <x:c r="C219" t="inlineStr">
        <x:is>
          <x:t xml:space="preserve">Venezia</x:t>
        </x:is>
      </x:c>
      <x:c r="D219" t="inlineStr">
        <x:is>
          <x:t xml:space="preserve">Dd;E</x:t>
        </x:is>
      </x:c>
      <x:c r="E219" t="inlineStr">
        <x:is>
          <x:t xml:space="preserve">Riserva / rotazione</x:t>
        </x:is>
      </x:c>
      <x:c r="F219" t="n">
        <x:v>2</x:v>
      </x:c>
      <x:c r="G219" t="n">
        <x:v>4</x:v>
      </x:c>
      <x:c r="H219" t="n">
        <x:f>ROUND(G219*504/1000,0)</x:f>
        <x:v>2</x:v>
      </x:c>
      <x:c r="I219"/>
      <x:c r="J219"/>
      <x:c r="K219"/>
    </x:row>
    <x:row r="220">
      <x:c r="A220" t="inlineStr">
        <x:is>
          <x:t xml:space="preserve">D</x:t>
        </x:is>
      </x:c>
      <x:c r="B220" t="inlineStr">
        <x:is>
          <x:t xml:space="preserve">De Silvestri</x:t>
        </x:is>
      </x:c>
      <x:c r="C220" t="inlineStr">
        <x:is>
          <x:t xml:space="preserve">Bologna</x:t>
        </x:is>
      </x:c>
      <x:c r="D220" t="inlineStr">
        <x:is>
          <x:t xml:space="preserve">Dd;E</x:t>
        </x:is>
      </x:c>
      <x:c r="E220" t="inlineStr">
        <x:is>
          <x:t xml:space="preserve">Riserva / rotazione</x:t>
        </x:is>
      </x:c>
      <x:c r="F220" t="n">
        <x:v>1</x:v>
      </x:c>
      <x:c r="G220" t="n">
        <x:v>4</x:v>
      </x:c>
      <x:c r="H220" t="n">
        <x:f>ROUND(G220*504/1000,0)</x:f>
        <x:v>2</x:v>
      </x:c>
      <x:c r="I220"/>
      <x:c r="J220"/>
      <x:c r="K220"/>
    </x:row>
    <x:row r="221">
      <x:c r="A221" t="inlineStr">
        <x:is>
          <x:t xml:space="preserve">D</x:t>
        </x:is>
      </x:c>
      <x:c r="B221" t="inlineStr">
        <x:is>
          <x:t xml:space="preserve">Raterink</x:t>
        </x:is>
      </x:c>
      <x:c r="C221" t="inlineStr">
        <x:is>
          <x:t xml:space="preserve">Cagliari</x:t>
        </x:is>
      </x:c>
      <x:c r="D221" t="inlineStr">
        <x:is>
          <x:t xml:space="preserve">Dd;E</x:t>
        </x:is>
      </x:c>
      <x:c r="E221" t="inlineStr">
        <x:is>
          <x:t xml:space="preserve">Riserva / rotazione</x:t>
        </x:is>
      </x:c>
      <x:c r="F221" t="n">
        <x:v>1</x:v>
      </x:c>
      <x:c r="G221" t="n">
        <x:v>1</x:v>
      </x:c>
      <x:c r="H221" t="n">
        <x:f>ROUND(G221*504/1000,0)</x:f>
        <x:v>1</x:v>
      </x:c>
      <x:c r="I221"/>
      <x:c r="J221"/>
      <x:c r="K221"/>
    </x:row>
    <x:row r="222">
      <x:c r="A222" t="inlineStr">
        <x:is>
          <x:t xml:space="preserve">D</x:t>
        </x:is>
      </x:c>
      <x:c r="B222" t="inlineStr">
        <x:is>
          <x:t xml:space="preserve">Cuenca A.</x:t>
        </x:is>
      </x:c>
      <x:c r="C222" t="inlineStr">
        <x:is>
          <x:t xml:space="preserve">Como</x:t>
        </x:is>
      </x:c>
      <x:c r="D222" t="inlineStr">
        <x:is>
          <x:t xml:space="preserve">Ds;Dc</x:t>
        </x:is>
      </x:c>
      <x:c r="E222" t="inlineStr">
        <x:is>
          <x:t xml:space="preserve">Riserva / rotazione</x:t>
        </x:is>
      </x:c>
      <x:c r="F222" t="n">
        <x:v>1</x:v>
      </x:c>
      <x:c r="G222" t="n">
        <x:v>8</x:v>
      </x:c>
      <x:c r="H222" t="n">
        <x:f>ROUND(G222*504/1000,0)</x:f>
        <x:v>4</x:v>
      </x:c>
      <x:c r="I222"/>
      <x:c r="J222"/>
      <x:c r="K222"/>
    </x:row>
    <x:row r="223">
      <x:c r="A223" t="inlineStr">
        <x:is>
          <x:t xml:space="preserve">D</x:t>
        </x:is>
      </x:c>
      <x:c r="B223" t="inlineStr">
        <x:is>
          <x:t xml:space="preserve">Goldaniga</x:t>
        </x:is>
      </x:c>
      <x:c r="C223" t="inlineStr">
        <x:is>
          <x:t xml:space="preserve">Como</x:t>
        </x:is>
      </x:c>
      <x:c r="D223" t="inlineStr">
        <x:is>
          <x:t xml:space="preserve">Dc</x:t>
        </x:is>
      </x:c>
      <x:c r="E223" t="inlineStr">
        <x:is>
          <x:t xml:space="preserve">Riserva / rotazione</x:t>
        </x:is>
      </x:c>
      <x:c r="F223" t="n">
        <x:v>1</x:v>
      </x:c>
      <x:c r="G223" t="n">
        <x:v>1</x:v>
      </x:c>
      <x:c r="H223" t="n">
        <x:f>ROUND(G223*504/1000,0)</x:f>
        <x:v>1</x:v>
      </x:c>
      <x:c r="I223"/>
      <x:c r="J223"/>
      <x:c r="K223"/>
    </x:row>
    <x:row r="224">
      <x:c r="A224" t="inlineStr">
        <x:is>
          <x:t xml:space="preserve">D</x:t>
        </x:is>
      </x:c>
      <x:c r="B224" t="inlineStr">
        <x:is>
          <x:t xml:space="preserve">Amey</x:t>
        </x:is>
      </x:c>
      <x:c r="C224" t="inlineStr">
        <x:is>
          <x:t xml:space="preserve">Frosinone</x:t>
        </x:is>
      </x:c>
      <x:c r="D224" t="inlineStr">
        <x:is>
          <x:t xml:space="preserve">Dc</x:t>
        </x:is>
      </x:c>
      <x:c r="E224" t="inlineStr">
        <x:is>
          <x:t xml:space="preserve">Riserva / rotazione</x:t>
        </x:is>
      </x:c>
      <x:c r="F224" t="n">
        <x:v>1</x:v>
      </x:c>
      <x:c r="G224" t="n">
        <x:v>1</x:v>
      </x:c>
      <x:c r="H224" t="n">
        <x:f>ROUND(G224*504/1000,0)</x:f>
        <x:v>1</x:v>
      </x:c>
      <x:c r="I224"/>
      <x:c r="J224"/>
      <x:c r="K224"/>
    </x:row>
    <x:row r="225">
      <x:c r="A225" t="inlineStr">
        <x:is>
          <x:t xml:space="preserve">D</x:t>
        </x:is>
      </x:c>
      <x:c r="B225" t="inlineStr">
        <x:is>
          <x:t xml:space="preserve">Corrado</x:t>
        </x:is>
      </x:c>
      <x:c r="C225" t="inlineStr">
        <x:is>
          <x:t xml:space="preserve">Frosinone</x:t>
        </x:is>
      </x:c>
      <x:c r="D225" t="inlineStr">
        <x:is>
          <x:t xml:space="preserve">Ds;E</x:t>
        </x:is>
      </x:c>
      <x:c r="E225" t="inlineStr">
        <x:is>
          <x:t xml:space="preserve">Riserva / rotazione</x:t>
        </x:is>
      </x:c>
      <x:c r="F225" t="n">
        <x:v>1</x:v>
      </x:c>
      <x:c r="G225" t="n">
        <x:v>3</x:v>
      </x:c>
      <x:c r="H225" t="n">
        <x:f>ROUND(G225*504/1000,0)</x:f>
        <x:v>2</x:v>
      </x:c>
      <x:c r="I225"/>
      <x:c r="J225"/>
      <x:c r="K225"/>
    </x:row>
    <x:row r="226">
      <x:c r="A226" t="inlineStr">
        <x:is>
          <x:t xml:space="preserve">D</x:t>
        </x:is>
      </x:c>
      <x:c r="B226" t="inlineStr">
        <x:is>
          <x:t xml:space="preserve">Gelli J.</x:t>
        </x:is>
      </x:c>
      <x:c r="C226" t="inlineStr">
        <x:is>
          <x:t xml:space="preserve">Frosinone</x:t>
        </x:is>
      </x:c>
      <x:c r="D226" t="inlineStr">
        <x:is>
          <x:t xml:space="preserve">Dc</x:t>
        </x:is>
      </x:c>
      <x:c r="E226" t="inlineStr">
        <x:is>
          <x:t xml:space="preserve">Riserva / rotazione</x:t>
        </x:is>
      </x:c>
      <x:c r="F226" t="n">
        <x:v>1</x:v>
      </x:c>
      <x:c r="G226" t="n">
        <x:v>1</x:v>
      </x:c>
      <x:c r="H226" t="n">
        <x:f>ROUND(G226*504/1000,0)</x:f>
        <x:v>1</x:v>
      </x:c>
      <x:c r="I226"/>
      <x:c r="J226"/>
      <x:c r="K226"/>
    </x:row>
    <x:row r="227">
      <x:c r="A227" t="inlineStr">
        <x:is>
          <x:t xml:space="preserve">D</x:t>
        </x:is>
      </x:c>
      <x:c r="B227" t="inlineStr">
        <x:is>
          <x:t xml:space="preserve">Oyono J.</x:t>
        </x:is>
      </x:c>
      <x:c r="C227" t="inlineStr">
        <x:is>
          <x:t xml:space="preserve">Frosinone</x:t>
        </x:is>
      </x:c>
      <x:c r="D227" t="inlineStr">
        <x:is>
          <x:t xml:space="preserve">Dd;E</x:t>
        </x:is>
      </x:c>
      <x:c r="E227" t="inlineStr">
        <x:is>
          <x:t xml:space="preserve">Ballottaggio</x:t>
        </x:is>
      </x:c>
      <x:c r="F227" t="n">
        <x:v>1</x:v>
      </x:c>
      <x:c r="G227" t="n">
        <x:v>3</x:v>
      </x:c>
      <x:c r="H227" t="n">
        <x:f>ROUND(G227*504/1000,0)</x:f>
        <x:v>2</x:v>
      </x:c>
      <x:c r="I227"/>
      <x:c r="J227"/>
      <x:c r="K227"/>
    </x:row>
    <x:row r="228">
      <x:c r="A228" t="inlineStr">
        <x:is>
          <x:t xml:space="preserve">D</x:t>
        </x:is>
      </x:c>
      <x:c r="B228" t="inlineStr">
        <x:is>
          <x:t xml:space="preserve">Matturro</x:t>
        </x:is>
      </x:c>
      <x:c r="C228" t="inlineStr">
        <x:is>
          <x:t xml:space="preserve">Genoa</x:t>
        </x:is>
      </x:c>
      <x:c r="D228" t="inlineStr">
        <x:is>
          <x:t xml:space="preserve">Ds;Dc</x:t>
        </x:is>
      </x:c>
      <x:c r="E228" t="inlineStr">
        <x:is>
          <x:t xml:space="preserve">Riserva / rotazione</x:t>
        </x:is>
      </x:c>
      <x:c r="F228" t="n">
        <x:v>1</x:v>
      </x:c>
      <x:c r="G228" t="n">
        <x:v>2</x:v>
      </x:c>
      <x:c r="H228" t="n">
        <x:f>ROUND(G228*504/1000,0)</x:f>
        <x:v>1</x:v>
      </x:c>
      <x:c r="I228"/>
      <x:c r="J228"/>
      <x:c r="K228"/>
    </x:row>
    <x:row r="229">
      <x:c r="A229" t="inlineStr">
        <x:is>
          <x:t xml:space="preserve">D</x:t>
        </x:is>
      </x:c>
      <x:c r="B229" t="inlineStr">
        <x:is>
          <x:t xml:space="preserve">Vogliacco</x:t>
        </x:is>
      </x:c>
      <x:c r="C229" t="inlineStr">
        <x:is>
          <x:t xml:space="preserve">Genoa</x:t>
        </x:is>
      </x:c>
      <x:c r="D229" t="inlineStr">
        <x:is>
          <x:t xml:space="preserve">Dd;Dc</x:t>
        </x:is>
      </x:c>
      <x:c r="E229" t="inlineStr">
        <x:is>
          <x:t xml:space="preserve">Riserva / rotazione</x:t>
        </x:is>
      </x:c>
      <x:c r="F229" t="n">
        <x:v>1</x:v>
      </x:c>
      <x:c r="G229" t="n">
        <x:v>2</x:v>
      </x:c>
      <x:c r="H229" t="n">
        <x:f>ROUND(G229*504/1000,0)</x:f>
        <x:v>1</x:v>
      </x:c>
      <x:c r="I229"/>
      <x:c r="J229"/>
      <x:c r="K229"/>
    </x:row>
    <x:row r="230">
      <x:c r="A230" t="inlineStr">
        <x:is>
          <x:t xml:space="preserve">D</x:t>
        </x:is>
      </x:c>
      <x:c r="B230" t="inlineStr">
        <x:is>
          <x:t xml:space="preserve">Cabal</x:t>
        </x:is>
      </x:c>
      <x:c r="C230" t="inlineStr">
        <x:is>
          <x:t xml:space="preserve">Juventus</x:t>
        </x:is>
      </x:c>
      <x:c r="D230" t="inlineStr">
        <x:is>
          <x:t xml:space="preserve">B;Ds;E</x:t>
        </x:is>
      </x:c>
      <x:c r="E230" t="inlineStr">
        <x:is>
          <x:t xml:space="preserve">Riserva / rotazione</x:t>
        </x:is>
      </x:c>
      <x:c r="F230" t="n">
        <x:v>1</x:v>
      </x:c>
      <x:c r="G230" t="n">
        <x:v>4</x:v>
      </x:c>
      <x:c r="H230" t="n">
        <x:f>ROUND(G230*504/1000,0)</x:f>
        <x:v>2</x:v>
      </x:c>
      <x:c r="I230"/>
      <x:c r="J230"/>
      <x:c r="K230"/>
    </x:row>
    <x:row r="231">
      <x:c r="A231" t="inlineStr">
        <x:is>
          <x:t xml:space="preserve">D</x:t>
        </x:is>
      </x:c>
      <x:c r="B231" t="inlineStr">
        <x:is>
          <x:t xml:space="preserve">Rugani</x:t>
        </x:is>
      </x:c>
      <x:c r="C231" t="inlineStr">
        <x:is>
          <x:t xml:space="preserve">Juventus</x:t>
        </x:is>
      </x:c>
      <x:c r="D231" t="inlineStr">
        <x:is>
          <x:t xml:space="preserve">Dc</x:t>
        </x:is>
      </x:c>
      <x:c r="E231" t="inlineStr">
        <x:is>
          <x:t xml:space="preserve">Riserva / rotazione</x:t>
        </x:is>
      </x:c>
      <x:c r="F231" t="n">
        <x:v>1</x:v>
      </x:c>
      <x:c r="G231" t="n">
        <x:v>3</x:v>
      </x:c>
      <x:c r="H231" t="n">
        <x:f>ROUND(G231*504/1000,0)</x:f>
        <x:v>2</x:v>
      </x:c>
      <x:c r="I231"/>
      <x:c r="J231"/>
      <x:c r="K231"/>
    </x:row>
    <x:row r="232">
      <x:c r="A232" t="inlineStr">
        <x:is>
          <x:t xml:space="preserve">D</x:t>
        </x:is>
      </x:c>
      <x:c r="B232" t="inlineStr">
        <x:is>
          <x:t xml:space="preserve">Patric</x:t>
        </x:is>
      </x:c>
      <x:c r="C232" t="inlineStr">
        <x:is>
          <x:t xml:space="preserve">Lazio</x:t>
        </x:is>
      </x:c>
      <x:c r="D232" t="inlineStr">
        <x:is>
          <x:t xml:space="preserve">Dd;Dc</x:t>
        </x:is>
      </x:c>
      <x:c r="E232" t="inlineStr">
        <x:is>
          <x:t xml:space="preserve">Riserva / rotazione</x:t>
        </x:is>
      </x:c>
      <x:c r="F232" t="n">
        <x:v>1</x:v>
      </x:c>
      <x:c r="G232" t="n">
        <x:v>4</x:v>
      </x:c>
      <x:c r="H232" t="n">
        <x:f>ROUND(G232*504/1000,0)</x:f>
        <x:v>2</x:v>
      </x:c>
      <x:c r="I232"/>
      <x:c r="J232"/>
      <x:c r="K232"/>
    </x:row>
    <x:row r="233">
      <x:c r="A233" t="inlineStr">
        <x:is>
          <x:t xml:space="preserve">D</x:t>
        </x:is>
      </x:c>
      <x:c r="B233" t="inlineStr">
        <x:is>
          <x:t xml:space="preserve">Ndaba</x:t>
        </x:is>
      </x:c>
      <x:c r="C233" t="inlineStr">
        <x:is>
          <x:t xml:space="preserve">Lecce</x:t>
        </x:is>
      </x:c>
      <x:c r="D233" t="inlineStr">
        <x:is>
          <x:t xml:space="preserve">Ds;E</x:t>
        </x:is>
      </x:c>
      <x:c r="E233" t="inlineStr">
        <x:is>
          <x:t xml:space="preserve">Riserva / rotazione</x:t>
        </x:is>
      </x:c>
      <x:c r="F233" t="n">
        <x:v>1</x:v>
      </x:c>
      <x:c r="G233" t="n">
        <x:v>4</x:v>
      </x:c>
      <x:c r="H233" t="n">
        <x:f>ROUND(G233*504/1000,0)</x:f>
        <x:v>2</x:v>
      </x:c>
      <x:c r="I233"/>
      <x:c r="J233"/>
      <x:c r="K233"/>
    </x:row>
    <x:row r="234">
      <x:c r="A234" t="inlineStr">
        <x:is>
          <x:t xml:space="preserve">D</x:t>
        </x:is>
      </x:c>
      <x:c r="B234" t="inlineStr">
        <x:is>
          <x:t xml:space="preserve">Perez M.</x:t>
        </x:is>
      </x:c>
      <x:c r="C234" t="inlineStr">
        <x:is>
          <x:t xml:space="preserve">Lecce</x:t>
        </x:is>
      </x:c>
      <x:c r="D234" t="inlineStr">
        <x:is>
          <x:t xml:space="preserve">Dd;Dc</x:t>
        </x:is>
      </x:c>
      <x:c r="E234" t="inlineStr">
        <x:is>
          <x:t xml:space="preserve">Riserva / rotazione</x:t>
        </x:is>
      </x:c>
      <x:c r="F234" t="n">
        <x:v>1</x:v>
      </x:c>
      <x:c r="G234" t="n">
        <x:v>1</x:v>
      </x:c>
      <x:c r="H234" t="n">
        <x:f>ROUND(G234*504/1000,0)</x:f>
        <x:v>1</x:v>
      </x:c>
      <x:c r="I234"/>
      <x:c r="J234"/>
      <x:c r="K234"/>
    </x:row>
    <x:row r="235">
      <x:c r="A235" t="inlineStr">
        <x:is>
          <x:t xml:space="preserve">D</x:t>
        </x:is>
      </x:c>
      <x:c r="B235" t="inlineStr">
        <x:is>
          <x:t xml:space="preserve">Antov</x:t>
        </x:is>
      </x:c>
      <x:c r="C235" t="inlineStr">
        <x:is>
          <x:t xml:space="preserve">Monza</x:t>
        </x:is>
      </x:c>
      <x:c r="D235" t="inlineStr">
        <x:is>
          <x:t xml:space="preserve">Dc</x:t>
        </x:is>
      </x:c>
      <x:c r="E235" t="inlineStr">
        <x:is>
          <x:t xml:space="preserve">Riserva / rotazione</x:t>
        </x:is>
      </x:c>
      <x:c r="F235" t="n">
        <x:v>1</x:v>
      </x:c>
      <x:c r="G235" t="n">
        <x:v>2</x:v>
      </x:c>
      <x:c r="H235" t="n">
        <x:f>ROUND(G235*504/1000,0)</x:f>
        <x:v>1</x:v>
      </x:c>
      <x:c r="I235"/>
      <x:c r="J235"/>
      <x:c r="K235"/>
    </x:row>
    <x:row r="236">
      <x:c r="A236" t="inlineStr">
        <x:is>
          <x:t xml:space="preserve">D</x:t>
        </x:is>
      </x:c>
      <x:c r="B236" t="inlineStr">
        <x:is>
          <x:t xml:space="preserve">Bakoune</x:t>
        </x:is>
      </x:c>
      <x:c r="C236" t="inlineStr">
        <x:is>
          <x:t xml:space="preserve">Monza</x:t>
        </x:is>
      </x:c>
      <x:c r="D236" t="inlineStr">
        <x:is>
          <x:t xml:space="preserve">Dd;E</x:t>
        </x:is>
      </x:c>
      <x:c r="E236" t="inlineStr">
        <x:is>
          <x:t xml:space="preserve">Riserva / rotazione</x:t>
        </x:is>
      </x:c>
      <x:c r="F236" t="n">
        <x:v>1</x:v>
      </x:c>
      <x:c r="G236" t="n">
        <x:v>4</x:v>
      </x:c>
      <x:c r="H236" t="n">
        <x:f>ROUND(G236*504/1000,0)</x:f>
        <x:v>2</x:v>
      </x:c>
      <x:c r="I236"/>
      <x:c r="J236"/>
      <x:c r="K236"/>
    </x:row>
    <x:row r="237">
      <x:c r="A237" t="inlineStr">
        <x:is>
          <x:t xml:space="preserve">D</x:t>
        </x:is>
      </x:c>
      <x:c r="B237" t="inlineStr">
        <x:is>
          <x:t xml:space="preserve">Marianucci</x:t>
        </x:is>
      </x:c>
      <x:c r="C237" t="inlineStr">
        <x:is>
          <x:t xml:space="preserve">Napoli</x:t>
        </x:is>
      </x:c>
      <x:c r="D237" t="inlineStr">
        <x:is>
          <x:t xml:space="preserve">Dc</x:t>
        </x:is>
      </x:c>
      <x:c r="E237" t="inlineStr">
        <x:is>
          <x:t xml:space="preserve">Riserva / rotazione</x:t>
        </x:is>
      </x:c>
      <x:c r="F237" t="n">
        <x:v>1</x:v>
      </x:c>
      <x:c r="G237" t="n">
        <x:v>5</x:v>
      </x:c>
      <x:c r="H237" t="n">
        <x:f>ROUND(G237*504/1000,0)</x:f>
        <x:v>3</x:v>
      </x:c>
      <x:c r="I237"/>
      <x:c r="J237"/>
      <x:c r="K237"/>
    </x:row>
    <x:row r="238">
      <x:c r="A238" t="inlineStr">
        <x:is>
          <x:t xml:space="preserve">D</x:t>
        </x:is>
      </x:c>
      <x:c r="B238" t="inlineStr">
        <x:is>
          <x:t xml:space="preserve">Mazzocchi</x:t>
        </x:is>
      </x:c>
      <x:c r="C238" t="inlineStr">
        <x:is>
          <x:t xml:space="preserve">Napoli</x:t>
        </x:is>
      </x:c>
      <x:c r="D238" t="inlineStr">
        <x:is>
          <x:t xml:space="preserve">Dd;Ds;E</x:t>
        </x:is>
      </x:c>
      <x:c r="E238" t="inlineStr">
        <x:is>
          <x:t xml:space="preserve">Riserva / rotazione</x:t>
        </x:is>
      </x:c>
      <x:c r="F238" t="n">
        <x:v>1</x:v>
      </x:c>
      <x:c r="G238" t="n">
        <x:v>3</x:v>
      </x:c>
      <x:c r="H238" t="n">
        <x:f>ROUND(G238*504/1000,0)</x:f>
        <x:v>2</x:v>
      </x:c>
      <x:c r="I238"/>
      <x:c r="J238"/>
      <x:c r="K238"/>
    </x:row>
    <x:row r="239">
      <x:c r="A239" t="inlineStr">
        <x:is>
          <x:t xml:space="preserve">D</x:t>
        </x:is>
      </x:c>
      <x:c r="B239" t="inlineStr">
        <x:is>
          <x:t xml:space="preserve">Carboni F.</x:t>
        </x:is>
      </x:c>
      <x:c r="C239" t="inlineStr">
        <x:is>
          <x:t xml:space="preserve">Parma</x:t>
        </x:is>
      </x:c>
      <x:c r="D239" t="inlineStr">
        <x:is>
          <x:t xml:space="preserve">Ds;E</x:t>
        </x:is>
      </x:c>
      <x:c r="E239" t="inlineStr">
        <x:is>
          <x:t xml:space="preserve">Riserva / rotazione</x:t>
        </x:is>
      </x:c>
      <x:c r="F239" t="n">
        <x:v>1</x:v>
      </x:c>
      <x:c r="G239" t="n">
        <x:v>3</x:v>
      </x:c>
      <x:c r="H239" t="n">
        <x:f>ROUND(G239*504/1000,0)</x:f>
        <x:v>2</x:v>
      </x:c>
      <x:c r="I239"/>
      <x:c r="J239"/>
      <x:c r="K239"/>
    </x:row>
    <x:row r="240">
      <x:c r="A240" t="inlineStr">
        <x:is>
          <x:t xml:space="preserve">D</x:t>
        </x:is>
      </x:c>
      <x:c r="B240" t="inlineStr">
        <x:is>
          <x:t xml:space="preserve">Ndiaye</x:t>
        </x:is>
      </x:c>
      <x:c r="C240" t="inlineStr">
        <x:is>
          <x:t xml:space="preserve">Parma</x:t>
        </x:is>
      </x:c>
      <x:c r="D240" t="inlineStr">
        <x:is>
          <x:t xml:space="preserve">Dc</x:t>
        </x:is>
      </x:c>
      <x:c r="E240" t="inlineStr">
        <x:is>
          <x:t xml:space="preserve">Riserva / rotazione</x:t>
        </x:is>
      </x:c>
      <x:c r="F240" t="n">
        <x:v>1</x:v>
      </x:c>
      <x:c r="G240" t="n">
        <x:v>4</x:v>
      </x:c>
      <x:c r="H240" t="n">
        <x:f>ROUND(G240*504/1000,0)</x:f>
        <x:v>2</x:v>
      </x:c>
      <x:c r="I240"/>
      <x:c r="J240"/>
      <x:c r="K240"/>
    </x:row>
    <x:row r="241">
      <x:c r="A241" t="inlineStr">
        <x:is>
          <x:t xml:space="preserve">D</x:t>
        </x:is>
      </x:c>
      <x:c r="B241" t="inlineStr">
        <x:is>
          <x:t xml:space="preserve">Ziolkowski</x:t>
        </x:is>
      </x:c>
      <x:c r="C241" t="inlineStr">
        <x:is>
          <x:t xml:space="preserve">Roma</x:t>
        </x:is>
      </x:c>
      <x:c r="D241" t="inlineStr">
        <x:is>
          <x:t xml:space="preserve">Dc</x:t>
        </x:is>
      </x:c>
      <x:c r="E241" t="inlineStr">
        <x:is>
          <x:t xml:space="preserve">Riserva / rotazione</x:t>
        </x:is>
      </x:c>
      <x:c r="F241" t="n">
        <x:v>1</x:v>
      </x:c>
      <x:c r="G241" t="n">
        <x:v>2</x:v>
      </x:c>
      <x:c r="H241" t="n">
        <x:f>ROUND(G241*504/1000,0)</x:f>
        <x:v>1</x:v>
      </x:c>
      <x:c r="I241"/>
      <x:c r="J241"/>
      <x:c r="K241"/>
    </x:row>
    <x:row r="242">
      <x:c r="A242" t="inlineStr">
        <x:is>
          <x:t xml:space="preserve">D</x:t>
        </x:is>
      </x:c>
      <x:c r="B242" t="inlineStr">
        <x:is>
          <x:t xml:space="preserve">Missori</x:t>
        </x:is>
      </x:c>
      <x:c r="C242" t="inlineStr">
        <x:is>
          <x:t xml:space="preserve">Sassuolo</x:t>
        </x:is>
      </x:c>
      <x:c r="D242" t="inlineStr">
        <x:is>
          <x:t xml:space="preserve">Dd;E</x:t>
        </x:is>
      </x:c>
      <x:c r="E242" t="inlineStr">
        <x:is>
          <x:t xml:space="preserve">Riserva / rotazione</x:t>
        </x:is>
      </x:c>
      <x:c r="F242" t="n">
        <x:v>1</x:v>
      </x:c>
      <x:c r="G242" t="n">
        <x:v>2</x:v>
      </x:c>
      <x:c r="H242" t="n">
        <x:f>ROUND(G242*504/1000,0)</x:f>
        <x:v>1</x:v>
      </x:c>
      <x:c r="I242"/>
      <x:c r="J242"/>
      <x:c r="K242"/>
    </x:row>
    <x:row r="243">
      <x:c r="A243" t="inlineStr">
        <x:is>
          <x:t xml:space="preserve">D</x:t>
        </x:is>
      </x:c>
      <x:c r="B243" t="inlineStr">
        <x:is>
          <x:t xml:space="preserve">Pieragnolo</x:t>
        </x:is>
      </x:c>
      <x:c r="C243" t="inlineStr">
        <x:is>
          <x:t xml:space="preserve">Sassuolo</x:t>
        </x:is>
      </x:c>
      <x:c r="D243" t="inlineStr">
        <x:is>
          <x:t xml:space="preserve">Ds;E</x:t>
        </x:is>
      </x:c>
      <x:c r="E243" t="inlineStr">
        <x:is>
          <x:t xml:space="preserve">Riserva / rotazione</x:t>
        </x:is>
      </x:c>
      <x:c r="F243" t="n">
        <x:v>1</x:v>
      </x:c>
      <x:c r="G243" t="n">
        <x:v>1</x:v>
      </x:c>
      <x:c r="H243" t="n">
        <x:f>ROUND(G243*504/1000,0)</x:f>
        <x:v>1</x:v>
      </x:c>
      <x:c r="I243"/>
      <x:c r="J243"/>
      <x:c r="K243"/>
    </x:row>
    <x:row r="244">
      <x:c r="A244" t="inlineStr">
        <x:is>
          <x:t xml:space="preserve">D</x:t>
        </x:is>
      </x:c>
      <x:c r="B244" t="inlineStr">
        <x:is>
          <x:t xml:space="preserve">Abankwah</x:t>
        </x:is>
      </x:c>
      <x:c r="C244" t="inlineStr">
        <x:is>
          <x:t xml:space="preserve">Udinese</x:t>
        </x:is>
      </x:c>
      <x:c r="D244" t="inlineStr">
        <x:is>
          <x:t xml:space="preserve">Dd;Dc</x:t>
        </x:is>
      </x:c>
      <x:c r="E244" t="inlineStr">
        <x:is>
          <x:t xml:space="preserve">Ballottaggio</x:t>
        </x:is>
      </x:c>
      <x:c r="F244" t="n">
        <x:v>1</x:v>
      </x:c>
      <x:c r="G244" t="n">
        <x:v>3</x:v>
      </x:c>
      <x:c r="H244" t="n">
        <x:f>ROUND(G244*504/1000,0)</x:f>
        <x:v>2</x:v>
      </x:c>
      <x:c r="I244"/>
      <x:c r="J244"/>
      <x:c r="K244"/>
    </x:row>
    <x:row r="245">
      <x:c r="A245" t="inlineStr">
        <x:is>
          <x:t xml:space="preserve">D</x:t>
        </x:is>
      </x:c>
      <x:c r="B245" t="inlineStr">
        <x:is>
          <x:t xml:space="preserve">Mlacic</x:t>
        </x:is>
      </x:c>
      <x:c r="C245" t="inlineStr">
        <x:is>
          <x:t xml:space="preserve">Udinese</x:t>
        </x:is>
      </x:c>
      <x:c r="D245" t="inlineStr">
        <x:is>
          <x:t xml:space="preserve">Dc</x:t>
        </x:is>
      </x:c>
      <x:c r="E245" t="inlineStr">
        <x:is>
          <x:t xml:space="preserve">Riserva / rotazione</x:t>
        </x:is>
      </x:c>
      <x:c r="F245" t="n">
        <x:v>1</x:v>
      </x:c>
      <x:c r="G245" t="n">
        <x:v>3</x:v>
      </x:c>
      <x:c r="H245" t="n">
        <x:f>ROUND(G245*504/1000,0)</x:f>
        <x:v>2</x:v>
      </x:c>
      <x:c r="I245"/>
      <x:c r="J245"/>
      <x:c r="K245"/>
    </x:row>
    <x:row r="246">
      <x:c r="A246" t="inlineStr">
        <x:is>
          <x:t xml:space="preserve">D</x:t>
        </x:is>
      </x:c>
      <x:c r="B246" t="inlineStr">
        <x:is>
          <x:t xml:space="preserve">Gomes</x:t>
        </x:is>
      </x:c>
      <x:c r="C246" t="inlineStr">
        <x:is>
          <x:t xml:space="preserve">Venezia</x:t>
        </x:is>
      </x:c>
      <x:c r="D246" t="inlineStr">
        <x:is>
          <x:t xml:space="preserve">Ds;Dc</x:t>
        </x:is>
      </x:c>
      <x:c r="E246" t="inlineStr">
        <x:is>
          <x:t xml:space="preserve">Riserva / rotazione</x:t>
        </x:is>
      </x:c>
      <x:c r="F246" t="n">
        <x:v>1</x:v>
      </x:c>
      <x:c r="G246" t="n">
        <x:v>1</x:v>
      </x:c>
      <x:c r="H246" t="n">
        <x:f>ROUND(G246*504/1000,0)</x:f>
        <x:v>1</x:v>
      </x:c>
      <x:c r="I246"/>
      <x:c r="J246"/>
      <x:c r="K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</x:row>
    <x:row r="248">
      <x:c r="A248" t="inlineStr">
        <x:is>
          <x:t xml:space="preserve">CENTROCAMPISTI</x:t>
        </x:is>
      </x:c>
      <x:c r="B248"/>
      <x:c r="C248"/>
      <x:c r="D248"/>
      <x:c r="E248"/>
      <x:c r="F248"/>
      <x:c r="G248"/>
      <x:c r="H248"/>
      <x:c r="I248"/>
      <x:c r="J248"/>
      <x:c r="K248"/>
    </x:row>
    <x:row r="249">
      <x:c r="A249" t="inlineStr">
        <x:is>
          <x:t xml:space="preserve">Ruolo</x:t>
        </x:is>
      </x:c>
      <x:c r="B249" t="inlineStr">
        <x:is>
          <x:t xml:space="preserve">Calciatore</x:t>
        </x:is>
      </x:c>
      <x:c r="C249" t="inlineStr">
        <x:is>
          <x:t xml:space="preserve">Squadra</x:t>
        </x:is>
      </x:c>
      <x:c r="D249" t="inlineStr">
        <x:is>
          <x:t xml:space="preserve">Posizione specifica</x:t>
        </x:is>
      </x:c>
      <x:c r="E249" t="inlineStr">
        <x:is>
          <x:t xml:space="preserve">Status</x:t>
        </x:is>
      </x:c>
      <x:c r="F249" t="inlineStr">
        <x:is>
          <x:t xml:space="preserve">Quotazione</x:t>
        </x:is>
      </x:c>
      <x:c r="G249" t="inlineStr">
        <x:is>
          <x:t xml:space="preserve">FVM / 1000</x:t>
        </x:is>
      </x:c>
      <x:c r="H249" t="inlineStr">
        <x:is>
          <x:t xml:space="preserve">FVM su 504</x:t>
        </x:is>
      </x:c>
      <x:c r="I249" t="inlineStr">
        <x:is>
          <x:t xml:space="preserve">Specialità</x:t>
        </x:is>
      </x:c>
      <x:c r="J249" t="inlineStr">
        <x:is>
          <x:t xml:space="preserve">Acquistato da</x:t>
        </x:is>
      </x:c>
      <x:c r="K249" t="inlineStr">
        <x:is>
          <x:t xml:space="preserve">Prezzo asta</x:t>
        </x:is>
      </x:c>
    </x:row>
    <x:row r="250">
      <x:c r="A250" t="inlineStr">
        <x:is>
          <x:t xml:space="preserve">C</x:t>
        </x:is>
      </x:c>
      <x:c r="B250" t="inlineStr">
        <x:is>
          <x:t xml:space="preserve">Paz N.</x:t>
        </x:is>
      </x:c>
      <x:c r="C250" t="inlineStr">
        <x:is>
          <x:t xml:space="preserve">Como</x:t>
        </x:is>
      </x:c>
      <x:c r="D250" t="inlineStr">
        <x:is>
          <x:t xml:space="preserve">T;A</x:t>
        </x:is>
      </x:c>
      <x:c r="E250" t="inlineStr">
        <x:is>
          <x:t xml:space="preserve">Titolare</x:t>
        </x:is>
      </x:c>
      <x:c r="F250" t="n">
        <x:v>30</x:v>
      </x:c>
      <x:c r="G250" t="n">
        <x:v>250</x:v>
      </x:c>
      <x:c r="H250" t="n">
        <x:f>ROUND(G250*504/1000,0)</x:f>
        <x:v>126</x:v>
      </x:c>
      <x:c r="I250" t="inlineStr">
        <x:is>
          <x:t xml:space="preserve">Piazzati</x:t>
        </x:is>
      </x:c>
      <x:c r="J250"/>
      <x:c r="K250"/>
    </x:row>
    <x:row r="251">
      <x:c r="A251" t="inlineStr">
        <x:is>
          <x:t xml:space="preserve">C</x:t>
        </x:is>
      </x:c>
      <x:c r="B251" t="inlineStr">
        <x:is>
          <x:t xml:space="preserve">McTominay</x:t>
        </x:is>
      </x:c>
      <x:c r="C251" t="inlineStr">
        <x:is>
          <x:t xml:space="preserve">Napoli</x:t>
        </x:is>
      </x:c>
      <x:c r="D251" t="inlineStr">
        <x:is>
          <x:t xml:space="preserve">C;T</x:t>
        </x:is>
      </x:c>
      <x:c r="E251" t="inlineStr">
        <x:is>
          <x:t xml:space="preserve">Titolare</x:t>
        </x:is>
      </x:c>
      <x:c r="F251" t="n">
        <x:v>28</x:v>
      </x:c>
      <x:c r="G251" t="n">
        <x:v>240</x:v>
      </x:c>
      <x:c r="H251" t="n">
        <x:f>ROUND(G251*504/1000,0)</x:f>
        <x:v>121</x:v>
      </x:c>
      <x:c r="I251"/>
      <x:c r="J251"/>
      <x:c r="K251"/>
    </x:row>
    <x:row r="252">
      <x:c r="A252" t="inlineStr">
        <x:is>
          <x:t xml:space="preserve">C</x:t>
        </x:is>
      </x:c>
      <x:c r="B252" t="inlineStr">
        <x:is>
          <x:t xml:space="preserve">Calhanoglu</x:t>
        </x:is>
      </x:c>
      <x:c r="C252" t="inlineStr">
        <x:is>
          <x:t xml:space="preserve">Inter</x:t>
        </x:is>
      </x:c>
      <x:c r="D252" t="inlineStr">
        <x:is>
          <x:t xml:space="preserve">M;C</x:t>
        </x:is>
      </x:c>
      <x:c r="E252" t="inlineStr">
        <x:is>
          <x:t xml:space="preserve">Titolare</x:t>
        </x:is>
      </x:c>
      <x:c r="F252" t="n">
        <x:v>27</x:v>
      </x:c>
      <x:c r="G252" t="n">
        <x:v>230</x:v>
      </x:c>
      <x:c r="H252" t="n">
        <x:f>ROUND(G252*504/1000,0)</x:f>
        <x:v>116</x:v>
      </x:c>
      <x:c r="I252" t="inlineStr">
        <x:is>
          <x:t xml:space="preserve">Rigorista · Piazzati</x:t>
        </x:is>
      </x:c>
      <x:c r="J252"/>
      <x:c r="K252"/>
    </x:row>
    <x:row r="253">
      <x:c r="A253" t="inlineStr">
        <x:is>
          <x:t xml:space="preserve">C</x:t>
        </x:is>
      </x:c>
      <x:c r="B253" t="inlineStr">
        <x:is>
          <x:t xml:space="preserve">Orsolini</x:t>
        </x:is>
      </x:c>
      <x:c r="C253" t="inlineStr">
        <x:is>
          <x:t xml:space="preserve">Bologna</x:t>
        </x:is>
      </x:c>
      <x:c r="D253" t="inlineStr">
        <x:is>
          <x:t xml:space="preserve">W;A</x:t>
        </x:is>
      </x:c>
      <x:c r="E253" t="inlineStr">
        <x:is>
          <x:t xml:space="preserve">Titolare / ballottaggio</x:t>
        </x:is>
      </x:c>
      <x:c r="F253" t="n">
        <x:v>26</x:v>
      </x:c>
      <x:c r="G253" t="n">
        <x:v>200</x:v>
      </x:c>
      <x:c r="H253" t="n">
        <x:f>ROUND(G253*504/1000,0)</x:f>
        <x:v>101</x:v>
      </x:c>
      <x:c r="I253" t="inlineStr">
        <x:is>
          <x:t xml:space="preserve">Rigorista · Piazzati</x:t>
        </x:is>
      </x:c>
      <x:c r="J253"/>
      <x:c r="K253"/>
    </x:row>
    <x:row r="254">
      <x:c r="A254" t="inlineStr">
        <x:is>
          <x:t xml:space="preserve">C</x:t>
        </x:is>
      </x:c>
      <x:c r="B254" t="inlineStr">
        <x:is>
          <x:t xml:space="preserve">Pulisic</x:t>
        </x:is>
      </x:c>
      <x:c r="C254" t="inlineStr">
        <x:is>
          <x:t xml:space="preserve">Milan</x:t>
        </x:is>
      </x:c>
      <x:c r="D254" t="inlineStr">
        <x:is>
          <x:t xml:space="preserve">T;A</x:t>
        </x:is>
      </x:c>
      <x:c r="E254" t="inlineStr">
        <x:is>
          <x:t xml:space="preserve">Titolare / ballottaggio</x:t>
        </x:is>
      </x:c>
      <x:c r="F254" t="n">
        <x:v>25</x:v>
      </x:c>
      <x:c r="G254" t="n">
        <x:v>180</x:v>
      </x:c>
      <x:c r="H254" t="n">
        <x:f>ROUND(G254*504/1000,0)</x:f>
        <x:v>91</x:v>
      </x:c>
      <x:c r="I254" t="inlineStr">
        <x:is>
          <x:t xml:space="preserve">Rigorista · Piazzati</x:t>
        </x:is>
      </x:c>
      <x:c r="J254"/>
      <x:c r="K254"/>
    </x:row>
    <x:row r="255">
      <x:c r="A255" t="inlineStr">
        <x:is>
          <x:t xml:space="preserve">C</x:t>
        </x:is>
      </x:c>
      <x:c r="B255" t="inlineStr">
        <x:is>
          <x:t xml:space="preserve">Rabiot</x:t>
        </x:is>
      </x:c>
      <x:c r="C255" t="inlineStr">
        <x:is>
          <x:t xml:space="preserve">Milan</x:t>
        </x:is>
      </x:c>
      <x:c r="D255" t="inlineStr">
        <x:is>
          <x:t xml:space="preserve">C;T</x:t>
        </x:is>
      </x:c>
      <x:c r="E255" t="inlineStr">
        <x:is>
          <x:t xml:space="preserve">Titolare</x:t>
        </x:is>
      </x:c>
      <x:c r="F255" t="n">
        <x:v>22</x:v>
      </x:c>
      <x:c r="G255" t="n">
        <x:v>128</x:v>
      </x:c>
      <x:c r="H255" t="n">
        <x:f>ROUND(G255*504/1000,0)</x:f>
        <x:v>65</x:v>
      </x:c>
      <x:c r="I255"/>
      <x:c r="J255"/>
      <x:c r="K255"/>
    </x:row>
    <x:row r="256">
      <x:c r="A256" t="inlineStr">
        <x:is>
          <x:t xml:space="preserve">C</x:t>
        </x:is>
      </x:c>
      <x:c r="B256" t="inlineStr">
        <x:is>
          <x:t xml:space="preserve">Baturina</x:t>
        </x:is>
      </x:c>
      <x:c r="C256" t="inlineStr">
        <x:is>
          <x:t xml:space="preserve">Como</x:t>
        </x:is>
      </x:c>
      <x:c r="D256" t="inlineStr">
        <x:is>
          <x:t xml:space="preserve">T</x:t>
        </x:is>
      </x:c>
      <x:c r="E256" t="inlineStr">
        <x:is>
          <x:t xml:space="preserve">Titolare / ballottaggio</x:t>
        </x:is>
      </x:c>
      <x:c r="F256" t="n">
        <x:v>19</x:v>
      </x:c>
      <x:c r="G256" t="n">
        <x:v>102</x:v>
      </x:c>
      <x:c r="H256" t="n">
        <x:f>ROUND(G256*504/1000,0)</x:f>
        <x:v>51</x:v>
      </x:c>
      <x:c r="I256" t="inlineStr">
        <x:is>
          <x:t xml:space="preserve">Piazzati</x:t>
        </x:is>
      </x:c>
      <x:c r="J256"/>
      <x:c r="K256"/>
    </x:row>
    <x:row r="257">
      <x:c r="A257" t="inlineStr">
        <x:is>
          <x:t xml:space="preserve">C</x:t>
        </x:is>
      </x:c>
      <x:c r="B257" t="inlineStr">
        <x:is>
          <x:t xml:space="preserve">Da Cunha</x:t>
        </x:is>
      </x:c>
      <x:c r="C257" t="inlineStr">
        <x:is>
          <x:t xml:space="preserve">Como</x:t>
        </x:is>
      </x:c>
      <x:c r="D257" t="inlineStr">
        <x:is>
          <x:t xml:space="preserve">C;T</x:t>
        </x:is>
      </x:c>
      <x:c r="E257" t="inlineStr">
        <x:is>
          <x:t xml:space="preserve">Titolare</x:t>
        </x:is>
      </x:c>
      <x:c r="F257" t="n">
        <x:v>18</x:v>
      </x:c>
      <x:c r="G257" t="n">
        <x:v>90</x:v>
      </x:c>
      <x:c r="H257" t="n">
        <x:f>ROUND(G257*504/1000,0)</x:f>
        <x:v>45</x:v>
      </x:c>
      <x:c r="I257" t="inlineStr">
        <x:is>
          <x:t xml:space="preserve">Rigorista</x:t>
        </x:is>
      </x:c>
      <x:c r="J257"/>
      <x:c r="K257"/>
    </x:row>
    <x:row r="258">
      <x:c r="A258" t="inlineStr">
        <x:is>
          <x:t xml:space="preserve">C</x:t>
        </x:is>
      </x:c>
      <x:c r="B258" t="inlineStr">
        <x:is>
          <x:t xml:space="preserve">Zaniolo</x:t>
        </x:is>
      </x:c>
      <x:c r="C258" t="inlineStr">
        <x:is>
          <x:t xml:space="preserve">Udinese</x:t>
        </x:is>
      </x:c>
      <x:c r="D258" t="inlineStr">
        <x:is>
          <x:t xml:space="preserve">T;A</x:t>
        </x:is>
      </x:c>
      <x:c r="E258" t="inlineStr">
        <x:is>
          <x:t xml:space="preserve">Titolare</x:t>
        </x:is>
      </x:c>
      <x:c r="F258" t="n">
        <x:v>18</x:v>
      </x:c>
      <x:c r="G258" t="n">
        <x:v>90</x:v>
      </x:c>
      <x:c r="H258" t="n">
        <x:f>ROUND(G258*504/1000,0)</x:f>
        <x:v>45</x:v>
      </x:c>
      <x:c r="I258" t="inlineStr">
        <x:is>
          <x:t xml:space="preserve">Rigorista · Piazzati</x:t>
        </x:is>
      </x:c>
      <x:c r="J258"/>
      <x:c r="K258"/>
    </x:row>
    <x:row r="259">
      <x:c r="A259" t="inlineStr">
        <x:is>
          <x:t xml:space="preserve">C</x:t>
        </x:is>
      </x:c>
      <x:c r="B259" t="inlineStr">
        <x:is>
          <x:t xml:space="preserve">Atta</x:t>
        </x:is>
      </x:c>
      <x:c r="C259" t="inlineStr">
        <x:is>
          <x:t xml:space="preserve">Fiorentina</x:t>
        </x:is>
      </x:c>
      <x:c r="D259" t="inlineStr">
        <x:is>
          <x:t xml:space="preserve">C;T</x:t>
        </x:is>
      </x:c>
      <x:c r="E259" t="inlineStr">
        <x:is>
          <x:t xml:space="preserve">Titolare</x:t>
        </x:is>
      </x:c>
      <x:c r="F259" t="n">
        <x:v>17</x:v>
      </x:c>
      <x:c r="G259" t="n">
        <x:v>87</x:v>
      </x:c>
      <x:c r="H259" t="n">
        <x:f>ROUND(G259*504/1000,0)</x:f>
        <x:v>44</x:v>
      </x:c>
      <x:c r="I259" t="inlineStr">
        <x:is>
          <x:t xml:space="preserve">Piazzati</x:t>
        </x:is>
      </x:c>
      <x:c r="J259"/>
      <x:c r="K259"/>
    </x:row>
    <x:row r="260">
      <x:c r="A260" t="inlineStr">
        <x:is>
          <x:t xml:space="preserve">C</x:t>
        </x:is>
      </x:c>
      <x:c r="B260" t="inlineStr">
        <x:is>
          <x:t xml:space="preserve">Barella</x:t>
        </x:is>
      </x:c>
      <x:c r="C260" t="inlineStr">
        <x:is>
          <x:t xml:space="preserve">Inter</x:t>
        </x:is>
      </x:c>
      <x:c r="D260" t="inlineStr">
        <x:is>
          <x:t xml:space="preserve">C</x:t>
        </x:is>
      </x:c>
      <x:c r="E260" t="inlineStr">
        <x:is>
          <x:t xml:space="preserve">Titolare</x:t>
        </x:is>
      </x:c>
      <x:c r="F260" t="n">
        <x:v>17</x:v>
      </x:c>
      <x:c r="G260" t="n">
        <x:v>82</x:v>
      </x:c>
      <x:c r="H260" t="n">
        <x:f>ROUND(G260*504/1000,0)</x:f>
        <x:v>41</x:v>
      </x:c>
      <x:c r="I260"/>
      <x:c r="J260"/>
      <x:c r="K260"/>
    </x:row>
    <x:row r="261">
      <x:c r="A261" t="inlineStr">
        <x:is>
          <x:t xml:space="preserve">C</x:t>
        </x:is>
      </x:c>
      <x:c r="B261" t="inlineStr">
        <x:is>
          <x:t xml:space="preserve">McKennie</x:t>
        </x:is>
      </x:c>
      <x:c r="C261" t="inlineStr">
        <x:is>
          <x:t xml:space="preserve">Juventus</x:t>
        </x:is>
      </x:c>
      <x:c r="D261" t="inlineStr">
        <x:is>
          <x:t xml:space="preserve">C</x:t>
        </x:is>
      </x:c>
      <x:c r="E261" t="inlineStr">
        <x:is>
          <x:t xml:space="preserve">Titolare</x:t>
        </x:is>
      </x:c>
      <x:c r="F261" t="n">
        <x:v>17</x:v>
      </x:c>
      <x:c r="G261" t="n">
        <x:v>68</x:v>
      </x:c>
      <x:c r="H261" t="n">
        <x:f>ROUND(G261*504/1000,0)</x:f>
        <x:v>34</x:v>
      </x:c>
      <x:c r="I261"/>
      <x:c r="J261"/>
      <x:c r="K261"/>
    </x:row>
    <x:row r="262">
      <x:c r="A262" t="inlineStr">
        <x:is>
          <x:t xml:space="preserve">C</x:t>
        </x:is>
      </x:c>
      <x:c r="B262" t="inlineStr">
        <x:is>
          <x:t xml:space="preserve">Zaccagni</x:t>
        </x:is>
      </x:c>
      <x:c r="C262" t="inlineStr">
        <x:is>
          <x:t xml:space="preserve">Lazio</x:t>
        </x:is>
      </x:c>
      <x:c r="D262" t="inlineStr">
        <x:is>
          <x:t xml:space="preserve">W;A</x:t>
        </x:is>
      </x:c>
      <x:c r="E262" t="inlineStr">
        <x:is>
          <x:t xml:space="preserve">Titolare</x:t>
        </x:is>
      </x:c>
      <x:c r="F262" t="n">
        <x:v>16</x:v>
      </x:c>
      <x:c r="G262" t="n">
        <x:v>91</x:v>
      </x:c>
      <x:c r="H262" t="n">
        <x:f>ROUND(G262*504/1000,0)</x:f>
        <x:v>46</x:v>
      </x:c>
      <x:c r="I262" t="inlineStr">
        <x:is>
          <x:t xml:space="preserve">Rigorista · Piazzati</x:t>
        </x:is>
      </x:c>
      <x:c r="J262"/>
      <x:c r="K262"/>
    </x:row>
    <x:row r="263">
      <x:c r="A263" t="inlineStr">
        <x:is>
          <x:t xml:space="preserve">C</x:t>
        </x:is>
      </x:c>
      <x:c r="B263" t="inlineStr">
        <x:is>
          <x:t xml:space="preserve">De Bruyne</x:t>
        </x:is>
      </x:c>
      <x:c r="C263" t="inlineStr">
        <x:is>
          <x:t xml:space="preserve">Napoli</x:t>
        </x:is>
      </x:c>
      <x:c r="D263" t="inlineStr">
        <x:is>
          <x:t xml:space="preserve">T</x:t>
        </x:is>
      </x:c>
      <x:c r="E263" t="inlineStr">
        <x:is>
          <x:t xml:space="preserve">Titolare / ballottaggio</x:t>
        </x:is>
      </x:c>
      <x:c r="F263" t="n">
        <x:v>15</x:v>
      </x:c>
      <x:c r="G263" t="n">
        <x:v>100</x:v>
      </x:c>
      <x:c r="H263" t="n">
        <x:f>ROUND(G263*504/1000,0)</x:f>
        <x:v>50</x:v>
      </x:c>
      <x:c r="I263" t="inlineStr">
        <x:is>
          <x:t xml:space="preserve">Rigorista · Piazzati</x:t>
        </x:is>
      </x:c>
      <x:c r="J263"/>
      <x:c r="K263"/>
    </x:row>
    <x:row r="264">
      <x:c r="A264" t="inlineStr">
        <x:is>
          <x:t xml:space="preserve">C</x:t>
        </x:is>
      </x:c>
      <x:c r="B264" t="inlineStr">
        <x:is>
          <x:t xml:space="preserve">Vlasic</x:t>
        </x:is>
      </x:c>
      <x:c r="C264" t="inlineStr">
        <x:is>
          <x:t xml:space="preserve">Torino</x:t>
        </x:is>
      </x:c>
      <x:c r="D264" t="inlineStr">
        <x:is>
          <x:t xml:space="preserve">T</x:t>
        </x:is>
      </x:c>
      <x:c r="E264" t="inlineStr">
        <x:is>
          <x:t xml:space="preserve">Titolare</x:t>
        </x:is>
      </x:c>
      <x:c r="F264" t="n">
        <x:v>14</x:v>
      </x:c>
      <x:c r="G264" t="n">
        <x:v>80</x:v>
      </x:c>
      <x:c r="H264" t="n">
        <x:f>ROUND(G264*504/1000,0)</x:f>
        <x:v>40</x:v>
      </x:c>
      <x:c r="I264" t="inlineStr">
        <x:is>
          <x:t xml:space="preserve">Rigorista · Piazzati</x:t>
        </x:is>
      </x:c>
      <x:c r="J264"/>
      <x:c r="K264"/>
    </x:row>
    <x:row r="265">
      <x:c r="A265" t="inlineStr">
        <x:is>
          <x:t xml:space="preserve">C</x:t>
        </x:is>
      </x:c>
      <x:c r="B265" t="inlineStr">
        <x:is>
          <x:t xml:space="preserve">Gudmundsson A.</x:t>
        </x:is>
      </x:c>
      <x:c r="C265" t="inlineStr">
        <x:is>
          <x:t xml:space="preserve">Fiorentina</x:t>
        </x:is>
      </x:c>
      <x:c r="D265" t="inlineStr">
        <x:is>
          <x:t xml:space="preserve">T;A</x:t>
        </x:is>
      </x:c>
      <x:c r="E265" t="inlineStr">
        <x:is>
          <x:t xml:space="preserve">Riserva / rotazione</x:t>
        </x:is>
      </x:c>
      <x:c r="F265" t="n">
        <x:v>13</x:v>
      </x:c>
      <x:c r="G265" t="n">
        <x:v>61</x:v>
      </x:c>
      <x:c r="H265" t="n">
        <x:f>ROUND(G265*504/1000,0)</x:f>
        <x:v>31</x:v>
      </x:c>
      <x:c r="I265"/>
      <x:c r="J265"/>
      <x:c r="K265"/>
    </x:row>
    <x:row r="266">
      <x:c r="A266" t="inlineStr">
        <x:is>
          <x:t xml:space="preserve">C</x:t>
        </x:is>
      </x:c>
      <x:c r="B266" t="inlineStr">
        <x:is>
          <x:t xml:space="preserve">Taylor K.</x:t>
        </x:is>
      </x:c>
      <x:c r="C266" t="inlineStr">
        <x:is>
          <x:t xml:space="preserve">Lazio</x:t>
        </x:is>
      </x:c>
      <x:c r="D266" t="inlineStr">
        <x:is>
          <x:t xml:space="preserve">C;T</x:t>
        </x:is>
      </x:c>
      <x:c r="E266" t="inlineStr">
        <x:is>
          <x:t xml:space="preserve">Titolare</x:t>
        </x:is>
      </x:c>
      <x:c r="F266" t="n">
        <x:v>13</x:v>
      </x:c>
      <x:c r="G266" t="n">
        <x:v>64</x:v>
      </x:c>
      <x:c r="H266" t="n">
        <x:f>ROUND(G266*504/1000,0)</x:f>
        <x:v>32</x:v>
      </x:c>
      <x:c r="I266"/>
      <x:c r="J266"/>
      <x:c r="K266"/>
    </x:row>
    <x:row r="267">
      <x:c r="A267" t="inlineStr">
        <x:is>
          <x:t xml:space="preserve">C</x:t>
        </x:is>
      </x:c>
      <x:c r="B267" t="inlineStr">
        <x:is>
          <x:t xml:space="preserve">Ederson D.S.</x:t>
        </x:is>
      </x:c>
      <x:c r="C267" t="inlineStr">
        <x:is>
          <x:t xml:space="preserve">Atalanta</x:t>
        </x:is>
      </x:c>
      <x:c r="D267" t="inlineStr">
        <x:is>
          <x:t xml:space="preserve">M;C</x:t>
        </x:is>
      </x:c>
      <x:c r="E267" t="inlineStr">
        <x:is>
          <x:t xml:space="preserve">Titolare</x:t>
        </x:is>
      </x:c>
      <x:c r="F267" t="n">
        <x:v>12</x:v>
      </x:c>
      <x:c r="G267" t="n">
        <x:v>45</x:v>
      </x:c>
      <x:c r="H267" t="n">
        <x:f>ROUND(G267*504/1000,0)</x:f>
        <x:v>23</x:v>
      </x:c>
      <x:c r="I267"/>
      <x:c r="J267"/>
      <x:c r="K267"/>
    </x:row>
    <x:row r="268">
      <x:c r="A268" t="inlineStr">
        <x:is>
          <x:t xml:space="preserve">C</x:t>
        </x:is>
      </x:c>
      <x:c r="B268" t="inlineStr">
        <x:is>
          <x:t xml:space="preserve">Samardzic</x:t>
        </x:is>
      </x:c>
      <x:c r="C268" t="inlineStr">
        <x:is>
          <x:t xml:space="preserve">Atalanta</x:t>
        </x:is>
      </x:c>
      <x:c r="D268" t="inlineStr">
        <x:is>
          <x:t xml:space="preserve">C;T</x:t>
        </x:is>
      </x:c>
      <x:c r="E268" t="inlineStr">
        <x:is>
          <x:t xml:space="preserve">Ballottaggio</x:t>
        </x:is>
      </x:c>
      <x:c r="F268" t="n">
        <x:v>12</x:v>
      </x:c>
      <x:c r="G268" t="n">
        <x:v>42</x:v>
      </x:c>
      <x:c r="H268" t="n">
        <x:f>ROUND(G268*504/1000,0)</x:f>
        <x:v>21</x:v>
      </x:c>
      <x:c r="I268" t="inlineStr">
        <x:is>
          <x:t xml:space="preserve">Rigorista · Piazzati</x:t>
        </x:is>
      </x:c>
      <x:c r="J268"/>
      <x:c r="K268"/>
    </x:row>
    <x:row r="269">
      <x:c r="A269" t="inlineStr">
        <x:is>
          <x:t xml:space="preserve">C</x:t>
        </x:is>
      </x:c>
      <x:c r="B269" t="inlineStr">
        <x:is>
          <x:t xml:space="preserve">Rodriguez Je.</x:t>
        </x:is>
      </x:c>
      <x:c r="C269" t="inlineStr">
        <x:is>
          <x:t xml:space="preserve">Como</x:t>
        </x:is>
      </x:c>
      <x:c r="D269" t="inlineStr">
        <x:is>
          <x:t xml:space="preserve">W;A</x:t>
        </x:is>
      </x:c>
      <x:c r="E269" t="inlineStr">
        <x:is>
          <x:t xml:space="preserve">Ballottaggio</x:t>
        </x:is>
      </x:c>
      <x:c r="F269" t="n">
        <x:v>12</x:v>
      </x:c>
      <x:c r="G269" t="n">
        <x:v>32</x:v>
      </x:c>
      <x:c r="H269" t="n">
        <x:f>ROUND(G269*504/1000,0)</x:f>
        <x:v>16</x:v>
      </x:c>
      <x:c r="I269"/>
      <x:c r="J269"/>
      <x:c r="K269"/>
    </x:row>
    <x:row r="270">
      <x:c r="A270" t="inlineStr">
        <x:is>
          <x:t xml:space="preserve">C</x:t>
        </x:is>
      </x:c>
      <x:c r="B270" t="inlineStr">
        <x:is>
          <x:t xml:space="preserve">Alajbegovic</x:t>
        </x:is>
      </x:c>
      <x:c r="C270" t="inlineStr">
        <x:is>
          <x:t xml:space="preserve">Juventus</x:t>
        </x:is>
      </x:c>
      <x:c r="D270" t="inlineStr">
        <x:is>
          <x:t xml:space="preserve">W;T</x:t>
        </x:is>
      </x:c>
      <x:c r="E270" t="inlineStr">
        <x:is>
          <x:t xml:space="preserve">Ballottaggio</x:t>
        </x:is>
      </x:c>
      <x:c r="F270" t="n">
        <x:v>12</x:v>
      </x:c>
      <x:c r="G270" t="n">
        <x:v>57</x:v>
      </x:c>
      <x:c r="H270" t="n">
        <x:f>ROUND(G270*504/1000,0)</x:f>
        <x:v>29</x:v>
      </x:c>
      <x:c r="I270"/>
      <x:c r="J270"/>
      <x:c r="K270"/>
    </x:row>
    <x:row r="271">
      <x:c r="A271" t="inlineStr">
        <x:is>
          <x:t xml:space="preserve">C</x:t>
        </x:is>
      </x:c>
      <x:c r="B271" t="inlineStr">
        <x:is>
          <x:t xml:space="preserve">Conceicao</x:t>
        </x:is>
      </x:c>
      <x:c r="C271" t="inlineStr">
        <x:is>
          <x:t xml:space="preserve">Juventus</x:t>
        </x:is>
      </x:c>
      <x:c r="D271" t="inlineStr">
        <x:is>
          <x:t xml:space="preserve">W;A</x:t>
        </x:is>
      </x:c>
      <x:c r="E271" t="inlineStr">
        <x:is>
          <x:t xml:space="preserve">Titolare</x:t>
        </x:is>
      </x:c>
      <x:c r="F271" t="n">
        <x:v>12</x:v>
      </x:c>
      <x:c r="G271" t="n">
        <x:v>60</x:v>
      </x:c>
      <x:c r="H271" t="n">
        <x:f>ROUND(G271*504/1000,0)</x:f>
        <x:v>30</x:v>
      </x:c>
      <x:c r="I271"/>
      <x:c r="J271"/>
      <x:c r="K271"/>
    </x:row>
    <x:row r="272">
      <x:c r="A272" t="inlineStr">
        <x:is>
          <x:t xml:space="preserve">C</x:t>
        </x:is>
      </x:c>
      <x:c r="B272" t="inlineStr">
        <x:is>
          <x:t xml:space="preserve">Modric</x:t>
        </x:is>
      </x:c>
      <x:c r="C272" t="inlineStr">
        <x:is>
          <x:t xml:space="preserve">Milan</x:t>
        </x:is>
      </x:c>
      <x:c r="D272" t="inlineStr">
        <x:is>
          <x:t xml:space="preserve">M;C</x:t>
        </x:is>
      </x:c>
      <x:c r="E272" t="inlineStr">
        <x:is>
          <x:t xml:space="preserve">Titolare</x:t>
        </x:is>
      </x:c>
      <x:c r="F272" t="n">
        <x:v>12</x:v>
      </x:c>
      <x:c r="G272" t="n">
        <x:v>50</x:v>
      </x:c>
      <x:c r="H272" t="n">
        <x:f>ROUND(G272*504/1000,0)</x:f>
        <x:v>25</x:v>
      </x:c>
      <x:c r="I272" t="inlineStr">
        <x:is>
          <x:t xml:space="preserve">Rigorista · Piazzati</x:t>
        </x:is>
      </x:c>
      <x:c r="J272"/>
      <x:c r="K272"/>
    </x:row>
    <x:row r="273">
      <x:c r="A273" t="inlineStr">
        <x:is>
          <x:t xml:space="preserve">C</x:t>
        </x:is>
      </x:c>
      <x:c r="B273" t="inlineStr">
        <x:is>
          <x:t xml:space="preserve">Rowe</x:t>
        </x:is>
      </x:c>
      <x:c r="C273" t="inlineStr">
        <x:is>
          <x:t xml:space="preserve">Bologna</x:t>
        </x:is>
      </x:c>
      <x:c r="D273" t="inlineStr">
        <x:is>
          <x:t xml:space="preserve">W;T</x:t>
        </x:is>
      </x:c>
      <x:c r="E273" t="inlineStr">
        <x:is>
          <x:t xml:space="preserve">Riserva / rotazione</x:t>
        </x:is>
      </x:c>
      <x:c r="F273" t="n">
        <x:v>11</x:v>
      </x:c>
      <x:c r="G273" t="n">
        <x:v>37</x:v>
      </x:c>
      <x:c r="H273" t="n">
        <x:f>ROUND(G273*504/1000,0)</x:f>
        <x:v>19</x:v>
      </x:c>
      <x:c r="I273"/>
      <x:c r="J273"/>
      <x:c r="K273"/>
    </x:row>
    <x:row r="274">
      <x:c r="A274" t="inlineStr">
        <x:is>
          <x:t xml:space="preserve">C</x:t>
        </x:is>
      </x:c>
      <x:c r="B274" t="inlineStr">
        <x:is>
          <x:t xml:space="preserve">Baldanzi</x:t>
        </x:is>
      </x:c>
      <x:c r="C274" t="inlineStr">
        <x:is>
          <x:t xml:space="preserve">Genoa</x:t>
        </x:is>
      </x:c>
      <x:c r="D274" t="inlineStr">
        <x:is>
          <x:t xml:space="preserve">T</x:t>
        </x:is>
      </x:c>
      <x:c r="E274" t="inlineStr">
        <x:is>
          <x:t xml:space="preserve">Titolare</x:t>
        </x:is>
      </x:c>
      <x:c r="F274" t="n">
        <x:v>11</x:v>
      </x:c>
      <x:c r="G274" t="n">
        <x:v>30</x:v>
      </x:c>
      <x:c r="H274" t="n">
        <x:f>ROUND(G274*504/1000,0)</x:f>
        <x:v>15</x:v>
      </x:c>
      <x:c r="I274" t="inlineStr">
        <x:is>
          <x:t xml:space="preserve">Piazzati</x:t>
        </x:is>
      </x:c>
      <x:c r="J274"/>
      <x:c r="K274"/>
    </x:row>
    <x:row r="275">
      <x:c r="A275" t="inlineStr">
        <x:is>
          <x:t xml:space="preserve">C</x:t>
        </x:is>
      </x:c>
      <x:c r="B275" t="inlineStr">
        <x:is>
          <x:t xml:space="preserve">Zambo Anguissa</x:t>
        </x:is>
      </x:c>
      <x:c r="C275" t="inlineStr">
        <x:is>
          <x:t xml:space="preserve">Napoli</x:t>
        </x:is>
      </x:c>
      <x:c r="D275" t="inlineStr">
        <x:is>
          <x:t xml:space="preserve">C</x:t>
        </x:is>
      </x:c>
      <x:c r="E275" t="inlineStr">
        <x:is>
          <x:t xml:space="preserve">Ballottaggio</x:t>
        </x:is>
      </x:c>
      <x:c r="F275" t="n">
        <x:v>11</x:v>
      </x:c>
      <x:c r="G275" t="n">
        <x:v>55</x:v>
      </x:c>
      <x:c r="H275" t="n">
        <x:f>ROUND(G275*504/1000,0)</x:f>
        <x:v>28</x:v>
      </x:c>
      <x:c r="I275"/>
      <x:c r="J275"/>
      <x:c r="K275"/>
    </x:row>
    <x:row r="276">
      <x:c r="A276" t="inlineStr">
        <x:is>
          <x:t xml:space="preserve">C</x:t>
        </x:is>
      </x:c>
      <x:c r="B276" t="inlineStr">
        <x:is>
          <x:t xml:space="preserve">Perrone</x:t>
        </x:is>
      </x:c>
      <x:c r="C276" t="inlineStr">
        <x:is>
          <x:t xml:space="preserve">Como</x:t>
        </x:is>
      </x:c>
      <x:c r="D276" t="inlineStr">
        <x:is>
          <x:t xml:space="preserve">M;C</x:t>
        </x:is>
      </x:c>
      <x:c r="E276" t="inlineStr">
        <x:is>
          <x:t xml:space="preserve">Titolare</x:t>
        </x:is>
      </x:c>
      <x:c r="F276" t="n">
        <x:v>10</x:v>
      </x:c>
      <x:c r="G276" t="n">
        <x:v>38</x:v>
      </x:c>
      <x:c r="H276" t="n">
        <x:f>ROUND(G276*504/1000,0)</x:f>
        <x:v>19</x:v>
      </x:c>
      <x:c r="I276"/>
      <x:c r="J276"/>
      <x:c r="K276"/>
    </x:row>
    <x:row r="277">
      <x:c r="A277" t="inlineStr">
        <x:is>
          <x:t xml:space="preserve">C</x:t>
        </x:is>
      </x:c>
      <x:c r="B277" t="inlineStr">
        <x:is>
          <x:t xml:space="preserve">Zielinski</x:t>
        </x:is>
      </x:c>
      <x:c r="C277" t="inlineStr">
        <x:is>
          <x:t xml:space="preserve">Inter</x:t>
        </x:is>
      </x:c>
      <x:c r="D277" t="inlineStr">
        <x:is>
          <x:t xml:space="preserve">C</x:t>
        </x:is>
      </x:c>
      <x:c r="E277" t="inlineStr">
        <x:is>
          <x:t xml:space="preserve">Ballottaggio</x:t>
        </x:is>
      </x:c>
      <x:c r="F277" t="n">
        <x:v>10</x:v>
      </x:c>
      <x:c r="G277" t="n">
        <x:v>41</x:v>
      </x:c>
      <x:c r="H277" t="n">
        <x:f>ROUND(G277*504/1000,0)</x:f>
        <x:v>21</x:v>
      </x:c>
      <x:c r="I277" t="inlineStr">
        <x:is>
          <x:t xml:space="preserve">Rigorista · Piazzati</x:t>
        </x:is>
      </x:c>
      <x:c r="J277"/>
      <x:c r="K277"/>
    </x:row>
    <x:row r="278">
      <x:c r="A278" t="inlineStr">
        <x:is>
          <x:t xml:space="preserve">C</x:t>
        </x:is>
      </x:c>
      <x:c r="B278" t="inlineStr">
        <x:is>
          <x:t xml:space="preserve">Thuram K.</x:t>
        </x:is>
      </x:c>
      <x:c r="C278" t="inlineStr">
        <x:is>
          <x:t xml:space="preserve">Juventus</x:t>
        </x:is>
      </x:c>
      <x:c r="D278" t="inlineStr">
        <x:is>
          <x:t xml:space="preserve">C</x:t>
        </x:is>
      </x:c>
      <x:c r="E278" t="inlineStr">
        <x:is>
          <x:t xml:space="preserve">Riserva / rotazione</x:t>
        </x:is>
      </x:c>
      <x:c r="F278" t="n">
        <x:v>10</x:v>
      </x:c>
      <x:c r="G278" t="n">
        <x:v>41</x:v>
      </x:c>
      <x:c r="H278" t="n">
        <x:f>ROUND(G278*504/1000,0)</x:f>
        <x:v>21</x:v>
      </x:c>
      <x:c r="I278"/>
      <x:c r="J278"/>
      <x:c r="K278"/>
    </x:row>
    <x:row r="279">
      <x:c r="A279" t="inlineStr">
        <x:is>
          <x:t xml:space="preserve">C</x:t>
        </x:is>
      </x:c>
      <x:c r="B279" t="inlineStr">
        <x:is>
          <x:t xml:space="preserve">Saelemaekers</x:t>
        </x:is>
      </x:c>
      <x:c r="C279" t="inlineStr">
        <x:is>
          <x:t xml:space="preserve">Milan</x:t>
        </x:is>
      </x:c>
      <x:c r="D279" t="inlineStr">
        <x:is>
          <x:t xml:space="preserve">E;W</x:t>
        </x:is>
      </x:c>
      <x:c r="E279" t="inlineStr">
        <x:is>
          <x:t xml:space="preserve">Ballottaggio</x:t>
        </x:is>
      </x:c>
      <x:c r="F279" t="n">
        <x:v>10</x:v>
      </x:c>
      <x:c r="G279" t="n">
        <x:v>43</x:v>
      </x:c>
      <x:c r="H279" t="n">
        <x:f>ROUND(G279*504/1000,0)</x:f>
        <x:v>22</x:v>
      </x:c>
      <x:c r="I279" t="inlineStr">
        <x:is>
          <x:t xml:space="preserve">Piazzati</x:t>
        </x:is>
      </x:c>
      <x:c r="J279"/>
      <x:c r="K279"/>
    </x:row>
    <x:row r="280">
      <x:c r="A280" t="inlineStr">
        <x:is>
          <x:t xml:space="preserve">C</x:t>
        </x:is>
      </x:c>
      <x:c r="B280" t="inlineStr">
        <x:is>
          <x:t xml:space="preserve">Politano</x:t>
        </x:is>
      </x:c>
      <x:c r="C280" t="inlineStr">
        <x:is>
          <x:t xml:space="preserve">Napoli</x:t>
        </x:is>
      </x:c>
      <x:c r="D280" t="inlineStr">
        <x:is>
          <x:t xml:space="preserve">W</x:t>
        </x:is>
      </x:c>
      <x:c r="E280" t="inlineStr">
        <x:is>
          <x:t xml:space="preserve">Titolare / ballottaggio</x:t>
        </x:is>
      </x:c>
      <x:c r="F280" t="n">
        <x:v>10</x:v>
      </x:c>
      <x:c r="G280" t="n">
        <x:v>47</x:v>
      </x:c>
      <x:c r="H280" t="n">
        <x:f>ROUND(G280*504/1000,0)</x:f>
        <x:v>24</x:v>
      </x:c>
      <x:c r="I280" t="inlineStr">
        <x:is>
          <x:t xml:space="preserve">Rigorista · Piazzati</x:t>
        </x:is>
      </x:c>
      <x:c r="J280"/>
      <x:c r="K280"/>
    </x:row>
    <x:row r="281">
      <x:c r="A281" t="inlineStr">
        <x:is>
          <x:t xml:space="preserve">C</x:t>
        </x:is>
      </x:c>
      <x:c r="B281" t="inlineStr">
        <x:is>
          <x:t xml:space="preserve">Konè M.</x:t>
        </x:is>
      </x:c>
      <x:c r="C281" t="inlineStr">
        <x:is>
          <x:t xml:space="preserve">Roma</x:t>
        </x:is>
      </x:c>
      <x:c r="D281" t="inlineStr">
        <x:is>
          <x:t xml:space="preserve">M;C</x:t>
        </x:is>
      </x:c>
      <x:c r="E281" t="inlineStr">
        <x:is>
          <x:t xml:space="preserve">Titolare</x:t>
        </x:is>
      </x:c>
      <x:c r="F281" t="n">
        <x:v>10</x:v>
      </x:c>
      <x:c r="G281" t="n">
        <x:v>42</x:v>
      </x:c>
      <x:c r="H281" t="n">
        <x:f>ROUND(G281*504/1000,0)</x:f>
        <x:v>21</x:v>
      </x:c>
      <x:c r="I281"/>
      <x:c r="J281"/>
      <x:c r="K281"/>
    </x:row>
    <x:row r="282">
      <x:c r="A282" t="inlineStr">
        <x:is>
          <x:t xml:space="preserve">C</x:t>
        </x:is>
      </x:c>
      <x:c r="B282" t="inlineStr">
        <x:is>
          <x:t xml:space="preserve">Thorstvedt</x:t>
        </x:is>
      </x:c>
      <x:c r="C282" t="inlineStr">
        <x:is>
          <x:t xml:space="preserve">Sassuolo</x:t>
        </x:is>
      </x:c>
      <x:c r="D282" t="inlineStr">
        <x:is>
          <x:t xml:space="preserve">C;T</x:t>
        </x:is>
      </x:c>
      <x:c r="E282" t="inlineStr">
        <x:is>
          <x:t xml:space="preserve">Titolare</x:t>
        </x:is>
      </x:c>
      <x:c r="F282" t="n">
        <x:v>10</x:v>
      </x:c>
      <x:c r="G282" t="n">
        <x:v>41</x:v>
      </x:c>
      <x:c r="H282" t="n">
        <x:f>ROUND(G282*504/1000,0)</x:f>
        <x:v>21</x:v>
      </x:c>
      <x:c r="I282"/>
      <x:c r="J282"/>
      <x:c r="K282"/>
    </x:row>
    <x:row r="283">
      <x:c r="A283" t="inlineStr">
        <x:is>
          <x:t xml:space="preserve">C</x:t>
        </x:is>
      </x:c>
      <x:c r="B283" t="inlineStr">
        <x:is>
          <x:t xml:space="preserve">Casadei</x:t>
        </x:is>
      </x:c>
      <x:c r="C283" t="inlineStr">
        <x:is>
          <x:t xml:space="preserve">Torino</x:t>
        </x:is>
      </x:c>
      <x:c r="D283" t="inlineStr">
        <x:is>
          <x:t xml:space="preserve">C;T</x:t>
        </x:is>
      </x:c>
      <x:c r="E283" t="inlineStr">
        <x:is>
          <x:t xml:space="preserve">Titolare / ballottaggio</x:t>
        </x:is>
      </x:c>
      <x:c r="F283" t="n">
        <x:v>10</x:v>
      </x:c>
      <x:c r="G283" t="n">
        <x:v>37</x:v>
      </x:c>
      <x:c r="H283" t="n">
        <x:f>ROUND(G283*504/1000,0)</x:f>
        <x:v>19</x:v>
      </x:c>
      <x:c r="I283"/>
      <x:c r="J283"/>
      <x:c r="K283"/>
    </x:row>
    <x:row r="284">
      <x:c r="A284" t="inlineStr">
        <x:is>
          <x:t xml:space="preserve">C</x:t>
        </x:is>
      </x:c>
      <x:c r="B284" t="inlineStr">
        <x:is>
          <x:t xml:space="preserve">Ekkelenkamp</x:t>
        </x:is>
      </x:c>
      <x:c r="C284" t="inlineStr">
        <x:is>
          <x:t xml:space="preserve">Udinese</x:t>
        </x:is>
      </x:c>
      <x:c r="D284" t="inlineStr">
        <x:is>
          <x:t xml:space="preserve">C;T</x:t>
        </x:is>
      </x:c>
      <x:c r="E284" t="inlineStr">
        <x:is>
          <x:t xml:space="preserve">Titolare</x:t>
        </x:is>
      </x:c>
      <x:c r="F284" t="n">
        <x:v>10</x:v>
      </x:c>
      <x:c r="G284" t="n">
        <x:v>41</x:v>
      </x:c>
      <x:c r="H284" t="n">
        <x:f>ROUND(G284*504/1000,0)</x:f>
        <x:v>21</x:v>
      </x:c>
      <x:c r="I284" t="inlineStr">
        <x:is>
          <x:t xml:space="preserve">Piazzati</x:t>
        </x:is>
      </x:c>
      <x:c r="J284"/>
      <x:c r="K284"/>
    </x:row>
    <x:row r="285">
      <x:c r="A285" t="inlineStr">
        <x:is>
          <x:t xml:space="preserve">C</x:t>
        </x:is>
      </x:c>
      <x:c r="B285" t="inlineStr">
        <x:is>
          <x:t xml:space="preserve">Pasalic</x:t>
        </x:is>
      </x:c>
      <x:c r="C285" t="inlineStr">
        <x:is>
          <x:t xml:space="preserve">Atalanta</x:t>
        </x:is>
      </x:c>
      <x:c r="D285" t="inlineStr">
        <x:is>
          <x:t xml:space="preserve">C;T</x:t>
        </x:is>
      </x:c>
      <x:c r="E285" t="inlineStr">
        <x:is>
          <x:t xml:space="preserve">Riserva / rotazione</x:t>
        </x:is>
      </x:c>
      <x:c r="F285" t="n">
        <x:v>9</x:v>
      </x:c>
      <x:c r="G285" t="n">
        <x:v>32</x:v>
      </x:c>
      <x:c r="H285" t="n">
        <x:f>ROUND(G285*504/1000,0)</x:f>
        <x:v>16</x:v>
      </x:c>
      <x:c r="I285"/>
      <x:c r="J285"/>
      <x:c r="K285"/>
    </x:row>
    <x:row r="286">
      <x:c r="A286" t="inlineStr">
        <x:is>
          <x:t xml:space="preserve">C</x:t>
        </x:is>
      </x:c>
      <x:c r="B286" t="inlineStr">
        <x:is>
          <x:t xml:space="preserve">Bernardeschi</x:t>
        </x:is>
      </x:c>
      <x:c r="C286" t="inlineStr">
        <x:is>
          <x:t xml:space="preserve">Bologna</x:t>
        </x:is>
      </x:c>
      <x:c r="D286" t="inlineStr">
        <x:is>
          <x:t xml:space="preserve">W;T</x:t>
        </x:is>
      </x:c>
      <x:c r="E286" t="inlineStr">
        <x:is>
          <x:t xml:space="preserve">Ballottaggio</x:t>
        </x:is>
      </x:c>
      <x:c r="F286" t="n">
        <x:v>9</x:v>
      </x:c>
      <x:c r="G286" t="n">
        <x:v>21</x:v>
      </x:c>
      <x:c r="H286" t="n">
        <x:f>ROUND(G286*504/1000,0)</x:f>
        <x:v>11</x:v>
      </x:c>
      <x:c r="I286" t="inlineStr">
        <x:is>
          <x:t xml:space="preserve">Rigorista · Piazzati</x:t>
        </x:is>
      </x:c>
      <x:c r="J286"/>
      <x:c r="K286"/>
    </x:row>
    <x:row r="287">
      <x:c r="A287" t="inlineStr">
        <x:is>
          <x:t xml:space="preserve">C</x:t>
        </x:is>
      </x:c>
      <x:c r="B287" t="inlineStr">
        <x:is>
          <x:t xml:space="preserve">Mandragora</x:t>
        </x:is>
      </x:c>
      <x:c r="C287" t="inlineStr">
        <x:is>
          <x:t xml:space="preserve">Fiorentina</x:t>
        </x:is>
      </x:c>
      <x:c r="D287" t="inlineStr">
        <x:is>
          <x:t xml:space="preserve">C</x:t>
        </x:is>
      </x:c>
      <x:c r="E287" t="inlineStr">
        <x:is>
          <x:t xml:space="preserve">Riserva / rotazione</x:t>
        </x:is>
      </x:c>
      <x:c r="F287" t="n">
        <x:v>9</x:v>
      </x:c>
      <x:c r="G287" t="n">
        <x:v>28</x:v>
      </x:c>
      <x:c r="H287" t="n">
        <x:f>ROUND(G287*504/1000,0)</x:f>
        <x:v>14</x:v>
      </x:c>
      <x:c r="I287"/>
      <x:c r="J287"/>
      <x:c r="K287"/>
    </x:row>
    <x:row r="288">
      <x:c r="A288" t="inlineStr">
        <x:is>
          <x:t xml:space="preserve">C</x:t>
        </x:is>
      </x:c>
      <x:c r="B288" t="inlineStr">
        <x:is>
          <x:t xml:space="preserve">Cancellieri</x:t>
        </x:is>
      </x:c>
      <x:c r="C288" t="inlineStr">
        <x:is>
          <x:t xml:space="preserve">Lazio</x:t>
        </x:is>
      </x:c>
      <x:c r="D288" t="inlineStr">
        <x:is>
          <x:t xml:space="preserve">W;A</x:t>
        </x:is>
      </x:c>
      <x:c r="E288" t="inlineStr">
        <x:is>
          <x:t xml:space="preserve">Ballottaggio</x:t>
        </x:is>
      </x:c>
      <x:c r="F288" t="n">
        <x:v>9</x:v>
      </x:c>
      <x:c r="G288" t="n">
        <x:v>28</x:v>
      </x:c>
      <x:c r="H288" t="n">
        <x:f>ROUND(G288*504/1000,0)</x:f>
        <x:v>14</x:v>
      </x:c>
      <x:c r="I288"/>
      <x:c r="J288"/>
      <x:c r="K288"/>
    </x:row>
    <x:row r="289">
      <x:c r="A289" t="inlineStr">
        <x:is>
          <x:t xml:space="preserve">C</x:t>
        </x:is>
      </x:c>
      <x:c r="B289" t="inlineStr">
        <x:is>
          <x:t xml:space="preserve">Isaksen</x:t>
        </x:is>
      </x:c>
      <x:c r="C289" t="inlineStr">
        <x:is>
          <x:t xml:space="preserve">Lazio</x:t>
        </x:is>
      </x:c>
      <x:c r="D289" t="inlineStr">
        <x:is>
          <x:t xml:space="preserve">W;A</x:t>
        </x:is>
      </x:c>
      <x:c r="E289" t="inlineStr">
        <x:is>
          <x:t xml:space="preserve">Titolare / ballottaggio</x:t>
        </x:is>
      </x:c>
      <x:c r="F289" t="n">
        <x:v>9</x:v>
      </x:c>
      <x:c r="G289" t="n">
        <x:v>25</x:v>
      </x:c>
      <x:c r="H289" t="n">
        <x:f>ROUND(G289*504/1000,0)</x:f>
        <x:v>13</x:v>
      </x:c>
      <x:c r="I289"/>
      <x:c r="J289"/>
      <x:c r="K289"/>
    </x:row>
    <x:row r="290">
      <x:c r="A290" t="inlineStr">
        <x:is>
          <x:t xml:space="preserve">C</x:t>
        </x:is>
      </x:c>
      <x:c r="B290" t="inlineStr">
        <x:is>
          <x:t xml:space="preserve">Konè I.</x:t>
        </x:is>
      </x:c>
      <x:c r="C290" t="inlineStr">
        <x:is>
          <x:t xml:space="preserve">Sassuolo</x:t>
        </x:is>
      </x:c>
      <x:c r="D290" t="inlineStr">
        <x:is>
          <x:t xml:space="preserve">C</x:t>
        </x:is>
      </x:c>
      <x:c r="E290" t="inlineStr">
        <x:is>
          <x:t xml:space="preserve">Riserva / rotazione</x:t>
        </x:is>
      </x:c>
      <x:c r="F290" t="n">
        <x:v>9</x:v>
      </x:c>
      <x:c r="G290" t="n">
        <x:v>20</x:v>
      </x:c>
      <x:c r="H290" t="n">
        <x:f>ROUND(G290*504/1000,0)</x:f>
        <x:v>10</x:v>
      </x:c>
      <x:c r="I290"/>
      <x:c r="J290"/>
      <x:c r="K290"/>
    </x:row>
    <x:row r="291">
      <x:c r="A291" t="inlineStr">
        <x:is>
          <x:t xml:space="preserve">C</x:t>
        </x:is>
      </x:c>
      <x:c r="B291" t="inlineStr">
        <x:is>
          <x:t xml:space="preserve">Cambiaghi</x:t>
        </x:is>
      </x:c>
      <x:c r="C291" t="inlineStr">
        <x:is>
          <x:t xml:space="preserve">Bologna</x:t>
        </x:is>
      </x:c>
      <x:c r="D291" t="inlineStr">
        <x:is>
          <x:t xml:space="preserve">W;A</x:t>
        </x:is>
      </x:c>
      <x:c r="E291" t="inlineStr">
        <x:is>
          <x:t xml:space="preserve">Titolare / ballottaggio</x:t>
        </x:is>
      </x:c>
      <x:c r="F291" t="n">
        <x:v>8</x:v>
      </x:c>
      <x:c r="G291" t="n">
        <x:v>25</x:v>
      </x:c>
      <x:c r="H291" t="n">
        <x:f>ROUND(G291*504/1000,0)</x:f>
        <x:v>13</x:v>
      </x:c>
      <x:c r="I291"/>
      <x:c r="J291"/>
      <x:c r="K291"/>
    </x:row>
    <x:row r="292">
      <x:c r="A292" t="inlineStr">
        <x:is>
          <x:t xml:space="preserve">C</x:t>
        </x:is>
      </x:c>
      <x:c r="B292" t="inlineStr">
        <x:is>
          <x:t xml:space="preserve">Odgaard</x:t>
        </x:is>
      </x:c>
      <x:c r="C292" t="inlineStr">
        <x:is>
          <x:t xml:space="preserve">Bologna</x:t>
        </x:is>
      </x:c>
      <x:c r="D292" t="inlineStr">
        <x:is>
          <x:t xml:space="preserve">T</x:t>
        </x:is>
      </x:c>
      <x:c r="E292" t="inlineStr">
        <x:is>
          <x:t xml:space="preserve">Titolare / ballottaggio</x:t>
        </x:is>
      </x:c>
      <x:c r="F292" t="n">
        <x:v>8</x:v>
      </x:c>
      <x:c r="G292" t="n">
        <x:v>22</x:v>
      </x:c>
      <x:c r="H292" t="n">
        <x:f>ROUND(G292*504/1000,0)</x:f>
        <x:v>11</x:v>
      </x:c>
      <x:c r="I292"/>
      <x:c r="J292"/>
      <x:c r="K292"/>
    </x:row>
    <x:row r="293">
      <x:c r="A293" t="inlineStr">
        <x:is>
          <x:t xml:space="preserve">C</x:t>
        </x:is>
      </x:c>
      <x:c r="B293" t="inlineStr">
        <x:is>
          <x:t xml:space="preserve">Fagioli</x:t>
        </x:is>
      </x:c>
      <x:c r="C293" t="inlineStr">
        <x:is>
          <x:t xml:space="preserve">Fiorentina</x:t>
        </x:is>
      </x:c>
      <x:c r="D293" t="inlineStr">
        <x:is>
          <x:t xml:space="preserve">M;C</x:t>
        </x:is>
      </x:c>
      <x:c r="E293" t="inlineStr">
        <x:is>
          <x:t xml:space="preserve">Titolare / ballottaggio</x:t>
        </x:is>
      </x:c>
      <x:c r="F293" t="n">
        <x:v>8</x:v>
      </x:c>
      <x:c r="G293" t="n">
        <x:v>23</x:v>
      </x:c>
      <x:c r="H293" t="n">
        <x:f>ROUND(G293*504/1000,0)</x:f>
        <x:v>12</x:v>
      </x:c>
      <x:c r="I293"/>
      <x:c r="J293"/>
      <x:c r="K293"/>
    </x:row>
    <x:row r="294">
      <x:c r="A294" t="inlineStr">
        <x:is>
          <x:t xml:space="preserve">C</x:t>
        </x:is>
      </x:c>
      <x:c r="B294" t="inlineStr">
        <x:is>
          <x:t xml:space="preserve">Ndour</x:t>
        </x:is>
      </x:c>
      <x:c r="C294" t="inlineStr">
        <x:is>
          <x:t xml:space="preserve">Fiorentina</x:t>
        </x:is>
      </x:c>
      <x:c r="D294" t="inlineStr">
        <x:is>
          <x:t xml:space="preserve">C</x:t>
        </x:is>
      </x:c>
      <x:c r="E294" t="inlineStr">
        <x:is>
          <x:t xml:space="preserve">Titolare</x:t>
        </x:is>
      </x:c>
      <x:c r="F294" t="n">
        <x:v>8</x:v>
      </x:c>
      <x:c r="G294" t="n">
        <x:v>25</x:v>
      </x:c>
      <x:c r="H294" t="n">
        <x:f>ROUND(G294*504/1000,0)</x:f>
        <x:v>13</x:v>
      </x:c>
      <x:c r="I294"/>
      <x:c r="J294"/>
      <x:c r="K294"/>
    </x:row>
    <x:row r="295">
      <x:c r="A295" t="inlineStr">
        <x:is>
          <x:t xml:space="preserve">C</x:t>
        </x:is>
      </x:c>
      <x:c r="B295" t="inlineStr">
        <x:is>
          <x:t xml:space="preserve">Diouf</x:t>
        </x:is>
      </x:c>
      <x:c r="C295" t="inlineStr">
        <x:is>
          <x:t xml:space="preserve">Inter</x:t>
        </x:is>
      </x:c>
      <x:c r="D295" t="inlineStr">
        <x:is>
          <x:t xml:space="preserve">E;C</x:t>
        </x:is>
      </x:c>
      <x:c r="E295" t="inlineStr">
        <x:is>
          <x:t xml:space="preserve">Ballottaggio</x:t>
        </x:is>
      </x:c>
      <x:c r="F295" t="n">
        <x:v>8</x:v>
      </x:c>
      <x:c r="G295" t="n">
        <x:v>37</x:v>
      </x:c>
      <x:c r="H295" t="n">
        <x:f>ROUND(G295*504/1000,0)</x:f>
        <x:v>19</x:v>
      </x:c>
      <x:c r="I295"/>
      <x:c r="J295"/>
      <x:c r="K295"/>
    </x:row>
    <x:row r="296">
      <x:c r="A296" t="inlineStr">
        <x:is>
          <x:t xml:space="preserve">C</x:t>
        </x:is>
      </x:c>
      <x:c r="B296" t="inlineStr">
        <x:is>
          <x:t xml:space="preserve">Sucic P.</x:t>
        </x:is>
      </x:c>
      <x:c r="C296" t="inlineStr">
        <x:is>
          <x:t xml:space="preserve">Inter</x:t>
        </x:is>
      </x:c>
      <x:c r="D296" t="inlineStr">
        <x:is>
          <x:t xml:space="preserve">C</x:t>
        </x:is>
      </x:c>
      <x:c r="E296" t="inlineStr">
        <x:is>
          <x:t xml:space="preserve">Riserva / rotazione</x:t>
        </x:is>
      </x:c>
      <x:c r="F296" t="n">
        <x:v>8</x:v>
      </x:c>
      <x:c r="G296" t="n">
        <x:v>26</x:v>
      </x:c>
      <x:c r="H296" t="n">
        <x:f>ROUND(G296*504/1000,0)</x:f>
        <x:v>13</x:v>
      </x:c>
      <x:c r="I296"/>
      <x:c r="J296"/>
      <x:c r="K296"/>
    </x:row>
    <x:row r="297">
      <x:c r="A297" t="inlineStr">
        <x:is>
          <x:t xml:space="preserve">C</x:t>
        </x:is>
      </x:c>
      <x:c r="B297" t="inlineStr">
        <x:is>
          <x:t xml:space="preserve">Locatelli</x:t>
        </x:is>
      </x:c>
      <x:c r="C297" t="inlineStr">
        <x:is>
          <x:t xml:space="preserve">Juventus</x:t>
        </x:is>
      </x:c>
      <x:c r="D297" t="inlineStr">
        <x:is>
          <x:t xml:space="preserve">M;C</x:t>
        </x:is>
      </x:c>
      <x:c r="E297" t="inlineStr">
        <x:is>
          <x:t xml:space="preserve">Titolare</x:t>
        </x:is>
      </x:c>
      <x:c r="F297" t="n">
        <x:v>8</x:v>
      </x:c>
      <x:c r="G297" t="n">
        <x:v>32</x:v>
      </x:c>
      <x:c r="H297" t="n">
        <x:f>ROUND(G297*504/1000,0)</x:f>
        <x:v>16</x:v>
      </x:c>
      <x:c r="I297" t="inlineStr">
        <x:is>
          <x:t xml:space="preserve">Piazzati</x:t>
        </x:is>
      </x:c>
      <x:c r="J297"/>
      <x:c r="K297"/>
    </x:row>
    <x:row r="298">
      <x:c r="A298" t="inlineStr">
        <x:is>
          <x:t xml:space="preserve">C</x:t>
        </x:is>
      </x:c>
      <x:c r="B298" t="inlineStr">
        <x:is>
          <x:t xml:space="preserve">Colpani</x:t>
        </x:is>
      </x:c>
      <x:c r="C298" t="inlineStr">
        <x:is>
          <x:t xml:space="preserve">Monza</x:t>
        </x:is>
      </x:c>
      <x:c r="D298" t="inlineStr">
        <x:is>
          <x:t xml:space="preserve">T</x:t>
        </x:is>
      </x:c>
      <x:c r="E298" t="inlineStr">
        <x:is>
          <x:t xml:space="preserve">Ballottaggio</x:t>
        </x:is>
      </x:c>
      <x:c r="F298" t="n">
        <x:v>8</x:v>
      </x:c>
      <x:c r="G298" t="n">
        <x:v>25</x:v>
      </x:c>
      <x:c r="H298" t="n">
        <x:f>ROUND(G298*504/1000,0)</x:f>
        <x:v>13</x:v>
      </x:c>
      <x:c r="I298"/>
      <x:c r="J298"/>
      <x:c r="K298"/>
    </x:row>
    <x:row r="299">
      <x:c r="A299" t="inlineStr">
        <x:is>
          <x:t xml:space="preserve">C</x:t>
        </x:is>
      </x:c>
      <x:c r="B299" t="inlineStr">
        <x:is>
          <x:t xml:space="preserve">Vergara</x:t>
        </x:is>
      </x:c>
      <x:c r="C299" t="inlineStr">
        <x:is>
          <x:t xml:space="preserve">Napoli</x:t>
        </x:is>
      </x:c>
      <x:c r="D299" t="inlineStr">
        <x:is>
          <x:t xml:space="preserve">W;T</x:t>
        </x:is>
      </x:c>
      <x:c r="E299" t="inlineStr">
        <x:is>
          <x:t xml:space="preserve">Ballottaggio</x:t>
        </x:is>
      </x:c>
      <x:c r="F299" t="n">
        <x:v>8</x:v>
      </x:c>
      <x:c r="G299" t="n">
        <x:v>34</x:v>
      </x:c>
      <x:c r="H299" t="n">
        <x:f>ROUND(G299*504/1000,0)</x:f>
        <x:v>17</x:v>
      </x:c>
      <x:c r="I299"/>
      <x:c r="J299"/>
      <x:c r="K299"/>
    </x:row>
    <x:row r="300">
      <x:c r="A300" t="inlineStr">
        <x:is>
          <x:t xml:space="preserve">C</x:t>
        </x:is>
      </x:c>
      <x:c r="B300" t="inlineStr">
        <x:is>
          <x:t xml:space="preserve">Cristante</x:t>
        </x:is>
      </x:c>
      <x:c r="C300" t="inlineStr">
        <x:is>
          <x:t xml:space="preserve">Roma</x:t>
        </x:is>
      </x:c>
      <x:c r="D300" t="inlineStr">
        <x:is>
          <x:t xml:space="preserve">M;C</x:t>
        </x:is>
      </x:c>
      <x:c r="E300" t="inlineStr">
        <x:is>
          <x:t xml:space="preserve">Titolare</x:t>
        </x:is>
      </x:c>
      <x:c r="F300" t="n">
        <x:v>8</x:v>
      </x:c>
      <x:c r="G300" t="n">
        <x:v>29</x:v>
      </x:c>
      <x:c r="H300" t="n">
        <x:f>ROUND(G300*504/1000,0)</x:f>
        <x:v>15</x:v>
      </x:c>
      <x:c r="I300"/>
      <x:c r="J300"/>
      <x:c r="K300"/>
    </x:row>
    <x:row r="301">
      <x:c r="A301" t="inlineStr">
        <x:is>
          <x:t xml:space="preserve">C</x:t>
        </x:is>
      </x:c>
      <x:c r="B301" t="inlineStr">
        <x:is>
          <x:t xml:space="preserve">Gaetano</x:t>
        </x:is>
      </x:c>
      <x:c r="C301" t="inlineStr">
        <x:is>
          <x:t xml:space="preserve">Atalanta</x:t>
        </x:is>
      </x:c>
      <x:c r="D301" t="inlineStr">
        <x:is>
          <x:t xml:space="preserve">M;C</x:t>
        </x:is>
      </x:c>
      <x:c r="E301" t="inlineStr">
        <x:is>
          <x:t xml:space="preserve">Titolare</x:t>
        </x:is>
      </x:c>
      <x:c r="F301" t="n">
        <x:v>7</x:v>
      </x:c>
      <x:c r="G301" t="n">
        <x:v>24</x:v>
      </x:c>
      <x:c r="H301" t="n">
        <x:f>ROUND(G301*504/1000,0)</x:f>
        <x:v>12</x:v>
      </x:c>
      <x:c r="I301" t="inlineStr">
        <x:is>
          <x:t xml:space="preserve">Piazzati</x:t>
        </x:is>
      </x:c>
      <x:c r="J301"/>
      <x:c r="K301"/>
    </x:row>
    <x:row r="302">
      <x:c r="A302" t="inlineStr">
        <x:is>
          <x:t xml:space="preserve">C</x:t>
        </x:is>
      </x:c>
      <x:c r="B302" t="inlineStr">
        <x:is>
          <x:t xml:space="preserve">Ferguson</x:t>
        </x:is>
      </x:c>
      <x:c r="C302" t="inlineStr">
        <x:is>
          <x:t xml:space="preserve">Bologna</x:t>
        </x:is>
      </x:c>
      <x:c r="D302" t="inlineStr">
        <x:is>
          <x:t xml:space="preserve">M;C</x:t>
        </x:is>
      </x:c>
      <x:c r="E302" t="inlineStr">
        <x:is>
          <x:t xml:space="preserve">Titolare</x:t>
        </x:is>
      </x:c>
      <x:c r="F302" t="n">
        <x:v>7</x:v>
      </x:c>
      <x:c r="G302" t="n">
        <x:v>18</x:v>
      </x:c>
      <x:c r="H302" t="n">
        <x:f>ROUND(G302*504/1000,0)</x:f>
        <x:v>9</x:v>
      </x:c>
      <x:c r="I302"/>
      <x:c r="J302"/>
      <x:c r="K302"/>
    </x:row>
    <x:row r="303">
      <x:c r="A303" t="inlineStr">
        <x:is>
          <x:t xml:space="preserve">C</x:t>
        </x:is>
      </x:c>
      <x:c r="B303" t="inlineStr">
        <x:is>
          <x:t xml:space="preserve">Fazzini</x:t>
        </x:is>
      </x:c>
      <x:c r="C303" t="inlineStr">
        <x:is>
          <x:t xml:space="preserve">Cagliari</x:t>
        </x:is>
      </x:c>
      <x:c r="D303" t="inlineStr">
        <x:is>
          <x:t xml:space="preserve">C;T</x:t>
        </x:is>
      </x:c>
      <x:c r="E303" t="inlineStr">
        <x:is>
          <x:t xml:space="preserve">Titolare</x:t>
        </x:is>
      </x:c>
      <x:c r="F303" t="n">
        <x:v>7</x:v>
      </x:c>
      <x:c r="G303" t="n">
        <x:v>19</x:v>
      </x:c>
      <x:c r="H303" t="n">
        <x:f>ROUND(G303*504/1000,0)</x:f>
        <x:v>10</x:v>
      </x:c>
      <x:c r="I303" t="inlineStr">
        <x:is>
          <x:t xml:space="preserve">Piazzati</x:t>
        </x:is>
      </x:c>
      <x:c r="J303"/>
      <x:c r="K303"/>
    </x:row>
    <x:row r="304">
      <x:c r="A304" t="inlineStr">
        <x:is>
          <x:t xml:space="preserve">C</x:t>
        </x:is>
      </x:c>
      <x:c r="B304" t="inlineStr">
        <x:is>
          <x:t xml:space="preserve">Calò</x:t>
        </x:is>
      </x:c>
      <x:c r="C304" t="inlineStr">
        <x:is>
          <x:t xml:space="preserve">Frosinone</x:t>
        </x:is>
      </x:c>
      <x:c r="D304" t="inlineStr">
        <x:is>
          <x:t xml:space="preserve">M;C</x:t>
        </x:is>
      </x:c>
      <x:c r="E304" t="inlineStr">
        <x:is>
          <x:t xml:space="preserve">Titolare</x:t>
        </x:is>
      </x:c>
      <x:c r="F304" t="n">
        <x:v>7</x:v>
      </x:c>
      <x:c r="G304" t="n">
        <x:v>25</x:v>
      </x:c>
      <x:c r="H304" t="n">
        <x:f>ROUND(G304*504/1000,0)</x:f>
        <x:v>13</x:v>
      </x:c>
      <x:c r="I304" t="inlineStr">
        <x:is>
          <x:t xml:space="preserve">Rigorista · Piazzati</x:t>
        </x:is>
      </x:c>
      <x:c r="J304"/>
      <x:c r="K304"/>
    </x:row>
    <x:row r="305">
      <x:c r="A305" t="inlineStr">
        <x:is>
          <x:t xml:space="preserve">C</x:t>
        </x:is>
      </x:c>
      <x:c r="B305" t="inlineStr">
        <x:is>
          <x:t xml:space="preserve">Frendrup</x:t>
        </x:is>
      </x:c>
      <x:c r="C305" t="inlineStr">
        <x:is>
          <x:t xml:space="preserve">Genoa</x:t>
        </x:is>
      </x:c>
      <x:c r="D305" t="inlineStr">
        <x:is>
          <x:t xml:space="preserve">M;C</x:t>
        </x:is>
      </x:c>
      <x:c r="E305" t="inlineStr">
        <x:is>
          <x:t xml:space="preserve">Titolare</x:t>
        </x:is>
      </x:c>
      <x:c r="F305" t="n">
        <x:v>7</x:v>
      </x:c>
      <x:c r="G305" t="n">
        <x:v>19</x:v>
      </x:c>
      <x:c r="H305" t="n">
        <x:f>ROUND(G305*504/1000,0)</x:f>
        <x:v>10</x:v>
      </x:c>
      <x:c r="I305"/>
      <x:c r="J305"/>
      <x:c r="K305"/>
    </x:row>
    <x:row r="306">
      <x:c r="A306" t="inlineStr">
        <x:is>
          <x:t xml:space="preserve">C</x:t>
        </x:is>
      </x:c>
      <x:c r="B306" t="inlineStr">
        <x:is>
          <x:t xml:space="preserve">Frattesi</x:t>
        </x:is>
      </x:c>
      <x:c r="C306" t="inlineStr">
        <x:is>
          <x:t xml:space="preserve">Inter</x:t>
        </x:is>
      </x:c>
      <x:c r="D306" t="inlineStr">
        <x:is>
          <x:t xml:space="preserve">C;T</x:t>
        </x:is>
      </x:c>
      <x:c r="E306" t="inlineStr">
        <x:is>
          <x:t xml:space="preserve">Riserva / rotazione</x:t>
        </x:is>
      </x:c>
      <x:c r="F306" t="n">
        <x:v>7</x:v>
      </x:c>
      <x:c r="G306" t="n">
        <x:v>13</x:v>
      </x:c>
      <x:c r="H306" t="n">
        <x:f>ROUND(G306*504/1000,0)</x:f>
        <x:v>7</x:v>
      </x:c>
      <x:c r="I306"/>
      <x:c r="J306"/>
      <x:c r="K306"/>
    </x:row>
    <x:row r="307">
      <x:c r="A307" t="inlineStr">
        <x:is>
          <x:t xml:space="preserve">C</x:t>
        </x:is>
      </x:c>
      <x:c r="B307" t="inlineStr">
        <x:is>
          <x:t xml:space="preserve">Pessina</x:t>
        </x:is>
      </x:c>
      <x:c r="C307" t="inlineStr">
        <x:is>
          <x:t xml:space="preserve">Monza</x:t>
        </x:is>
      </x:c>
      <x:c r="D307" t="inlineStr">
        <x:is>
          <x:t xml:space="preserve">M;C</x:t>
        </x:is>
      </x:c>
      <x:c r="E307" t="inlineStr">
        <x:is>
          <x:t xml:space="preserve">Riserva / rotazione</x:t>
        </x:is>
      </x:c>
      <x:c r="F307" t="n">
        <x:v>7</x:v>
      </x:c>
      <x:c r="G307" t="n">
        <x:v>20</x:v>
      </x:c>
      <x:c r="H307" t="n">
        <x:f>ROUND(G307*504/1000,0)</x:f>
        <x:v>10</x:v>
      </x:c>
      <x:c r="I307" t="inlineStr">
        <x:is>
          <x:t xml:space="preserve">Piazzati</x:t>
        </x:is>
      </x:c>
      <x:c r="J307"/>
      <x:c r="K307"/>
    </x:row>
    <x:row r="308">
      <x:c r="A308" t="inlineStr">
        <x:is>
          <x:t xml:space="preserve">C</x:t>
        </x:is>
      </x:c>
      <x:c r="B308" t="inlineStr">
        <x:is>
          <x:t xml:space="preserve">Lobotka</x:t>
        </x:is>
      </x:c>
      <x:c r="C308" t="inlineStr">
        <x:is>
          <x:t xml:space="preserve">Napoli</x:t>
        </x:is>
      </x:c>
      <x:c r="D308" t="inlineStr">
        <x:is>
          <x:t xml:space="preserve">M;C</x:t>
        </x:is>
      </x:c>
      <x:c r="E308" t="inlineStr">
        <x:is>
          <x:t xml:space="preserve">Titolare</x:t>
        </x:is>
      </x:c>
      <x:c r="F308" t="n">
        <x:v>7</x:v>
      </x:c>
      <x:c r="G308" t="n">
        <x:v>20</x:v>
      </x:c>
      <x:c r="H308" t="n">
        <x:f>ROUND(G308*504/1000,0)</x:f>
        <x:v>10</x:v>
      </x:c>
      <x:c r="I308"/>
      <x:c r="J308"/>
      <x:c r="K308"/>
    </x:row>
    <x:row r="309">
      <x:c r="A309" t="inlineStr">
        <x:is>
          <x:t xml:space="preserve">C</x:t>
        </x:is>
      </x:c>
      <x:c r="B309" t="inlineStr">
        <x:is>
          <x:t xml:space="preserve">Bernabè</x:t>
        </x:is>
      </x:c>
      <x:c r="C309" t="inlineStr">
        <x:is>
          <x:t xml:space="preserve">Parma</x:t>
        </x:is>
      </x:c>
      <x:c r="D309" t="inlineStr">
        <x:is>
          <x:t xml:space="preserve">C</x:t>
        </x:is>
      </x:c>
      <x:c r="E309" t="inlineStr">
        <x:is>
          <x:t xml:space="preserve">Titolare</x:t>
        </x:is>
      </x:c>
      <x:c r="F309" t="n">
        <x:v>7</x:v>
      </x:c>
      <x:c r="G309" t="n">
        <x:v>36</x:v>
      </x:c>
      <x:c r="H309" t="n">
        <x:f>ROUND(G309*504/1000,0)</x:f>
        <x:v>18</x:v>
      </x:c>
      <x:c r="I309" t="inlineStr">
        <x:is>
          <x:t xml:space="preserve">Piazzati</x:t>
        </x:is>
      </x:c>
      <x:c r="J309"/>
      <x:c r="K309"/>
    </x:row>
    <x:row r="310">
      <x:c r="A310" t="inlineStr">
        <x:is>
          <x:t xml:space="preserve">C</x:t>
        </x:is>
      </x:c>
      <x:c r="B310" t="inlineStr">
        <x:is>
          <x:t xml:space="preserve">Volpato</x:t>
        </x:is>
      </x:c>
      <x:c r="C310" t="inlineStr">
        <x:is>
          <x:t xml:space="preserve">Sassuolo</x:t>
        </x:is>
      </x:c>
      <x:c r="D310" t="inlineStr">
        <x:is>
          <x:t xml:space="preserve">W;T</x:t>
        </x:is>
      </x:c>
      <x:c r="E310" t="inlineStr">
        <x:is>
          <x:t xml:space="preserve">Riserva / rotazione</x:t>
        </x:is>
      </x:c>
      <x:c r="F310" t="n">
        <x:v>7</x:v>
      </x:c>
      <x:c r="G310" t="n">
        <x:v>23</x:v>
      </x:c>
      <x:c r="H310" t="n">
        <x:f>ROUND(G310*504/1000,0)</x:f>
        <x:v>12</x:v>
      </x:c>
      <x:c r="I310"/>
      <x:c r="J310"/>
      <x:c r="K310"/>
    </x:row>
    <x:row r="311">
      <x:c r="A311" t="inlineStr">
        <x:is>
          <x:t xml:space="preserve">C</x:t>
        </x:is>
      </x:c>
      <x:c r="B311" t="inlineStr">
        <x:is>
          <x:t xml:space="preserve">Oristanio</x:t>
        </x:is>
      </x:c>
      <x:c r="C311" t="inlineStr">
        <x:is>
          <x:t xml:space="preserve">Torino</x:t>
        </x:is>
      </x:c>
      <x:c r="D311" t="inlineStr">
        <x:is>
          <x:t xml:space="preserve">W;T</x:t>
        </x:is>
      </x:c>
      <x:c r="E311" t="inlineStr">
        <x:is>
          <x:t xml:space="preserve">Riserva / rotazione</x:t>
        </x:is>
      </x:c>
      <x:c r="F311" t="n">
        <x:v>7</x:v>
      </x:c>
      <x:c r="G311" t="n">
        <x:v>27</x:v>
      </x:c>
      <x:c r="H311" t="n">
        <x:f>ROUND(G311*504/1000,0)</x:f>
        <x:v>14</x:v>
      </x:c>
      <x:c r="I311"/>
      <x:c r="J311"/>
      <x:c r="K311"/>
    </x:row>
    <x:row r="312">
      <x:c r="A312" t="inlineStr">
        <x:is>
          <x:t xml:space="preserve">C</x:t>
        </x:is>
      </x:c>
      <x:c r="B312" t="inlineStr">
        <x:is>
          <x:t xml:space="preserve">Unai Gomez</x:t>
        </x:is>
      </x:c>
      <x:c r="C312" t="inlineStr">
        <x:is>
          <x:t xml:space="preserve">Udinese</x:t>
        </x:is>
      </x:c>
      <x:c r="D312" t="inlineStr">
        <x:is>
          <x:t xml:space="preserve">T</x:t>
        </x:is>
      </x:c>
      <x:c r="E312" t="inlineStr">
        <x:is>
          <x:t xml:space="preserve">Riserva / rotazione</x:t>
        </x:is>
      </x:c>
      <x:c r="F312" t="n">
        <x:v>7</x:v>
      </x:c>
      <x:c r="G312" t="n">
        <x:v>23</x:v>
      </x:c>
      <x:c r="H312" t="n">
        <x:f>ROUND(G312*504/1000,0)</x:f>
        <x:v>12</x:v>
      </x:c>
      <x:c r="I312" t="inlineStr">
        <x:is>
          <x:t xml:space="preserve">Piazzati</x:t>
        </x:is>
      </x:c>
      <x:c r="J312"/>
      <x:c r="K312"/>
    </x:row>
    <x:row r="313">
      <x:c r="A313" t="inlineStr">
        <x:is>
          <x:t xml:space="preserve">C</x:t>
        </x:is>
      </x:c>
      <x:c r="B313" t="inlineStr">
        <x:is>
          <x:t xml:space="preserve">Zalewski</x:t>
        </x:is>
      </x:c>
      <x:c r="C313" t="inlineStr">
        <x:is>
          <x:t xml:space="preserve">Atalanta</x:t>
        </x:is>
      </x:c>
      <x:c r="D313" t="inlineStr">
        <x:is>
          <x:t xml:space="preserve">W</x:t>
        </x:is>
      </x:c>
      <x:c r="E313" t="inlineStr">
        <x:is>
          <x:t xml:space="preserve">Riserva / rotazione</x:t>
        </x:is>
      </x:c>
      <x:c r="F313" t="n">
        <x:v>6</x:v>
      </x:c>
      <x:c r="G313" t="n">
        <x:v>21</x:v>
      </x:c>
      <x:c r="H313" t="n">
        <x:f>ROUND(G313*504/1000,0)</x:f>
        <x:v>11</x:v>
      </x:c>
      <x:c r="I313"/>
      <x:c r="J313"/>
      <x:c r="K313"/>
    </x:row>
    <x:row r="314">
      <x:c r="A314" t="inlineStr">
        <x:is>
          <x:t xml:space="preserve">C</x:t>
        </x:is>
      </x:c>
      <x:c r="B314" t="inlineStr">
        <x:is>
          <x:t xml:space="preserve">Pobega</x:t>
        </x:is>
      </x:c>
      <x:c r="C314" t="inlineStr">
        <x:is>
          <x:t xml:space="preserve">Bologna</x:t>
        </x:is>
      </x:c>
      <x:c r="D314" t="inlineStr">
        <x:is>
          <x:t xml:space="preserve">M;C</x:t>
        </x:is>
      </x:c>
      <x:c r="E314" t="inlineStr">
        <x:is>
          <x:t xml:space="preserve">Titolare / ballottaggio</x:t>
        </x:is>
      </x:c>
      <x:c r="F314" t="n">
        <x:v>6</x:v>
      </x:c>
      <x:c r="G314" t="n">
        <x:v>14</x:v>
      </x:c>
      <x:c r="H314" t="n">
        <x:f>ROUND(G314*504/1000,0)</x:f>
        <x:v>7</x:v>
      </x:c>
      <x:c r="I314"/>
      <x:c r="J314"/>
      <x:c r="K314"/>
    </x:row>
    <x:row r="315">
      <x:c r="A315" t="inlineStr">
        <x:is>
          <x:t xml:space="preserve">C</x:t>
        </x:is>
      </x:c>
      <x:c r="B315" t="inlineStr">
        <x:is>
          <x:t xml:space="preserve">Adopo</x:t>
        </x:is>
      </x:c>
      <x:c r="C315" t="inlineStr">
        <x:is>
          <x:t xml:space="preserve">Cagliari</x:t>
        </x:is>
      </x:c>
      <x:c r="D315" t="inlineStr">
        <x:is>
          <x:t xml:space="preserve">M;C</x:t>
        </x:is>
      </x:c>
      <x:c r="E315" t="inlineStr">
        <x:is>
          <x:t xml:space="preserve">Titolare / ballottaggio</x:t>
        </x:is>
      </x:c>
      <x:c r="F315" t="n">
        <x:v>6</x:v>
      </x:c>
      <x:c r="G315" t="n">
        <x:v>13</x:v>
      </x:c>
      <x:c r="H315" t="n">
        <x:f>ROUND(G315*504/1000,0)</x:f>
        <x:v>7</x:v>
      </x:c>
      <x:c r="I315"/>
      <x:c r="J315"/>
      <x:c r="K315"/>
    </x:row>
    <x:row r="316">
      <x:c r="A316" t="inlineStr">
        <x:is>
          <x:t xml:space="preserve">C</x:t>
        </x:is>
      </x:c>
      <x:c r="B316" t="inlineStr">
        <x:is>
          <x:t xml:space="preserve">Winks</x:t>
        </x:is>
      </x:c>
      <x:c r="C316" t="inlineStr">
        <x:is>
          <x:t xml:space="preserve">Cagliari</x:t>
        </x:is>
      </x:c>
      <x:c r="D316" t="inlineStr">
        <x:is>
          <x:t xml:space="preserve">M;C</x:t>
        </x:is>
      </x:c>
      <x:c r="E316" t="inlineStr">
        <x:is>
          <x:t xml:space="preserve">Titolare</x:t>
        </x:is>
      </x:c>
      <x:c r="F316" t="n">
        <x:v>6</x:v>
      </x:c>
      <x:c r="G316" t="n">
        <x:v>14</x:v>
      </x:c>
      <x:c r="H316" t="n">
        <x:f>ROUND(G316*504/1000,0)</x:f>
        <x:v>7</x:v>
      </x:c>
      <x:c r="I316"/>
      <x:c r="J316"/>
      <x:c r="K316"/>
    </x:row>
    <x:row r="317">
      <x:c r="A317" t="inlineStr">
        <x:is>
          <x:t xml:space="preserve">C</x:t>
        </x:is>
      </x:c>
      <x:c r="B317" t="inlineStr">
        <x:is>
          <x:t xml:space="preserve">Caqueret</x:t>
        </x:is>
      </x:c>
      <x:c r="C317" t="inlineStr">
        <x:is>
          <x:t xml:space="preserve">Como</x:t>
        </x:is>
      </x:c>
      <x:c r="D317" t="inlineStr">
        <x:is>
          <x:t xml:space="preserve">C;T</x:t>
        </x:is>
      </x:c>
      <x:c r="E317" t="inlineStr">
        <x:is>
          <x:t xml:space="preserve">Riserva / rotazione</x:t>
        </x:is>
      </x:c>
      <x:c r="F317" t="n">
        <x:v>6</x:v>
      </x:c>
      <x:c r="G317" t="n">
        <x:v>20</x:v>
      </x:c>
      <x:c r="H317" t="n">
        <x:f>ROUND(G317*504/1000,0)</x:f>
        <x:v>10</x:v>
      </x:c>
      <x:c r="I317"/>
      <x:c r="J317"/>
      <x:c r="K317"/>
    </x:row>
    <x:row r="318">
      <x:c r="A318" t="inlineStr">
        <x:is>
          <x:t xml:space="preserve">C</x:t>
        </x:is>
      </x:c>
      <x:c r="B318" t="inlineStr">
        <x:is>
          <x:t xml:space="preserve">Liberali</x:t>
        </x:is>
      </x:c>
      <x:c r="C318" t="inlineStr">
        <x:is>
          <x:t xml:space="preserve">Como</x:t>
        </x:is>
      </x:c>
      <x:c r="D318" t="inlineStr">
        <x:is>
          <x:t xml:space="preserve">T</x:t>
        </x:is>
      </x:c>
      <x:c r="E318" t="inlineStr">
        <x:is>
          <x:t xml:space="preserve">Riserva / rotazione</x:t>
        </x:is>
      </x:c>
      <x:c r="F318" t="n">
        <x:v>6</x:v>
      </x:c>
      <x:c r="G318" t="n">
        <x:v>22</x:v>
      </x:c>
      <x:c r="H318" t="n">
        <x:f>ROUND(G318*504/1000,0)</x:f>
        <x:v>11</x:v>
      </x:c>
      <x:c r="I318"/>
      <x:c r="J318"/>
      <x:c r="K318"/>
    </x:row>
    <x:row r="319">
      <x:c r="A319" t="inlineStr">
        <x:is>
          <x:t xml:space="preserve">C</x:t>
        </x:is>
      </x:c>
      <x:c r="B319" t="inlineStr">
        <x:is>
          <x:t xml:space="preserve">Oulai</x:t>
        </x:is>
      </x:c>
      <x:c r="C319" t="inlineStr">
        <x:is>
          <x:t xml:space="preserve">Fiorentina</x:t>
        </x:is>
      </x:c>
      <x:c r="D319" t="inlineStr">
        <x:is>
          <x:t xml:space="preserve">M;C</x:t>
        </x:is>
      </x:c>
      <x:c r="E319" t="inlineStr">
        <x:is>
          <x:t xml:space="preserve">Ballottaggio</x:t>
        </x:is>
      </x:c>
      <x:c r="F319" t="n">
        <x:v>6</x:v>
      </x:c>
      <x:c r="G319" t="n">
        <x:v>20</x:v>
      </x:c>
      <x:c r="H319" t="n">
        <x:f>ROUND(G319*504/1000,0)</x:f>
        <x:v>10</x:v>
      </x:c>
      <x:c r="I319"/>
      <x:c r="J319"/>
      <x:c r="K319"/>
    </x:row>
    <x:row r="320">
      <x:c r="A320" t="inlineStr">
        <x:is>
          <x:t xml:space="preserve">C</x:t>
        </x:is>
      </x:c>
      <x:c r="B320" t="inlineStr">
        <x:is>
          <x:t xml:space="preserve">Ellertsson</x:t>
        </x:is>
      </x:c>
      <x:c r="C320" t="inlineStr">
        <x:is>
          <x:t xml:space="preserve">Genoa</x:t>
        </x:is>
      </x:c>
      <x:c r="D320" t="inlineStr">
        <x:is>
          <x:t xml:space="preserve">E;C</x:t>
        </x:is>
      </x:c>
      <x:c r="E320" t="inlineStr">
        <x:is>
          <x:t xml:space="preserve">Titolare</x:t>
        </x:is>
      </x:c>
      <x:c r="F320" t="n">
        <x:v>6</x:v>
      </x:c>
      <x:c r="G320" t="n">
        <x:v>18</x:v>
      </x:c>
      <x:c r="H320" t="n">
        <x:f>ROUND(G320*504/1000,0)</x:f>
        <x:v>9</x:v>
      </x:c>
      <x:c r="I320"/>
      <x:c r="J320"/>
      <x:c r="K320"/>
    </x:row>
    <x:row r="321">
      <x:c r="A321" t="inlineStr">
        <x:is>
          <x:t xml:space="preserve">C</x:t>
        </x:is>
      </x:c>
      <x:c r="B321" t="inlineStr">
        <x:is>
          <x:t xml:space="preserve">Zhegrova</x:t>
        </x:is>
      </x:c>
      <x:c r="C321" t="inlineStr">
        <x:is>
          <x:t xml:space="preserve">Juventus</x:t>
        </x:is>
      </x:c>
      <x:c r="D321" t="inlineStr">
        <x:is>
          <x:t xml:space="preserve">W</x:t>
        </x:is>
      </x:c>
      <x:c r="E321" t="inlineStr">
        <x:is>
          <x:t xml:space="preserve">Riserva / rotazione</x:t>
        </x:is>
      </x:c>
      <x:c r="F321" t="n">
        <x:v>6</x:v>
      </x:c>
      <x:c r="G321" t="n">
        <x:v>18</x:v>
      </x:c>
      <x:c r="H321" t="n">
        <x:f>ROUND(G321*504/1000,0)</x:f>
        <x:v>9</x:v>
      </x:c>
      <x:c r="I321"/>
      <x:c r="J321"/>
      <x:c r="K321"/>
    </x:row>
    <x:row r="322">
      <x:c r="A322" t="inlineStr">
        <x:is>
          <x:t xml:space="preserve">C</x:t>
        </x:is>
      </x:c>
      <x:c r="B322" t="inlineStr">
        <x:is>
          <x:t xml:space="preserve">Rovella</x:t>
        </x:is>
      </x:c>
      <x:c r="C322" t="inlineStr">
        <x:is>
          <x:t xml:space="preserve">Lazio</x:t>
        </x:is>
      </x:c>
      <x:c r="D322" t="inlineStr">
        <x:is>
          <x:t xml:space="preserve">M;C</x:t>
        </x:is>
      </x:c>
      <x:c r="E322" t="inlineStr">
        <x:is>
          <x:t xml:space="preserve">Titolare</x:t>
        </x:is>
      </x:c>
      <x:c r="F322" t="n">
        <x:v>6</x:v>
      </x:c>
      <x:c r="G322" t="n">
        <x:v>16</x:v>
      </x:c>
      <x:c r="H322" t="n">
        <x:f>ROUND(G322*504/1000,0)</x:f>
        <x:v>8</x:v>
      </x:c>
      <x:c r="I322" t="inlineStr">
        <x:is>
          <x:t xml:space="preserve">Piazzati</x:t>
        </x:is>
      </x:c>
      <x:c r="J322"/>
      <x:c r="K322"/>
    </x:row>
    <x:row r="323">
      <x:c r="A323" t="inlineStr">
        <x:is>
          <x:t xml:space="preserve">C</x:t>
        </x:is>
      </x:c>
      <x:c r="B323" t="inlineStr">
        <x:is>
          <x:t xml:space="preserve">Coulibaly L.</x:t>
        </x:is>
      </x:c>
      <x:c r="C323" t="inlineStr">
        <x:is>
          <x:t xml:space="preserve">Lecce</x:t>
        </x:is>
      </x:c>
      <x:c r="D323" t="inlineStr">
        <x:is>
          <x:t xml:space="preserve">M;C</x:t>
        </x:is>
      </x:c>
      <x:c r="E323" t="inlineStr">
        <x:is>
          <x:t xml:space="preserve">Titolare</x:t>
        </x:is>
      </x:c>
      <x:c r="F323" t="n">
        <x:v>6</x:v>
      </x:c>
      <x:c r="G323" t="n">
        <x:v>14</x:v>
      </x:c>
      <x:c r="H323" t="n">
        <x:f>ROUND(G323*504/1000,0)</x:f>
        <x:v>7</x:v>
      </x:c>
      <x:c r="I323"/>
      <x:c r="J323"/>
      <x:c r="K323"/>
    </x:row>
    <x:row r="324">
      <x:c r="A324" t="inlineStr">
        <x:is>
          <x:t xml:space="preserve">C</x:t>
        </x:is>
      </x:c>
      <x:c r="B324" t="inlineStr">
        <x:is>
          <x:t xml:space="preserve">Pierotti</x:t>
        </x:is>
      </x:c>
      <x:c r="C324" t="inlineStr">
        <x:is>
          <x:t xml:space="preserve">Lecce</x:t>
        </x:is>
      </x:c>
      <x:c r="D324" t="inlineStr">
        <x:is>
          <x:t xml:space="preserve">W</x:t>
        </x:is>
      </x:c>
      <x:c r="E324" t="inlineStr">
        <x:is>
          <x:t xml:space="preserve">Titolare</x:t>
        </x:is>
      </x:c>
      <x:c r="F324" t="n">
        <x:v>6</x:v>
      </x:c>
      <x:c r="G324" t="n">
        <x:v>19</x:v>
      </x:c>
      <x:c r="H324" t="n">
        <x:f>ROUND(G324*504/1000,0)</x:f>
        <x:v>10</x:v>
      </x:c>
      <x:c r="I324" t="inlineStr">
        <x:is>
          <x:t xml:space="preserve">Piazzati</x:t>
        </x:is>
      </x:c>
      <x:c r="J324"/>
      <x:c r="K324"/>
    </x:row>
    <x:row r="325">
      <x:c r="A325" t="inlineStr">
        <x:is>
          <x:t xml:space="preserve">C</x:t>
        </x:is>
      </x:c>
      <x:c r="B325" t="inlineStr">
        <x:is>
          <x:t xml:space="preserve">Chukwueze</x:t>
        </x:is>
      </x:c>
      <x:c r="C325" t="inlineStr">
        <x:is>
          <x:t xml:space="preserve">Milan</x:t>
        </x:is>
      </x:c>
      <x:c r="D325" t="inlineStr">
        <x:is>
          <x:t xml:space="preserve">W</x:t>
        </x:is>
      </x:c>
      <x:c r="E325" t="inlineStr">
        <x:is>
          <x:t xml:space="preserve">Ballottaggio</x:t>
        </x:is>
      </x:c>
      <x:c r="F325" t="n">
        <x:v>6</x:v>
      </x:c>
      <x:c r="G325" t="n">
        <x:v>11</x:v>
      </x:c>
      <x:c r="H325" t="n">
        <x:f>ROUND(G325*504/1000,0)</x:f>
        <x:v>6</x:v>
      </x:c>
      <x:c r="I325"/>
      <x:c r="J325"/>
      <x:c r="K325"/>
    </x:row>
    <x:row r="326">
      <x:c r="A326" t="inlineStr">
        <x:is>
          <x:t xml:space="preserve">C</x:t>
        </x:is>
      </x:c>
      <x:c r="B326" t="inlineStr">
        <x:is>
          <x:t xml:space="preserve">Akinsanmiro</x:t>
        </x:is>
      </x:c>
      <x:c r="C326" t="inlineStr">
        <x:is>
          <x:t xml:space="preserve">Monza</x:t>
        </x:is>
      </x:c>
      <x:c r="D326" t="inlineStr">
        <x:is>
          <x:t xml:space="preserve">C</x:t>
        </x:is>
      </x:c>
      <x:c r="E326" t="inlineStr">
        <x:is>
          <x:t xml:space="preserve">Titolare</x:t>
        </x:is>
      </x:c>
      <x:c r="F326" t="n">
        <x:v>6</x:v>
      </x:c>
      <x:c r="G326" t="n">
        <x:v>16</x:v>
      </x:c>
      <x:c r="H326" t="n">
        <x:f>ROUND(G326*504/1000,0)</x:f>
        <x:v>8</x:v>
      </x:c>
      <x:c r="I326"/>
      <x:c r="J326"/>
      <x:c r="K326"/>
    </x:row>
    <x:row r="327">
      <x:c r="A327" t="inlineStr">
        <x:is>
          <x:t xml:space="preserve">C</x:t>
        </x:is>
      </x:c>
      <x:c r="B327" t="inlineStr">
        <x:is>
          <x:t xml:space="preserve">Nicolussi Caviglia</x:t>
        </x:is>
      </x:c>
      <x:c r="C327" t="inlineStr">
        <x:is>
          <x:t xml:space="preserve">Parma</x:t>
        </x:is>
      </x:c>
      <x:c r="D327" t="inlineStr">
        <x:is>
          <x:t xml:space="preserve">M;C</x:t>
        </x:is>
      </x:c>
      <x:c r="E327" t="inlineStr">
        <x:is>
          <x:t xml:space="preserve">Riserva / rotazione</x:t>
        </x:is>
      </x:c>
      <x:c r="F327" t="n">
        <x:v>6</x:v>
      </x:c>
      <x:c r="G327" t="n">
        <x:v>18</x:v>
      </x:c>
      <x:c r="H327" t="n">
        <x:f>ROUND(G327*504/1000,0)</x:f>
        <x:v>9</x:v>
      </x:c>
      <x:c r="I327" t="inlineStr">
        <x:is>
          <x:t xml:space="preserve">Piazzati</x:t>
        </x:is>
      </x:c>
      <x:c r="J327"/>
      <x:c r="K327"/>
    </x:row>
    <x:row r="328">
      <x:c r="A328" t="inlineStr">
        <x:is>
          <x:t xml:space="preserve">C</x:t>
        </x:is>
      </x:c>
      <x:c r="B328" t="inlineStr">
        <x:is>
          <x:t xml:space="preserve">Karlstrom</x:t>
        </x:is>
      </x:c>
      <x:c r="C328" t="inlineStr">
        <x:is>
          <x:t xml:space="preserve">Udinese</x:t>
        </x:is>
      </x:c>
      <x:c r="D328" t="inlineStr">
        <x:is>
          <x:t xml:space="preserve">M;C</x:t>
        </x:is>
      </x:c>
      <x:c r="E328" t="inlineStr">
        <x:is>
          <x:t xml:space="preserve">Titolare</x:t>
        </x:is>
      </x:c>
      <x:c r="F328" t="n">
        <x:v>6</x:v>
      </x:c>
      <x:c r="G328" t="n">
        <x:v>20</x:v>
      </x:c>
      <x:c r="H328" t="n">
        <x:f>ROUND(G328*504/1000,0)</x:f>
        <x:v>10</x:v>
      </x:c>
      <x:c r="I328"/>
      <x:c r="J328"/>
      <x:c r="K328"/>
    </x:row>
    <x:row r="329">
      <x:c r="A329" t="inlineStr">
        <x:is>
          <x:t xml:space="preserve">C</x:t>
        </x:is>
      </x:c>
      <x:c r="B329" t="inlineStr">
        <x:is>
          <x:t xml:space="preserve">Basic</x:t>
        </x:is>
      </x:c>
      <x:c r="C329" t="inlineStr">
        <x:is>
          <x:t xml:space="preserve">Venezia</x:t>
        </x:is>
      </x:c>
      <x:c r="D329" t="inlineStr">
        <x:is>
          <x:t xml:space="preserve">M;C</x:t>
        </x:is>
      </x:c>
      <x:c r="E329" t="inlineStr">
        <x:is>
          <x:t xml:space="preserve">Titolare</x:t>
        </x:is>
      </x:c>
      <x:c r="F329" t="n">
        <x:v>6</x:v>
      </x:c>
      <x:c r="G329" t="n">
        <x:v>19</x:v>
      </x:c>
      <x:c r="H329" t="n">
        <x:f>ROUND(G329*504/1000,0)</x:f>
        <x:v>10</x:v>
      </x:c>
      <x:c r="I329"/>
      <x:c r="J329"/>
      <x:c r="K329"/>
    </x:row>
    <x:row r="330">
      <x:c r="A330" t="inlineStr">
        <x:is>
          <x:t xml:space="preserve">C</x:t>
        </x:is>
      </x:c>
      <x:c r="B330" t="inlineStr">
        <x:is>
          <x:t xml:space="preserve">Amondarain</x:t>
        </x:is>
      </x:c>
      <x:c r="C330" t="inlineStr">
        <x:is>
          <x:t xml:space="preserve">Bologna</x:t>
        </x:is>
      </x:c>
      <x:c r="D330" t="inlineStr">
        <x:is>
          <x:t xml:space="preserve">M;C</x:t>
        </x:is>
      </x:c>
      <x:c r="E330" t="inlineStr">
        <x:is>
          <x:t xml:space="preserve">Ballottaggio</x:t>
        </x:is>
      </x:c>
      <x:c r="F330" t="n">
        <x:v>5</x:v>
      </x:c>
      <x:c r="G330" t="n">
        <x:v>12</x:v>
      </x:c>
      <x:c r="H330" t="n">
        <x:f>ROUND(G330*504/1000,0)</x:f>
        <x:v>6</x:v>
      </x:c>
      <x:c r="I330"/>
      <x:c r="J330"/>
      <x:c r="K330"/>
    </x:row>
    <x:row r="331">
      <x:c r="A331" t="inlineStr">
        <x:is>
          <x:t xml:space="preserve">C</x:t>
        </x:is>
      </x:c>
      <x:c r="B331" t="inlineStr">
        <x:is>
          <x:t xml:space="preserve">Felici</x:t>
        </x:is>
      </x:c>
      <x:c r="C331" t="inlineStr">
        <x:is>
          <x:t xml:space="preserve">Cagliari</x:t>
        </x:is>
      </x:c>
      <x:c r="D331" t="inlineStr">
        <x:is>
          <x:t xml:space="preserve">W</x:t>
        </x:is>
      </x:c>
      <x:c r="E331" t="inlineStr">
        <x:is>
          <x:t xml:space="preserve">Riserva / rotazione</x:t>
        </x:is>
      </x:c>
      <x:c r="F331" t="n">
        <x:v>5</x:v>
      </x:c>
      <x:c r="G331" t="n">
        <x:v>10</x:v>
      </x:c>
      <x:c r="H331" t="n">
        <x:f>ROUND(G331*504/1000,0)</x:f>
        <x:v>5</x:v>
      </x:c>
      <x:c r="I331"/>
      <x:c r="J331"/>
      <x:c r="K331"/>
    </x:row>
    <x:row r="332">
      <x:c r="A332" t="inlineStr">
        <x:is>
          <x:t xml:space="preserve">C</x:t>
        </x:is>
      </x:c>
      <x:c r="B332" t="inlineStr">
        <x:is>
          <x:t xml:space="preserve">Romano</x:t>
        </x:is>
      </x:c>
      <x:c r="C332" t="inlineStr">
        <x:is>
          <x:t xml:space="preserve">Cagliari</x:t>
        </x:is>
      </x:c>
      <x:c r="D332" t="inlineStr">
        <x:is>
          <x:t xml:space="preserve">M;C</x:t>
        </x:is>
      </x:c>
      <x:c r="E332" t="inlineStr">
        <x:is>
          <x:t xml:space="preserve">Titolare</x:t>
        </x:is>
      </x:c>
      <x:c r="F332" t="n">
        <x:v>5</x:v>
      </x:c>
      <x:c r="G332" t="n">
        <x:v>12</x:v>
      </x:c>
      <x:c r="H332" t="n">
        <x:f>ROUND(G332*504/1000,0)</x:f>
        <x:v>6</x:v>
      </x:c>
      <x:c r="I332" t="inlineStr">
        <x:is>
          <x:t xml:space="preserve">Piazzati</x:t>
        </x:is>
      </x:c>
      <x:c r="J332"/>
      <x:c r="K332"/>
    </x:row>
    <x:row r="333">
      <x:c r="A333" t="inlineStr">
        <x:is>
          <x:t xml:space="preserve">C</x:t>
        </x:is>
      </x:c>
      <x:c r="B333" t="inlineStr">
        <x:is>
          <x:t xml:space="preserve">Addai</x:t>
        </x:is>
      </x:c>
      <x:c r="C333" t="inlineStr">
        <x:is>
          <x:t xml:space="preserve">Como</x:t>
        </x:is>
      </x:c>
      <x:c r="D333" t="inlineStr">
        <x:is>
          <x:t xml:space="preserve">W;A</x:t>
        </x:is>
      </x:c>
      <x:c r="E333" t="inlineStr">
        <x:is>
          <x:t xml:space="preserve">Riserva / rotazione</x:t>
        </x:is>
      </x:c>
      <x:c r="F333" t="n">
        <x:v>5</x:v>
      </x:c>
      <x:c r="G333" t="n">
        <x:v>10</x:v>
      </x:c>
      <x:c r="H333" t="n">
        <x:f>ROUND(G333*504/1000,0)</x:f>
        <x:v>5</x:v>
      </x:c>
      <x:c r="I333"/>
      <x:c r="J333"/>
      <x:c r="K333"/>
    </x:row>
    <x:row r="334">
      <x:c r="A334" t="inlineStr">
        <x:is>
          <x:t xml:space="preserve">C</x:t>
        </x:is>
      </x:c>
      <x:c r="B334" t="inlineStr">
        <x:is>
          <x:t xml:space="preserve">Milla</x:t>
        </x:is>
      </x:c>
      <x:c r="C334" t="inlineStr">
        <x:is>
          <x:t xml:space="preserve">Como</x:t>
        </x:is>
      </x:c>
      <x:c r="D334" t="inlineStr">
        <x:is>
          <x:t xml:space="preserve">M;C</x:t>
        </x:is>
      </x:c>
      <x:c r="E334" t="inlineStr">
        <x:is>
          <x:t xml:space="preserve">Ballottaggio</x:t>
        </x:is>
      </x:c>
      <x:c r="F334" t="n">
        <x:v>5</x:v>
      </x:c>
      <x:c r="G334" t="n">
        <x:v>14</x:v>
      </x:c>
      <x:c r="H334" t="n">
        <x:f>ROUND(G334*504/1000,0)</x:f>
        <x:v>7</x:v>
      </x:c>
      <x:c r="I334" t="inlineStr">
        <x:is>
          <x:t xml:space="preserve">Piazzati</x:t>
        </x:is>
      </x:c>
      <x:c r="J334"/>
      <x:c r="K334"/>
    </x:row>
    <x:row r="335">
      <x:c r="A335" t="inlineStr">
        <x:is>
          <x:t xml:space="preserve">C</x:t>
        </x:is>
      </x:c>
      <x:c r="B335" t="inlineStr">
        <x:is>
          <x:t xml:space="preserve">Zerbin</x:t>
        </x:is>
      </x:c>
      <x:c r="C335" t="inlineStr">
        <x:is>
          <x:t xml:space="preserve">Frosinone</x:t>
        </x:is>
      </x:c>
      <x:c r="D335" t="inlineStr">
        <x:is>
          <x:t xml:space="preserve">W</x:t>
        </x:is>
      </x:c>
      <x:c r="E335" t="inlineStr">
        <x:is>
          <x:t xml:space="preserve">Ballottaggio</x:t>
        </x:is>
      </x:c>
      <x:c r="F335" t="n">
        <x:v>5</x:v>
      </x:c>
      <x:c r="G335" t="n">
        <x:v>13</x:v>
      </x:c>
      <x:c r="H335" t="n">
        <x:f>ROUND(G335*504/1000,0)</x:f>
        <x:v>7</x:v>
      </x:c>
      <x:c r="I335"/>
      <x:c r="J335"/>
      <x:c r="K335"/>
    </x:row>
    <x:row r="336">
      <x:c r="A336" t="inlineStr">
        <x:is>
          <x:t xml:space="preserve">C</x:t>
        </x:is>
      </x:c>
      <x:c r="B336" t="inlineStr">
        <x:is>
          <x:t xml:space="preserve">Meichtry</x:t>
        </x:is>
      </x:c>
      <x:c r="C336" t="inlineStr">
        <x:is>
          <x:t xml:space="preserve">Genoa</x:t>
        </x:is>
      </x:c>
      <x:c r="D336" t="inlineStr">
        <x:is>
          <x:t xml:space="preserve">W;T</x:t>
        </x:is>
      </x:c>
      <x:c r="E336" t="inlineStr">
        <x:is>
          <x:t xml:space="preserve">Riserva / rotazione</x:t>
        </x:is>
      </x:c>
      <x:c r="F336" t="n">
        <x:v>5</x:v>
      </x:c>
      <x:c r="G336" t="n">
        <x:v>14</x:v>
      </x:c>
      <x:c r="H336" t="n">
        <x:f>ROUND(G336*504/1000,0)</x:f>
        <x:v>7</x:v>
      </x:c>
      <x:c r="I336"/>
      <x:c r="J336"/>
      <x:c r="K336"/>
    </x:row>
    <x:row r="337">
      <x:c r="A337" t="inlineStr">
        <x:is>
          <x:t xml:space="preserve">C</x:t>
        </x:is>
      </x:c>
      <x:c r="B337" t="inlineStr">
        <x:is>
          <x:t xml:space="preserve">Traorè Hj.</x:t>
        </x:is>
      </x:c>
      <x:c r="C337" t="inlineStr">
        <x:is>
          <x:t xml:space="preserve">Genoa</x:t>
        </x:is>
      </x:c>
      <x:c r="D337" t="inlineStr">
        <x:is>
          <x:t xml:space="preserve">W;T</x:t>
        </x:is>
      </x:c>
      <x:c r="E337" t="inlineStr">
        <x:is>
          <x:t xml:space="preserve">Riserva / rotazione</x:t>
        </x:is>
      </x:c>
      <x:c r="F337" t="n">
        <x:v>5</x:v>
      </x:c>
      <x:c r="G337" t="n">
        <x:v>11</x:v>
      </x:c>
      <x:c r="H337" t="n">
        <x:f>ROUND(G337*504/1000,0)</x:f>
        <x:v>6</x:v>
      </x:c>
      <x:c r="I337"/>
      <x:c r="J337"/>
      <x:c r="K337"/>
    </x:row>
    <x:row r="338">
      <x:c r="A338" t="inlineStr">
        <x:is>
          <x:t xml:space="preserve">C</x:t>
        </x:is>
      </x:c>
      <x:c r="B338" t="inlineStr">
        <x:is>
          <x:t xml:space="preserve">Mkhitaryan</x:t>
        </x:is>
      </x:c>
      <x:c r="C338" t="inlineStr">
        <x:is>
          <x:t xml:space="preserve">Inter</x:t>
        </x:is>
      </x:c>
      <x:c r="D338" t="inlineStr">
        <x:is>
          <x:t xml:space="preserve">C</x:t>
        </x:is>
      </x:c>
      <x:c r="E338" t="inlineStr">
        <x:is>
          <x:t xml:space="preserve">Riserva / rotazione</x:t>
        </x:is>
      </x:c>
      <x:c r="F338" t="n">
        <x:v>5</x:v>
      </x:c>
      <x:c r="G338" t="n">
        <x:v>19</x:v>
      </x:c>
      <x:c r="H338" t="n">
        <x:f>ROUND(G338*504/1000,0)</x:f>
        <x:v>10</x:v>
      </x:c>
      <x:c r="I338"/>
      <x:c r="J338"/>
      <x:c r="K338"/>
    </x:row>
    <x:row r="339">
      <x:c r="A339" t="inlineStr">
        <x:is>
          <x:t xml:space="preserve">C</x:t>
        </x:is>
      </x:c>
      <x:c r="B339" t="inlineStr">
        <x:is>
          <x:t xml:space="preserve">Koopmeiners</x:t>
        </x:is>
      </x:c>
      <x:c r="C339" t="inlineStr">
        <x:is>
          <x:t xml:space="preserve">Juventus</x:t>
        </x:is>
      </x:c>
      <x:c r="D339" t="inlineStr">
        <x:is>
          <x:t xml:space="preserve">C;T</x:t>
        </x:is>
      </x:c>
      <x:c r="E339" t="inlineStr">
        <x:is>
          <x:t xml:space="preserve">Riserva / rotazione</x:t>
        </x:is>
      </x:c>
      <x:c r="F339" t="n">
        <x:v>5</x:v>
      </x:c>
      <x:c r="G339" t="n">
        <x:v>14</x:v>
      </x:c>
      <x:c r="H339" t="n">
        <x:f>ROUND(G339*504/1000,0)</x:f>
        <x:v>7</x:v>
      </x:c>
      <x:c r="I339"/>
      <x:c r="J339"/>
      <x:c r="K339"/>
    </x:row>
    <x:row r="340">
      <x:c r="A340" t="inlineStr">
        <x:is>
          <x:t xml:space="preserve">C</x:t>
        </x:is>
      </x:c>
      <x:c r="B340" t="inlineStr">
        <x:is>
          <x:t xml:space="preserve">Dele-Bashiru</x:t>
        </x:is>
      </x:c>
      <x:c r="C340" t="inlineStr">
        <x:is>
          <x:t xml:space="preserve">Lazio</x:t>
        </x:is>
      </x:c>
      <x:c r="D340" t="inlineStr">
        <x:is>
          <x:t xml:space="preserve">C;T</x:t>
        </x:is>
      </x:c>
      <x:c r="E340" t="inlineStr">
        <x:is>
          <x:t xml:space="preserve">Riserva / rotazione</x:t>
        </x:is>
      </x:c>
      <x:c r="F340" t="n">
        <x:v>5</x:v>
      </x:c>
      <x:c r="G340" t="n">
        <x:v>13</x:v>
      </x:c>
      <x:c r="H340" t="n">
        <x:f>ROUND(G340*504/1000,0)</x:f>
        <x:v>7</x:v>
      </x:c>
      <x:c r="I340"/>
      <x:c r="J340"/>
      <x:c r="K340"/>
    </x:row>
    <x:row r="341">
      <x:c r="A341" t="inlineStr">
        <x:is>
          <x:t xml:space="preserve">C</x:t>
        </x:is>
      </x:c>
      <x:c r="B341" t="inlineStr">
        <x:is>
          <x:t xml:space="preserve">Berisha M.</x:t>
        </x:is>
      </x:c>
      <x:c r="C341" t="inlineStr">
        <x:is>
          <x:t xml:space="preserve">Lecce</x:t>
        </x:is>
      </x:c>
      <x:c r="D341" t="inlineStr">
        <x:is>
          <x:t xml:space="preserve">C;T</x:t>
        </x:is>
      </x:c>
      <x:c r="E341" t="inlineStr">
        <x:is>
          <x:t xml:space="preserve">Titolare / ballottaggio</x:t>
        </x:is>
      </x:c>
      <x:c r="F341" t="n">
        <x:v>5</x:v>
      </x:c>
      <x:c r="G341" t="n">
        <x:v>16</x:v>
      </x:c>
      <x:c r="H341" t="n">
        <x:f>ROUND(G341*504/1000,0)</x:f>
        <x:v>8</x:v>
      </x:c>
      <x:c r="I341" t="inlineStr">
        <x:is>
          <x:t xml:space="preserve">Rigorista · Piazzati</x:t>
        </x:is>
      </x:c>
      <x:c r="J341"/>
      <x:c r="K341"/>
    </x:row>
    <x:row r="342">
      <x:c r="A342" t="inlineStr">
        <x:is>
          <x:t xml:space="preserve">C</x:t>
        </x:is>
      </x:c>
      <x:c r="B342" t="inlineStr">
        <x:is>
          <x:t xml:space="preserve">Gandelman</x:t>
        </x:is>
      </x:c>
      <x:c r="C342" t="inlineStr">
        <x:is>
          <x:t xml:space="preserve">Lecce</x:t>
        </x:is>
      </x:c>
      <x:c r="D342" t="inlineStr">
        <x:is>
          <x:t xml:space="preserve">C;T</x:t>
        </x:is>
      </x:c>
      <x:c r="E342" t="inlineStr">
        <x:is>
          <x:t xml:space="preserve">Ballottaggio</x:t>
        </x:is>
      </x:c>
      <x:c r="F342" t="n">
        <x:v>5</x:v>
      </x:c>
      <x:c r="G342" t="n">
        <x:v>14</x:v>
      </x:c>
      <x:c r="H342" t="n">
        <x:f>ROUND(G342*504/1000,0)</x:f>
        <x:v>7</x:v>
      </x:c>
      <x:c r="I342"/>
      <x:c r="J342"/>
      <x:c r="K342"/>
    </x:row>
    <x:row r="343">
      <x:c r="A343" t="inlineStr">
        <x:is>
          <x:t xml:space="preserve">C</x:t>
        </x:is>
      </x:c>
      <x:c r="B343" t="inlineStr">
        <x:is>
          <x:t xml:space="preserve">Fofana Y.</x:t>
        </x:is>
      </x:c>
      <x:c r="C343" t="inlineStr">
        <x:is>
          <x:t xml:space="preserve">Milan</x:t>
        </x:is>
      </x:c>
      <x:c r="D343" t="inlineStr">
        <x:is>
          <x:t xml:space="preserve">M;C</x:t>
        </x:is>
      </x:c>
      <x:c r="E343" t="inlineStr">
        <x:is>
          <x:t xml:space="preserve">Riserva / rotazione</x:t>
        </x:is>
      </x:c>
      <x:c r="F343" t="n">
        <x:v>5</x:v>
      </x:c>
      <x:c r="G343" t="n">
        <x:v>23</x:v>
      </x:c>
      <x:c r="H343" t="n">
        <x:f>ROUND(G343*504/1000,0)</x:f>
        <x:v>12</x:v>
      </x:c>
      <x:c r="I343"/>
      <x:c r="J343"/>
      <x:c r="K343"/>
    </x:row>
    <x:row r="344">
      <x:c r="A344" t="inlineStr">
        <x:is>
          <x:t xml:space="preserve">C</x:t>
        </x:is>
      </x:c>
      <x:c r="B344" t="inlineStr">
        <x:is>
          <x:t xml:space="preserve">Keita M.</x:t>
        </x:is>
      </x:c>
      <x:c r="C344" t="inlineStr">
        <x:is>
          <x:t xml:space="preserve">Parma</x:t>
        </x:is>
      </x:c>
      <x:c r="D344" t="inlineStr">
        <x:is>
          <x:t xml:space="preserve">M;C</x:t>
        </x:is>
      </x:c>
      <x:c r="E344" t="inlineStr">
        <x:is>
          <x:t xml:space="preserve">Titolare</x:t>
        </x:is>
      </x:c>
      <x:c r="F344" t="n">
        <x:v>5</x:v>
      </x:c>
      <x:c r="G344" t="n">
        <x:v>15</x:v>
      </x:c>
      <x:c r="H344" t="n">
        <x:f>ROUND(G344*504/1000,0)</x:f>
        <x:v>8</x:v>
      </x:c>
      <x:c r="I344"/>
      <x:c r="J344"/>
      <x:c r="K344"/>
    </x:row>
    <x:row r="345">
      <x:c r="A345" t="inlineStr">
        <x:is>
          <x:t xml:space="preserve">C</x:t>
        </x:is>
      </x:c>
      <x:c r="B345" t="inlineStr">
        <x:is>
          <x:t xml:space="preserve">Ondrejka</x:t>
        </x:is>
      </x:c>
      <x:c r="C345" t="inlineStr">
        <x:is>
          <x:t xml:space="preserve">Parma</x:t>
        </x:is>
      </x:c>
      <x:c r="D345" t="inlineStr">
        <x:is>
          <x:t xml:space="preserve">W;A</x:t>
        </x:is>
      </x:c>
      <x:c r="E345" t="inlineStr">
        <x:is>
          <x:t xml:space="preserve">Riserva / rotazione</x:t>
        </x:is>
      </x:c>
      <x:c r="F345" t="n">
        <x:v>5</x:v>
      </x:c>
      <x:c r="G345" t="n">
        <x:v>18</x:v>
      </x:c>
      <x:c r="H345" t="n">
        <x:f>ROUND(G345*504/1000,0)</x:f>
        <x:v>9</x:v>
      </x:c>
      <x:c r="I345"/>
      <x:c r="J345"/>
      <x:c r="K345"/>
    </x:row>
    <x:row r="346">
      <x:c r="A346" t="inlineStr">
        <x:is>
          <x:t xml:space="preserve">C</x:t>
        </x:is>
      </x:c>
      <x:c r="B346" t="inlineStr">
        <x:is>
          <x:t xml:space="preserve">Pisilli</x:t>
        </x:is>
      </x:c>
      <x:c r="C346" t="inlineStr">
        <x:is>
          <x:t xml:space="preserve">Roma</x:t>
        </x:is>
      </x:c>
      <x:c r="D346" t="inlineStr">
        <x:is>
          <x:t xml:space="preserve">C</x:t>
        </x:is>
      </x:c>
      <x:c r="E346" t="inlineStr">
        <x:is>
          <x:t xml:space="preserve">Riserva / rotazione</x:t>
        </x:is>
      </x:c>
      <x:c r="F346" t="n">
        <x:v>5</x:v>
      </x:c>
      <x:c r="G346" t="n">
        <x:v>17</x:v>
      </x:c>
      <x:c r="H346" t="n">
        <x:f>ROUND(G346*504/1000,0)</x:f>
        <x:v>9</x:v>
      </x:c>
      <x:c r="I346"/>
      <x:c r="J346"/>
      <x:c r="K346"/>
    </x:row>
    <x:row r="347">
      <x:c r="A347" t="inlineStr">
        <x:is>
          <x:t xml:space="preserve">C</x:t>
        </x:is>
      </x:c>
      <x:c r="B347" t="inlineStr">
        <x:is>
          <x:t xml:space="preserve">Adzic</x:t>
        </x:is>
      </x:c>
      <x:c r="C347" t="inlineStr">
        <x:is>
          <x:t xml:space="preserve">Sassuolo</x:t>
        </x:is>
      </x:c>
      <x:c r="D347" t="inlineStr">
        <x:is>
          <x:t xml:space="preserve">C;T</x:t>
        </x:is>
      </x:c>
      <x:c r="E347" t="inlineStr">
        <x:is>
          <x:t xml:space="preserve">Titolare / ballottaggio</x:t>
        </x:is>
      </x:c>
      <x:c r="F347" t="n">
        <x:v>5</x:v>
      </x:c>
      <x:c r="G347" t="n">
        <x:v>14</x:v>
      </x:c>
      <x:c r="H347" t="n">
        <x:f>ROUND(G347*504/1000,0)</x:f>
        <x:v>7</x:v>
      </x:c>
      <x:c r="I347" t="inlineStr">
        <x:is>
          <x:t xml:space="preserve">Piazzati</x:t>
        </x:is>
      </x:c>
      <x:c r="J347"/>
      <x:c r="K347"/>
    </x:row>
    <x:row r="348">
      <x:c r="A348" t="inlineStr">
        <x:is>
          <x:t xml:space="preserve">C</x:t>
        </x:is>
      </x:c>
      <x:c r="B348" t="inlineStr">
        <x:is>
          <x:t xml:space="preserve">Bakola</x:t>
        </x:is>
      </x:c>
      <x:c r="C348" t="inlineStr">
        <x:is>
          <x:t xml:space="preserve">Sassuolo</x:t>
        </x:is>
      </x:c>
      <x:c r="D348" t="inlineStr">
        <x:is>
          <x:t xml:space="preserve">C;T</x:t>
        </x:is>
      </x:c>
      <x:c r="E348" t="inlineStr">
        <x:is>
          <x:t xml:space="preserve">Ballottaggio</x:t>
        </x:is>
      </x:c>
      <x:c r="F348" t="n">
        <x:v>5</x:v>
      </x:c>
      <x:c r="G348" t="n">
        <x:v>16</x:v>
      </x:c>
      <x:c r="H348" t="n">
        <x:f>ROUND(G348*504/1000,0)</x:f>
        <x:v>8</x:v>
      </x:c>
      <x:c r="I348"/>
      <x:c r="J348"/>
      <x:c r="K348"/>
    </x:row>
    <x:row r="349">
      <x:c r="A349" t="inlineStr">
        <x:is>
          <x:t xml:space="preserve">C</x:t>
        </x:is>
      </x:c>
      <x:c r="B349" t="inlineStr">
        <x:is>
          <x:t xml:space="preserve">Matic</x:t>
        </x:is>
      </x:c>
      <x:c r="C349" t="inlineStr">
        <x:is>
          <x:t xml:space="preserve">Sassuolo</x:t>
        </x:is>
      </x:c>
      <x:c r="D349" t="inlineStr">
        <x:is>
          <x:t xml:space="preserve">M;C</x:t>
        </x:is>
      </x:c>
      <x:c r="E349" t="inlineStr">
        <x:is>
          <x:t xml:space="preserve">Titolare</x:t>
        </x:is>
      </x:c>
      <x:c r="F349" t="n">
        <x:v>5</x:v>
      </x:c>
      <x:c r="G349" t="n">
        <x:v>15</x:v>
      </x:c>
      <x:c r="H349" t="n">
        <x:f>ROUND(G349*504/1000,0)</x:f>
        <x:v>8</x:v>
      </x:c>
      <x:c r="I349"/>
      <x:c r="J349"/>
      <x:c r="K349"/>
    </x:row>
    <x:row r="350">
      <x:c r="A350" t="inlineStr">
        <x:is>
          <x:t xml:space="preserve">C</x:t>
        </x:is>
      </x:c>
      <x:c r="B350" t="inlineStr">
        <x:is>
          <x:t xml:space="preserve">Cacciamani</x:t>
        </x:is>
      </x:c>
      <x:c r="C350" t="inlineStr">
        <x:is>
          <x:t xml:space="preserve">Torino</x:t>
        </x:is>
      </x:c>
      <x:c r="D350" t="inlineStr">
        <x:is>
          <x:t xml:space="preserve">E;W</x:t>
        </x:is>
      </x:c>
      <x:c r="E350" t="inlineStr">
        <x:is>
          <x:t xml:space="preserve">Titolare / ballottaggio</x:t>
        </x:is>
      </x:c>
      <x:c r="F350" t="n">
        <x:v>5</x:v>
      </x:c>
      <x:c r="G350" t="n">
        <x:v>18</x:v>
      </x:c>
      <x:c r="H350" t="n">
        <x:f>ROUND(G350*504/1000,0)</x:f>
        <x:v>9</x:v>
      </x:c>
      <x:c r="I350"/>
      <x:c r="J350"/>
      <x:c r="K350"/>
    </x:row>
    <x:row r="351">
      <x:c r="A351" t="inlineStr">
        <x:is>
          <x:t xml:space="preserve">C</x:t>
        </x:is>
      </x:c>
      <x:c r="B351" t="inlineStr">
        <x:is>
          <x:t xml:space="preserve">Gineitis</x:t>
        </x:is>
      </x:c>
      <x:c r="C351" t="inlineStr">
        <x:is>
          <x:t xml:space="preserve">Torino</x:t>
        </x:is>
      </x:c>
      <x:c r="D351" t="inlineStr">
        <x:is>
          <x:t xml:space="preserve">M;C</x:t>
        </x:is>
      </x:c>
      <x:c r="E351" t="inlineStr">
        <x:is>
          <x:t xml:space="preserve">Riserva / rotazione</x:t>
        </x:is>
      </x:c>
      <x:c r="F351" t="n">
        <x:v>5</x:v>
      </x:c>
      <x:c r="G351" t="n">
        <x:v>13</x:v>
      </x:c>
      <x:c r="H351" t="n">
        <x:f>ROUND(G351*504/1000,0)</x:f>
        <x:v>7</x:v>
      </x:c>
      <x:c r="I351" t="inlineStr">
        <x:is>
          <x:t xml:space="preserve">Piazzati</x:t>
        </x:is>
      </x:c>
      <x:c r="J351"/>
      <x:c r="K351"/>
    </x:row>
    <x:row r="352">
      <x:c r="A352" t="inlineStr">
        <x:is>
          <x:t xml:space="preserve">C</x:t>
        </x:is>
      </x:c>
      <x:c r="B352" t="inlineStr">
        <x:is>
          <x:t xml:space="preserve">Piotrowski</x:t>
        </x:is>
      </x:c>
      <x:c r="C352" t="inlineStr">
        <x:is>
          <x:t xml:space="preserve">Udinese</x:t>
        </x:is>
      </x:c>
      <x:c r="D352" t="inlineStr">
        <x:is>
          <x:t xml:space="preserve">M;C</x:t>
        </x:is>
      </x:c>
      <x:c r="E352" t="inlineStr">
        <x:is>
          <x:t xml:space="preserve">Titolare / ballottaggio</x:t>
        </x:is>
      </x:c>
      <x:c r="F352" t="n">
        <x:v>5</x:v>
      </x:c>
      <x:c r="G352" t="n">
        <x:v>15</x:v>
      </x:c>
      <x:c r="H352" t="n">
        <x:f>ROUND(G352*504/1000,0)</x:f>
        <x:v>8</x:v>
      </x:c>
      <x:c r="I352"/>
      <x:c r="J352"/>
      <x:c r="K352"/>
    </x:row>
    <x:row r="353">
      <x:c r="A353" t="inlineStr">
        <x:is>
          <x:t xml:space="preserve">C</x:t>
        </x:is>
      </x:c>
      <x:c r="B353" t="inlineStr">
        <x:is>
          <x:t xml:space="preserve">Busio</x:t>
        </x:is>
      </x:c>
      <x:c r="C353" t="inlineStr">
        <x:is>
          <x:t xml:space="preserve">Venezia</x:t>
        </x:is>
      </x:c>
      <x:c r="D353" t="inlineStr">
        <x:is>
          <x:t xml:space="preserve">M;C</x:t>
        </x:is>
      </x:c>
      <x:c r="E353" t="inlineStr">
        <x:is>
          <x:t xml:space="preserve">Titolare</x:t>
        </x:is>
      </x:c>
      <x:c r="F353" t="n">
        <x:v>5</x:v>
      </x:c>
      <x:c r="G353" t="n">
        <x:v>14</x:v>
      </x:c>
      <x:c r="H353" t="n">
        <x:f>ROUND(G353*504/1000,0)</x:f>
        <x:v>7</x:v>
      </x:c>
      <x:c r="I353" t="inlineStr">
        <x:is>
          <x:t xml:space="preserve">Rigorista · Piazzati</x:t>
        </x:is>
      </x:c>
      <x:c r="J353"/>
      <x:c r="K353"/>
    </x:row>
    <x:row r="354">
      <x:c r="A354" t="inlineStr">
        <x:is>
          <x:t xml:space="preserve">C</x:t>
        </x:is>
      </x:c>
      <x:c r="B354" t="inlineStr">
        <x:is>
          <x:t xml:space="preserve">Perez K.</x:t>
        </x:is>
      </x:c>
      <x:c r="C354" t="inlineStr">
        <x:is>
          <x:t xml:space="preserve">Venezia</x:t>
        </x:is>
      </x:c>
      <x:c r="D354" t="inlineStr">
        <x:is>
          <x:t xml:space="preserve">C;T</x:t>
        </x:is>
      </x:c>
      <x:c r="E354" t="inlineStr">
        <x:is>
          <x:t xml:space="preserve">Titolare / ballottaggio</x:t>
        </x:is>
      </x:c>
      <x:c r="F354" t="n">
        <x:v>5</x:v>
      </x:c>
      <x:c r="G354" t="n">
        <x:v>14</x:v>
      </x:c>
      <x:c r="H354" t="n">
        <x:f>ROUND(G354*504/1000,0)</x:f>
        <x:v>7</x:v>
      </x:c>
      <x:c r="I354" t="inlineStr">
        <x:is>
          <x:t xml:space="preserve">Piazzati</x:t>
        </x:is>
      </x:c>
      <x:c r="J354"/>
      <x:c r="K354"/>
    </x:row>
    <x:row r="355">
      <x:c r="A355" t="inlineStr">
        <x:is>
          <x:t xml:space="preserve">C</x:t>
        </x:is>
      </x:c>
      <x:c r="B355" t="inlineStr">
        <x:is>
          <x:t xml:space="preserve">Sohm</x:t>
        </x:is>
      </x:c>
      <x:c r="C355" t="inlineStr">
        <x:is>
          <x:t xml:space="preserve">Venezia</x:t>
        </x:is>
      </x:c>
      <x:c r="D355" t="inlineStr">
        <x:is>
          <x:t xml:space="preserve">C</x:t>
        </x:is>
      </x:c>
      <x:c r="E355" t="inlineStr">
        <x:is>
          <x:t xml:space="preserve">Ballottaggio</x:t>
        </x:is>
      </x:c>
      <x:c r="F355" t="n">
        <x:v>5</x:v>
      </x:c>
      <x:c r="G355" t="n">
        <x:v>14</x:v>
      </x:c>
      <x:c r="H355" t="n">
        <x:f>ROUND(G355*504/1000,0)</x:f>
        <x:v>7</x:v>
      </x:c>
      <x:c r="I355"/>
      <x:c r="J355"/>
      <x:c r="K355"/>
    </x:row>
    <x:row r="356">
      <x:c r="A356" t="inlineStr">
        <x:is>
          <x:t xml:space="preserve">C</x:t>
        </x:is>
      </x:c>
      <x:c r="B356" t="inlineStr">
        <x:is>
          <x:t xml:space="preserve">De Roon</x:t>
        </x:is>
      </x:c>
      <x:c r="C356" t="inlineStr">
        <x:is>
          <x:t xml:space="preserve">Atalanta</x:t>
        </x:is>
      </x:c>
      <x:c r="D356" t="inlineStr">
        <x:is>
          <x:t xml:space="preserve">M;C</x:t>
        </x:is>
      </x:c>
      <x:c r="E356" t="inlineStr">
        <x:is>
          <x:t xml:space="preserve">Riserva / rotazione</x:t>
        </x:is>
      </x:c>
      <x:c r="F356" t="n">
        <x:v>4</x:v>
      </x:c>
      <x:c r="G356" t="n">
        <x:v>12</x:v>
      </x:c>
      <x:c r="H356" t="n">
        <x:f>ROUND(G356*504/1000,0)</x:f>
        <x:v>6</x:v>
      </x:c>
      <x:c r="I356"/>
      <x:c r="J356"/>
      <x:c r="K356"/>
    </x:row>
    <x:row r="357">
      <x:c r="A357" t="inlineStr">
        <x:is>
          <x:t xml:space="preserve">C</x:t>
        </x:is>
      </x:c>
      <x:c r="B357" t="inlineStr">
        <x:is>
          <x:t xml:space="preserve">Moro N.</x:t>
        </x:is>
      </x:c>
      <x:c r="C357" t="inlineStr">
        <x:is>
          <x:t xml:space="preserve">Bologna</x:t>
        </x:is>
      </x:c>
      <x:c r="D357" t="inlineStr">
        <x:is>
          <x:t xml:space="preserve">M;C</x:t>
        </x:is>
      </x:c>
      <x:c r="E357" t="inlineStr">
        <x:is>
          <x:t xml:space="preserve">Ballottaggio</x:t>
        </x:is>
      </x:c>
      <x:c r="F357" t="n">
        <x:v>4</x:v>
      </x:c>
      <x:c r="G357" t="n">
        <x:v>10</x:v>
      </x:c>
      <x:c r="H357" t="n">
        <x:f>ROUND(G357*504/1000,0)</x:f>
        <x:v>5</x:v>
      </x:c>
      <x:c r="I357"/>
      <x:c r="J357"/>
      <x:c r="K357"/>
    </x:row>
    <x:row r="358">
      <x:c r="A358" t="inlineStr">
        <x:is>
          <x:t xml:space="preserve">C</x:t>
        </x:is>
      </x:c>
      <x:c r="B358" t="inlineStr">
        <x:is>
          <x:t xml:space="preserve">Prati</x:t>
        </x:is>
      </x:c>
      <x:c r="C358" t="inlineStr">
        <x:is>
          <x:t xml:space="preserve">Cagliari</x:t>
        </x:is>
      </x:c>
      <x:c r="D358" t="inlineStr">
        <x:is>
          <x:t xml:space="preserve">M;C</x:t>
        </x:is>
      </x:c>
      <x:c r="E358" t="inlineStr">
        <x:is>
          <x:t xml:space="preserve">Riserva / rotazione</x:t>
        </x:is>
      </x:c>
      <x:c r="F358" t="n">
        <x:v>4</x:v>
      </x:c>
      <x:c r="G358" t="n">
        <x:v>7</x:v>
      </x:c>
      <x:c r="H358" t="n">
        <x:f>ROUND(G358*504/1000,0)</x:f>
        <x:v>4</x:v>
      </x:c>
      <x:c r="I358"/>
      <x:c r="J358"/>
      <x:c r="K358"/>
    </x:row>
    <x:row r="359">
      <x:c r="A359" t="inlineStr">
        <x:is>
          <x:t xml:space="preserve">C</x:t>
        </x:is>
      </x:c>
      <x:c r="B359" t="inlineStr">
        <x:is>
          <x:t xml:space="preserve">Fabbian</x:t>
        </x:is>
      </x:c>
      <x:c r="C359" t="inlineStr">
        <x:is>
          <x:t xml:space="preserve">Fiorentina</x:t>
        </x:is>
      </x:c>
      <x:c r="D359" t="inlineStr">
        <x:is>
          <x:t xml:space="preserve">C;T</x:t>
        </x:is>
      </x:c>
      <x:c r="E359" t="inlineStr">
        <x:is>
          <x:t xml:space="preserve">Riserva / rotazione</x:t>
        </x:is>
      </x:c>
      <x:c r="F359" t="n">
        <x:v>4</x:v>
      </x:c>
      <x:c r="G359" t="n">
        <x:v>8</x:v>
      </x:c>
      <x:c r="H359" t="n">
        <x:f>ROUND(G359*504/1000,0)</x:f>
        <x:v>4</x:v>
      </x:c>
      <x:c r="I359"/>
      <x:c r="J359"/>
      <x:c r="K359"/>
    </x:row>
    <x:row r="360">
      <x:c r="A360" t="inlineStr">
        <x:is>
          <x:t xml:space="preserve">C</x:t>
        </x:is>
      </x:c>
      <x:c r="B360" t="inlineStr">
        <x:is>
          <x:t xml:space="preserve">Cichella</x:t>
        </x:is>
      </x:c>
      <x:c r="C360" t="inlineStr">
        <x:is>
          <x:t xml:space="preserve">Frosinone</x:t>
        </x:is>
      </x:c>
      <x:c r="D360" t="inlineStr">
        <x:is>
          <x:t xml:space="preserve">M;C</x:t>
        </x:is>
      </x:c>
      <x:c r="E360" t="inlineStr">
        <x:is>
          <x:t xml:space="preserve">Ballottaggio</x:t>
        </x:is>
      </x:c>
      <x:c r="F360" t="n">
        <x:v>4</x:v>
      </x:c>
      <x:c r="G360" t="n">
        <x:v>11</x:v>
      </x:c>
      <x:c r="H360" t="n">
        <x:f>ROUND(G360*504/1000,0)</x:f>
        <x:v>6</x:v>
      </x:c>
      <x:c r="I360"/>
      <x:c r="J360"/>
      <x:c r="K360"/>
    </x:row>
    <x:row r="361">
      <x:c r="A361" t="inlineStr">
        <x:is>
          <x:t xml:space="preserve">C</x:t>
        </x:is>
      </x:c>
      <x:c r="B361" t="inlineStr">
        <x:is>
          <x:t xml:space="preserve">Koutsoupias</x:t>
        </x:is>
      </x:c>
      <x:c r="C361" t="inlineStr">
        <x:is>
          <x:t xml:space="preserve">Frosinone</x:t>
        </x:is>
      </x:c>
      <x:c r="D361" t="inlineStr">
        <x:is>
          <x:t xml:space="preserve">C</x:t>
        </x:is>
      </x:c>
      <x:c r="E361" t="inlineStr">
        <x:is>
          <x:t xml:space="preserve">Riserva / rotazione</x:t>
        </x:is>
      </x:c>
      <x:c r="F361" t="n">
        <x:v>4</x:v>
      </x:c>
      <x:c r="G361" t="n">
        <x:v>12</x:v>
      </x:c>
      <x:c r="H361" t="n">
        <x:f>ROUND(G361*504/1000,0)</x:f>
        <x:v>6</x:v>
      </x:c>
      <x:c r="I361"/>
      <x:c r="J361"/>
      <x:c r="K361"/>
    </x:row>
    <x:row r="362">
      <x:c r="A362" t="inlineStr">
        <x:is>
          <x:t xml:space="preserve">C</x:t>
        </x:is>
      </x:c>
      <x:c r="B362" t="inlineStr">
        <x:is>
          <x:t xml:space="preserve">Amorim</x:t>
        </x:is>
      </x:c>
      <x:c r="C362" t="inlineStr">
        <x:is>
          <x:t xml:space="preserve">Genoa</x:t>
        </x:is>
      </x:c>
      <x:c r="D362" t="inlineStr">
        <x:is>
          <x:t xml:space="preserve">M;C</x:t>
        </x:is>
      </x:c>
      <x:c r="E362" t="inlineStr">
        <x:is>
          <x:t xml:space="preserve">Ballottaggio</x:t>
        </x:is>
      </x:c>
      <x:c r="F362" t="n">
        <x:v>4</x:v>
      </x:c>
      <x:c r="G362" t="n">
        <x:v>11</x:v>
      </x:c>
      <x:c r="H362" t="n">
        <x:f>ROUND(G362*504/1000,0)</x:f>
        <x:v>6</x:v>
      </x:c>
      <x:c r="I362"/>
      <x:c r="J362"/>
      <x:c r="K362"/>
    </x:row>
    <x:row r="363">
      <x:c r="A363" t="inlineStr">
        <x:is>
          <x:t xml:space="preserve">C</x:t>
        </x:is>
      </x:c>
      <x:c r="B363" t="inlineStr">
        <x:is>
          <x:t xml:space="preserve">Luis Henrique</x:t>
        </x:is>
      </x:c>
      <x:c r="C363" t="inlineStr">
        <x:is>
          <x:t xml:space="preserve">Inter</x:t>
        </x:is>
      </x:c>
      <x:c r="D363" t="inlineStr">
        <x:is>
          <x:t xml:space="preserve">E;W</x:t>
        </x:is>
      </x:c>
      <x:c r="E363" t="inlineStr">
        <x:is>
          <x:t xml:space="preserve">Riserva / rotazione</x:t>
        </x:is>
      </x:c>
      <x:c r="F363" t="n">
        <x:v>4</x:v>
      </x:c>
      <x:c r="G363" t="n">
        <x:v>13</x:v>
      </x:c>
      <x:c r="H363" t="n">
        <x:f>ROUND(G363*504/1000,0)</x:f>
        <x:v>7</x:v>
      </x:c>
      <x:c r="I363"/>
      <x:c r="J363"/>
      <x:c r="K363"/>
    </x:row>
    <x:row r="364">
      <x:c r="A364" t="inlineStr">
        <x:is>
          <x:t xml:space="preserve">C</x:t>
        </x:is>
      </x:c>
      <x:c r="B364" t="inlineStr">
        <x:is>
          <x:t xml:space="preserve">Douglas Luiz</x:t>
        </x:is>
      </x:c>
      <x:c r="C364" t="inlineStr">
        <x:is>
          <x:t xml:space="preserve">Juventus</x:t>
        </x:is>
      </x:c>
      <x:c r="D364" t="inlineStr">
        <x:is>
          <x:t xml:space="preserve">C</x:t>
        </x:is>
      </x:c>
      <x:c r="E364" t="inlineStr">
        <x:is>
          <x:t xml:space="preserve">Ballottaggio</x:t>
        </x:is>
      </x:c>
      <x:c r="F364" t="n">
        <x:v>4</x:v>
      </x:c>
      <x:c r="G364" t="n">
        <x:v>12</x:v>
      </x:c>
      <x:c r="H364" t="n">
        <x:f>ROUND(G364*504/1000,0)</x:f>
        <x:v>6</x:v>
      </x:c>
      <x:c r="I364" t="inlineStr">
        <x:is>
          <x:t xml:space="preserve">Piazzati</x:t>
        </x:is>
      </x:c>
      <x:c r="J364"/>
      <x:c r="K364"/>
    </x:row>
    <x:row r="365">
      <x:c r="A365" t="inlineStr">
        <x:is>
          <x:t xml:space="preserve">C</x:t>
        </x:is>
      </x:c>
      <x:c r="B365" t="inlineStr">
        <x:is>
          <x:t xml:space="preserve">Cataldi</x:t>
        </x:is>
      </x:c>
      <x:c r="C365" t="inlineStr">
        <x:is>
          <x:t xml:space="preserve">Lazio</x:t>
        </x:is>
      </x:c>
      <x:c r="D365" t="inlineStr">
        <x:is>
          <x:t xml:space="preserve">M;C</x:t>
        </x:is>
      </x:c>
      <x:c r="E365" t="inlineStr">
        <x:is>
          <x:t xml:space="preserve">Riserva / rotazione</x:t>
        </x:is>
      </x:c>
      <x:c r="F365" t="n">
        <x:v>4</x:v>
      </x:c>
      <x:c r="G365" t="n">
        <x:v>12</x:v>
      </x:c>
      <x:c r="H365" t="n">
        <x:f>ROUND(G365*504/1000,0)</x:f>
        <x:v>6</x:v>
      </x:c>
      <x:c r="I365"/>
      <x:c r="J365"/>
      <x:c r="K365"/>
    </x:row>
    <x:row r="366">
      <x:c r="A366" t="inlineStr">
        <x:is>
          <x:t xml:space="preserve">C</x:t>
        </x:is>
      </x:c>
      <x:c r="B366" t="inlineStr">
        <x:is>
          <x:t xml:space="preserve">Ngom</x:t>
        </x:is>
      </x:c>
      <x:c r="C366" t="inlineStr">
        <x:is>
          <x:t xml:space="preserve">Lecce</x:t>
        </x:is>
      </x:c>
      <x:c r="D366" t="inlineStr">
        <x:is>
          <x:t xml:space="preserve">M;C</x:t>
        </x:is>
      </x:c>
      <x:c r="E366" t="inlineStr">
        <x:is>
          <x:t xml:space="preserve">Ballottaggio</x:t>
        </x:is>
      </x:c>
      <x:c r="F366" t="n">
        <x:v>4</x:v>
      </x:c>
      <x:c r="G366" t="n">
        <x:v>11</x:v>
      </x:c>
      <x:c r="H366" t="n">
        <x:f>ROUND(G366*504/1000,0)</x:f>
        <x:v>6</x:v>
      </x:c>
      <x:c r="I366"/>
      <x:c r="J366"/>
      <x:c r="K366"/>
    </x:row>
    <x:row r="367">
      <x:c r="A367" t="inlineStr">
        <x:is>
          <x:t xml:space="preserve">C</x:t>
        </x:is>
      </x:c>
      <x:c r="B367" t="inlineStr">
        <x:is>
          <x:t xml:space="preserve">Jashari</x:t>
        </x:is>
      </x:c>
      <x:c r="C367" t="inlineStr">
        <x:is>
          <x:t xml:space="preserve">Milan</x:t>
        </x:is>
      </x:c>
      <x:c r="D367" t="inlineStr">
        <x:is>
          <x:t xml:space="preserve">C</x:t>
        </x:is>
      </x:c>
      <x:c r="E367" t="inlineStr">
        <x:is>
          <x:t xml:space="preserve">Riserva / rotazione</x:t>
        </x:is>
      </x:c>
      <x:c r="F367" t="n">
        <x:v>4</x:v>
      </x:c>
      <x:c r="G367" t="n">
        <x:v>11</x:v>
      </x:c>
      <x:c r="H367" t="n">
        <x:f>ROUND(G367*504/1000,0)</x:f>
        <x:v>6</x:v>
      </x:c>
      <x:c r="I367"/>
      <x:c r="J367"/>
      <x:c r="K367"/>
    </x:row>
    <x:row r="368">
      <x:c r="A368" t="inlineStr">
        <x:is>
          <x:t xml:space="preserve">C</x:t>
        </x:is>
      </x:c>
      <x:c r="B368" t="inlineStr">
        <x:is>
          <x:t xml:space="preserve">Loftus-Cheek</x:t>
        </x:is>
      </x:c>
      <x:c r="C368" t="inlineStr">
        <x:is>
          <x:t xml:space="preserve">Milan</x:t>
        </x:is>
      </x:c>
      <x:c r="D368" t="inlineStr">
        <x:is>
          <x:t xml:space="preserve">C;T</x:t>
        </x:is>
      </x:c>
      <x:c r="E368" t="inlineStr">
        <x:is>
          <x:t xml:space="preserve">Ballottaggio</x:t>
        </x:is>
      </x:c>
      <x:c r="F368" t="n">
        <x:v>4</x:v>
      </x:c>
      <x:c r="G368" t="n">
        <x:v>11</x:v>
      </x:c>
      <x:c r="H368" t="n">
        <x:f>ROUND(G368*504/1000,0)</x:f>
        <x:v>6</x:v>
      </x:c>
      <x:c r="I368"/>
      <x:c r="J368"/>
      <x:c r="K368"/>
    </x:row>
    <x:row r="369">
      <x:c r="A369" t="inlineStr">
        <x:is>
          <x:t xml:space="preserve">C</x:t>
        </x:is>
      </x:c>
      <x:c r="B369" t="inlineStr">
        <x:is>
          <x:t xml:space="preserve">Ricci S.</x:t>
        </x:is>
      </x:c>
      <x:c r="C369" t="inlineStr">
        <x:is>
          <x:t xml:space="preserve">Milan</x:t>
        </x:is>
      </x:c>
      <x:c r="D369" t="inlineStr">
        <x:is>
          <x:t xml:space="preserve">M;C</x:t>
        </x:is>
      </x:c>
      <x:c r="E369" t="inlineStr">
        <x:is>
          <x:t xml:space="preserve">Riserva / rotazione</x:t>
        </x:is>
      </x:c>
      <x:c r="F369" t="n">
        <x:v>4</x:v>
      </x:c>
      <x:c r="G369" t="n">
        <x:v>11</x:v>
      </x:c>
      <x:c r="H369" t="n">
        <x:f>ROUND(G369*504/1000,0)</x:f>
        <x:v>6</x:v>
      </x:c>
      <x:c r="I369"/>
      <x:c r="J369"/>
      <x:c r="K369"/>
    </x:row>
    <x:row r="370">
      <x:c r="A370" t="inlineStr">
        <x:is>
          <x:t xml:space="preserve">C</x:t>
        </x:is>
      </x:c>
      <x:c r="B370" t="inlineStr">
        <x:is>
          <x:t xml:space="preserve">Folorunsho</x:t>
        </x:is>
      </x:c>
      <x:c r="C370" t="inlineStr">
        <x:is>
          <x:t xml:space="preserve">Napoli</x:t>
        </x:is>
      </x:c>
      <x:c r="D370" t="inlineStr">
        <x:is>
          <x:t xml:space="preserve">C;T</x:t>
        </x:is>
      </x:c>
      <x:c r="E370" t="inlineStr">
        <x:is>
          <x:t xml:space="preserve">Riserva / rotazione</x:t>
        </x:is>
      </x:c>
      <x:c r="F370" t="n">
        <x:v>4</x:v>
      </x:c>
      <x:c r="G370" t="n">
        <x:v>10</x:v>
      </x:c>
      <x:c r="H370" t="n">
        <x:f>ROUND(G370*504/1000,0)</x:f>
        <x:v>5</x:v>
      </x:c>
      <x:c r="I370"/>
      <x:c r="J370"/>
      <x:c r="K370"/>
    </x:row>
    <x:row r="371">
      <x:c r="A371" t="inlineStr">
        <x:is>
          <x:t xml:space="preserve">C</x:t>
        </x:is>
      </x:c>
      <x:c r="B371" t="inlineStr">
        <x:is>
          <x:t xml:space="preserve">Almqvist</x:t>
        </x:is>
      </x:c>
      <x:c r="C371" t="inlineStr">
        <x:is>
          <x:t xml:space="preserve">Parma</x:t>
        </x:is>
      </x:c>
      <x:c r="D371" t="inlineStr">
        <x:is>
          <x:t xml:space="preserve">W;A</x:t>
        </x:is>
      </x:c>
      <x:c r="E371" t="inlineStr">
        <x:is>
          <x:t xml:space="preserve">Riserva / rotazione</x:t>
        </x:is>
      </x:c>
      <x:c r="F371" t="n">
        <x:v>4</x:v>
      </x:c>
      <x:c r="G371" t="n">
        <x:v>14</x:v>
      </x:c>
      <x:c r="H371" t="n">
        <x:f>ROUND(G371*504/1000,0)</x:f>
        <x:v>7</x:v>
      </x:c>
      <x:c r="I371"/>
      <x:c r="J371"/>
      <x:c r="K371"/>
    </x:row>
    <x:row r="372">
      <x:c r="A372" t="inlineStr">
        <x:is>
          <x:t xml:space="preserve">C</x:t>
        </x:is>
      </x:c>
      <x:c r="B372" t="inlineStr">
        <x:is>
          <x:t xml:space="preserve">El Aynaoui</x:t>
        </x:is>
      </x:c>
      <x:c r="C372" t="inlineStr">
        <x:is>
          <x:t xml:space="preserve">Roma</x:t>
        </x:is>
      </x:c>
      <x:c r="D372" t="inlineStr">
        <x:is>
          <x:t xml:space="preserve">M;C</x:t>
        </x:is>
      </x:c>
      <x:c r="E372" t="inlineStr">
        <x:is>
          <x:t xml:space="preserve">Riserva / rotazione</x:t>
        </x:is>
      </x:c>
      <x:c r="F372" t="n">
        <x:v>4</x:v>
      </x:c>
      <x:c r="G372" t="n">
        <x:v>18</x:v>
      </x:c>
      <x:c r="H372" t="n">
        <x:f>ROUND(G372*504/1000,0)</x:f>
        <x:v>9</x:v>
      </x:c>
      <x:c r="I372"/>
      <x:c r="J372"/>
      <x:c r="K372"/>
    </x:row>
    <x:row r="373">
      <x:c r="A373" t="inlineStr">
        <x:is>
          <x:t xml:space="preserve">C</x:t>
        </x:is>
      </x:c>
      <x:c r="B373" t="inlineStr">
        <x:is>
          <x:t xml:space="preserve">Fitz-Jim</x:t>
        </x:is>
      </x:c>
      <x:c r="C373" t="inlineStr">
        <x:is>
          <x:t xml:space="preserve">Torino</x:t>
        </x:is>
      </x:c>
      <x:c r="D373" t="inlineStr">
        <x:is>
          <x:t xml:space="preserve">M;C</x:t>
        </x:is>
      </x:c>
      <x:c r="E373" t="inlineStr">
        <x:is>
          <x:t xml:space="preserve">Titolare</x:t>
        </x:is>
      </x:c>
      <x:c r="F373" t="n">
        <x:v>4</x:v>
      </x:c>
      <x:c r="G373" t="n">
        <x:v>13</x:v>
      </x:c>
      <x:c r="H373" t="n">
        <x:f>ROUND(G373*504/1000,0)</x:f>
        <x:v>7</x:v>
      </x:c>
      <x:c r="I373"/>
      <x:c r="J373"/>
      <x:c r="K373"/>
    </x:row>
    <x:row r="374">
      <x:c r="A374" t="inlineStr">
        <x:is>
          <x:t xml:space="preserve">C</x:t>
        </x:is>
      </x:c>
      <x:c r="B374" t="inlineStr">
        <x:is>
          <x:t xml:space="preserve">Ilkhan</x:t>
        </x:is>
      </x:c>
      <x:c r="C374" t="inlineStr">
        <x:is>
          <x:t xml:space="preserve">Torino</x:t>
        </x:is>
      </x:c>
      <x:c r="D374" t="inlineStr">
        <x:is>
          <x:t xml:space="preserve">M;C</x:t>
        </x:is>
      </x:c>
      <x:c r="E374" t="inlineStr">
        <x:is>
          <x:t xml:space="preserve">Riserva / rotazione</x:t>
        </x:is>
      </x:c>
      <x:c r="F374" t="n">
        <x:v>4</x:v>
      </x:c>
      <x:c r="G374" t="n">
        <x:v>10</x:v>
      </x:c>
      <x:c r="H374" t="n">
        <x:f>ROUND(G374*504/1000,0)</x:f>
        <x:v>5</x:v>
      </x:c>
      <x:c r="I374"/>
      <x:c r="J374"/>
      <x:c r="K374"/>
    </x:row>
    <x:row r="375">
      <x:c r="A375" t="inlineStr">
        <x:is>
          <x:t xml:space="preserve">C</x:t>
        </x:is>
      </x:c>
      <x:c r="B375" t="inlineStr">
        <x:is>
          <x:t xml:space="preserve">Njie</x:t>
        </x:is>
      </x:c>
      <x:c r="C375" t="inlineStr">
        <x:is>
          <x:t xml:space="preserve">Torino</x:t>
        </x:is>
      </x:c>
      <x:c r="D375" t="inlineStr">
        <x:is>
          <x:t xml:space="preserve">W;A</x:t>
        </x:is>
      </x:c>
      <x:c r="E375" t="inlineStr">
        <x:is>
          <x:t xml:space="preserve">Riserva / rotazione</x:t>
        </x:is>
      </x:c>
      <x:c r="F375" t="n">
        <x:v>4</x:v>
      </x:c>
      <x:c r="G375" t="n">
        <x:v>12</x:v>
      </x:c>
      <x:c r="H375" t="n">
        <x:f>ROUND(G375*504/1000,0)</x:f>
        <x:v>6</x:v>
      </x:c>
      <x:c r="I375"/>
      <x:c r="J375"/>
      <x:c r="K375"/>
    </x:row>
    <x:row r="376">
      <x:c r="A376" t="inlineStr">
        <x:is>
          <x:t xml:space="preserve">C</x:t>
        </x:is>
      </x:c>
      <x:c r="B376" t="inlineStr">
        <x:is>
          <x:t xml:space="preserve">Sulemana I.</x:t>
        </x:is>
      </x:c>
      <x:c r="C376" t="inlineStr">
        <x:is>
          <x:t xml:space="preserve">Atalanta</x:t>
        </x:is>
      </x:c>
      <x:c r="D376" t="inlineStr">
        <x:is>
          <x:t xml:space="preserve">M;C</x:t>
        </x:is>
      </x:c>
      <x:c r="E376" t="inlineStr">
        <x:is>
          <x:t xml:space="preserve">Riserva / rotazione</x:t>
        </x:is>
      </x:c>
      <x:c r="F376" t="n">
        <x:v>3</x:v>
      </x:c>
      <x:c r="G376" t="n">
        <x:v>7</x:v>
      </x:c>
      <x:c r="H376" t="n">
        <x:f>ROUND(G376*504/1000,0)</x:f>
        <x:v>4</x:v>
      </x:c>
      <x:c r="I376"/>
      <x:c r="J376"/>
      <x:c r="K376"/>
    </x:row>
    <x:row r="377">
      <x:c r="A377" t="inlineStr">
        <x:is>
          <x:t xml:space="preserve">C</x:t>
        </x:is>
      </x:c>
      <x:c r="B377" t="inlineStr">
        <x:is>
          <x:t xml:space="preserve">Dominguez B.</x:t>
        </x:is>
      </x:c>
      <x:c r="C377" t="inlineStr">
        <x:is>
          <x:t xml:space="preserve">Bologna</x:t>
        </x:is>
      </x:c>
      <x:c r="D377" t="inlineStr">
        <x:is>
          <x:t xml:space="preserve">W;A</x:t>
        </x:is>
      </x:c>
      <x:c r="E377" t="inlineStr">
        <x:is>
          <x:t xml:space="preserve">Riserva / rotazione</x:t>
        </x:is>
      </x:c>
      <x:c r="F377" t="n">
        <x:v>3</x:v>
      </x:c>
      <x:c r="G377" t="n">
        <x:v>8</x:v>
      </x:c>
      <x:c r="H377" t="n">
        <x:f>ROUND(G377*504/1000,0)</x:f>
        <x:v>4</x:v>
      </x:c>
      <x:c r="I377"/>
      <x:c r="J377"/>
      <x:c r="K377"/>
    </x:row>
    <x:row r="378">
      <x:c r="A378" t="inlineStr">
        <x:is>
          <x:t xml:space="preserve">C</x:t>
        </x:is>
      </x:c>
      <x:c r="B378" t="inlineStr">
        <x:is>
          <x:t xml:space="preserve">Deiola</x:t>
        </x:is>
      </x:c>
      <x:c r="C378" t="inlineStr">
        <x:is>
          <x:t xml:space="preserve">Cagliari</x:t>
        </x:is>
      </x:c>
      <x:c r="D378" t="inlineStr">
        <x:is>
          <x:t xml:space="preserve">M;C</x:t>
        </x:is>
      </x:c>
      <x:c r="E378" t="inlineStr">
        <x:is>
          <x:t xml:space="preserve">Riserva / rotazione</x:t>
        </x:is>
      </x:c>
      <x:c r="F378" t="n">
        <x:v>3</x:v>
      </x:c>
      <x:c r="G378" t="n">
        <x:v>8</x:v>
      </x:c>
      <x:c r="H378" t="n">
        <x:f>ROUND(G378*504/1000,0)</x:f>
        <x:v>4</x:v>
      </x:c>
      <x:c r="I378"/>
      <x:c r="J378"/>
      <x:c r="K378"/>
    </x:row>
    <x:row r="379">
      <x:c r="A379" t="inlineStr">
        <x:is>
          <x:t xml:space="preserve">C</x:t>
        </x:is>
      </x:c>
      <x:c r="B379" t="inlineStr">
        <x:is>
          <x:t xml:space="preserve">Brescianini</x:t>
        </x:is>
      </x:c>
      <x:c r="C379" t="inlineStr">
        <x:is>
          <x:t xml:space="preserve">Fiorentina</x:t>
        </x:is>
      </x:c>
      <x:c r="D379" t="inlineStr">
        <x:is>
          <x:t xml:space="preserve">C;T</x:t>
        </x:is>
      </x:c>
      <x:c r="E379" t="inlineStr">
        <x:is>
          <x:t xml:space="preserve">Riserva / rotazione</x:t>
        </x:is>
      </x:c>
      <x:c r="F379" t="n">
        <x:v>3</x:v>
      </x:c>
      <x:c r="G379" t="n">
        <x:v>7</x:v>
      </x:c>
      <x:c r="H379" t="n">
        <x:f>ROUND(G379*504/1000,0)</x:f>
        <x:v>4</x:v>
      </x:c>
      <x:c r="I379"/>
      <x:c r="J379"/>
      <x:c r="K379"/>
    </x:row>
    <x:row r="380">
      <x:c r="A380" t="inlineStr">
        <x:is>
          <x:t xml:space="preserve">C</x:t>
        </x:is>
      </x:c>
      <x:c r="B380" t="inlineStr">
        <x:is>
          <x:t xml:space="preserve">Fini</x:t>
        </x:is>
      </x:c>
      <x:c r="C380" t="inlineStr">
        <x:is>
          <x:t xml:space="preserve">Frosinone</x:t>
        </x:is>
      </x:c>
      <x:c r="D380" t="inlineStr">
        <x:is>
          <x:t xml:space="preserve">W</x:t>
        </x:is>
      </x:c>
      <x:c r="E380" t="inlineStr">
        <x:is>
          <x:t xml:space="preserve">Riserva / rotazione</x:t>
        </x:is>
      </x:c>
      <x:c r="F380" t="n">
        <x:v>3</x:v>
      </x:c>
      <x:c r="G380" t="n">
        <x:v>9</x:v>
      </x:c>
      <x:c r="H380" t="n">
        <x:f>ROUND(G380*504/1000,0)</x:f>
        <x:v>5</x:v>
      </x:c>
      <x:c r="I380"/>
      <x:c r="J380"/>
      <x:c r="K380"/>
    </x:row>
    <x:row r="381">
      <x:c r="A381" t="inlineStr">
        <x:is>
          <x:t xml:space="preserve">C</x:t>
        </x:is>
      </x:c>
      <x:c r="B381" t="inlineStr">
        <x:is>
          <x:t xml:space="preserve">Gelli F.</x:t>
        </x:is>
      </x:c>
      <x:c r="C381" t="inlineStr">
        <x:is>
          <x:t xml:space="preserve">Frosinone</x:t>
        </x:is>
      </x:c>
      <x:c r="D381" t="inlineStr">
        <x:is>
          <x:t xml:space="preserve">C;T</x:t>
        </x:is>
      </x:c>
      <x:c r="E381" t="inlineStr">
        <x:is>
          <x:t xml:space="preserve">Riserva / rotazione</x:t>
        </x:is>
      </x:c>
      <x:c r="F381" t="n">
        <x:v>3</x:v>
      </x:c>
      <x:c r="G381" t="n">
        <x:v>8</x:v>
      </x:c>
      <x:c r="H381" t="n">
        <x:f>ROUND(G381*504/1000,0)</x:f>
        <x:v>4</x:v>
      </x:c>
      <x:c r="I381"/>
      <x:c r="J381"/>
      <x:c r="K381"/>
    </x:row>
    <x:row r="382">
      <x:c r="A382" t="inlineStr">
        <x:is>
          <x:t xml:space="preserve">C</x:t>
        </x:is>
      </x:c>
      <x:c r="B382" t="inlineStr">
        <x:is>
          <x:t xml:space="preserve">Messias</x:t>
        </x:is>
      </x:c>
      <x:c r="C382" t="inlineStr">
        <x:is>
          <x:t xml:space="preserve">Genoa</x:t>
        </x:is>
      </x:c>
      <x:c r="D382" t="inlineStr">
        <x:is>
          <x:t xml:space="preserve">W;T</x:t>
        </x:is>
      </x:c>
      <x:c r="E382" t="inlineStr">
        <x:is>
          <x:t xml:space="preserve">Riserva / rotazione</x:t>
        </x:is>
      </x:c>
      <x:c r="F382" t="n">
        <x:v>3</x:v>
      </x:c>
      <x:c r="G382" t="n">
        <x:v>8</x:v>
      </x:c>
      <x:c r="H382" t="n">
        <x:f>ROUND(G382*504/1000,0)</x:f>
        <x:v>4</x:v>
      </x:c>
      <x:c r="I382" t="inlineStr">
        <x:is>
          <x:t xml:space="preserve">Piazzati</x:t>
        </x:is>
      </x:c>
      <x:c r="J382"/>
      <x:c r="K382"/>
    </x:row>
    <x:row r="383">
      <x:c r="A383" t="inlineStr">
        <x:is>
          <x:t xml:space="preserve">C</x:t>
        </x:is>
      </x:c>
      <x:c r="B383" t="inlineStr">
        <x:is>
          <x:t xml:space="preserve">Stankovic A.</x:t>
        </x:is>
      </x:c>
      <x:c r="C383" t="inlineStr">
        <x:is>
          <x:t xml:space="preserve">Inter</x:t>
        </x:is>
      </x:c>
      <x:c r="D383" t="inlineStr">
        <x:is>
          <x:t xml:space="preserve">M;C</x:t>
        </x:is>
      </x:c>
      <x:c r="E383" t="inlineStr">
        <x:is>
          <x:t xml:space="preserve">Riserva / rotazione</x:t>
        </x:is>
      </x:c>
      <x:c r="F383" t="n">
        <x:v>3</x:v>
      </x:c>
      <x:c r="G383" t="n">
        <x:v>10</x:v>
      </x:c>
      <x:c r="H383" t="n">
        <x:f>ROUND(G383*504/1000,0)</x:f>
        <x:v>5</x:v>
      </x:c>
      <x:c r="I383"/>
      <x:c r="J383"/>
      <x:c r="K383"/>
    </x:row>
    <x:row r="384">
      <x:c r="A384" t="inlineStr">
        <x:is>
          <x:t xml:space="preserve">C</x:t>
        </x:is>
      </x:c>
      <x:c r="B384" t="inlineStr">
        <x:is>
          <x:t xml:space="preserve">Miretti</x:t>
        </x:is>
      </x:c>
      <x:c r="C384" t="inlineStr">
        <x:is>
          <x:t xml:space="preserve">Juventus</x:t>
        </x:is>
      </x:c>
      <x:c r="D384" t="inlineStr">
        <x:is>
          <x:t xml:space="preserve">C;T</x:t>
        </x:is>
      </x:c>
      <x:c r="E384" t="inlineStr">
        <x:is>
          <x:t xml:space="preserve">Riserva / rotazione</x:t>
        </x:is>
      </x:c>
      <x:c r="F384" t="n">
        <x:v>3</x:v>
      </x:c>
      <x:c r="G384" t="n">
        <x:v>11</x:v>
      </x:c>
      <x:c r="H384" t="n">
        <x:f>ROUND(G384*504/1000,0)</x:f>
        <x:v>6</x:v>
      </x:c>
      <x:c r="I384"/>
      <x:c r="J384"/>
      <x:c r="K384"/>
    </x:row>
    <x:row r="385">
      <x:c r="A385" t="inlineStr">
        <x:is>
          <x:t xml:space="preserve">C</x:t>
        </x:is>
      </x:c>
      <x:c r="B385" t="inlineStr">
        <x:is>
          <x:t xml:space="preserve">Colombo L.</x:t>
        </x:is>
      </x:c>
      <x:c r="C385" t="inlineStr">
        <x:is>
          <x:t xml:space="preserve">Monza</x:t>
        </x:is>
      </x:c>
      <x:c r="D385" t="inlineStr">
        <x:is>
          <x:t xml:space="preserve">M;C</x:t>
        </x:is>
      </x:c>
      <x:c r="E385" t="inlineStr">
        <x:is>
          <x:t xml:space="preserve">Riserva / rotazione</x:t>
        </x:is>
      </x:c>
      <x:c r="F385" t="n">
        <x:v>3</x:v>
      </x:c>
      <x:c r="G385" t="n">
        <x:v>7</x:v>
      </x:c>
      <x:c r="H385" t="n">
        <x:f>ROUND(G385*504/1000,0)</x:f>
        <x:v>4</x:v>
      </x:c>
      <x:c r="I385"/>
      <x:c r="J385"/>
      <x:c r="K385"/>
    </x:row>
    <x:row r="386">
      <x:c r="A386" t="inlineStr">
        <x:is>
          <x:t xml:space="preserve">C</x:t>
        </x:is>
      </x:c>
      <x:c r="B386" t="inlineStr">
        <x:is>
          <x:t xml:space="preserve">Gilmour</x:t>
        </x:is>
      </x:c>
      <x:c r="C386" t="inlineStr">
        <x:is>
          <x:t xml:space="preserve">Napoli</x:t>
        </x:is>
      </x:c>
      <x:c r="D386" t="inlineStr">
        <x:is>
          <x:t xml:space="preserve">M;C</x:t>
        </x:is>
      </x:c>
      <x:c r="E386" t="inlineStr">
        <x:is>
          <x:t xml:space="preserve">Riserva / rotazione</x:t>
        </x:is>
      </x:c>
      <x:c r="F386" t="n">
        <x:v>3</x:v>
      </x:c>
      <x:c r="G386" t="n">
        <x:v>9</x:v>
      </x:c>
      <x:c r="H386" t="n">
        <x:f>ROUND(G386*504/1000,0)</x:f>
        <x:v>5</x:v>
      </x:c>
      <x:c r="I386"/>
      <x:c r="J386"/>
      <x:c r="K386"/>
    </x:row>
    <x:row r="387">
      <x:c r="A387" t="inlineStr">
        <x:is>
          <x:t xml:space="preserve">C</x:t>
        </x:is>
      </x:c>
      <x:c r="B387" t="inlineStr">
        <x:is>
          <x:t xml:space="preserve">Diallo O.</x:t>
        </x:is>
      </x:c>
      <x:c r="C387" t="inlineStr">
        <x:is>
          <x:t xml:space="preserve">Parma</x:t>
        </x:is>
      </x:c>
      <x:c r="D387" t="inlineStr">
        <x:is>
          <x:t xml:space="preserve">W;A</x:t>
        </x:is>
      </x:c>
      <x:c r="E387" t="inlineStr">
        <x:is>
          <x:t xml:space="preserve">Riserva / rotazione</x:t>
        </x:is>
      </x:c>
      <x:c r="F387" t="n">
        <x:v>3</x:v>
      </x:c>
      <x:c r="G387" t="n">
        <x:v>12</x:v>
      </x:c>
      <x:c r="H387" t="n">
        <x:f>ROUND(G387*504/1000,0)</x:f>
        <x:v>6</x:v>
      </x:c>
      <x:c r="I387"/>
      <x:c r="J387"/>
      <x:c r="K387"/>
    </x:row>
    <x:row r="388">
      <x:c r="A388" t="inlineStr">
        <x:is>
          <x:t xml:space="preserve">C</x:t>
        </x:is>
      </x:c>
      <x:c r="B388" t="inlineStr">
        <x:is>
          <x:t xml:space="preserve">Sorensen O.</x:t>
        </x:is>
      </x:c>
      <x:c r="C388" t="inlineStr">
        <x:is>
          <x:t xml:space="preserve">Parma</x:t>
        </x:is>
      </x:c>
      <x:c r="D388" t="inlineStr">
        <x:is>
          <x:t xml:space="preserve">C</x:t>
        </x:is>
      </x:c>
      <x:c r="E388" t="inlineStr">
        <x:is>
          <x:t xml:space="preserve">Riserva / rotazione</x:t>
        </x:is>
      </x:c>
      <x:c r="F388" t="n">
        <x:v>3</x:v>
      </x:c>
      <x:c r="G388" t="n">
        <x:v>12</x:v>
      </x:c>
      <x:c r="H388" t="n">
        <x:f>ROUND(G388*504/1000,0)</x:f>
        <x:v>6</x:v>
      </x:c>
      <x:c r="I388"/>
      <x:c r="J388"/>
      <x:c r="K388"/>
    </x:row>
    <x:row r="389">
      <x:c r="A389" t="inlineStr">
        <x:is>
          <x:t xml:space="preserve">C</x:t>
        </x:is>
      </x:c>
      <x:c r="B389" t="inlineStr">
        <x:is>
          <x:t xml:space="preserve">Aboukhlal</x:t>
        </x:is>
      </x:c>
      <x:c r="C389" t="inlineStr">
        <x:is>
          <x:t xml:space="preserve">Torino</x:t>
        </x:is>
      </x:c>
      <x:c r="D389" t="inlineStr">
        <x:is>
          <x:t xml:space="preserve">W;A</x:t>
        </x:is>
      </x:c>
      <x:c r="E389" t="inlineStr">
        <x:is>
          <x:t xml:space="preserve">Riserva / rotazione</x:t>
        </x:is>
      </x:c>
      <x:c r="F389" t="n">
        <x:v>3</x:v>
      </x:c>
      <x:c r="G389" t="n">
        <x:v>5</x:v>
      </x:c>
      <x:c r="H389" t="n">
        <x:f>ROUND(G389*504/1000,0)</x:f>
        <x:v>3</x:v>
      </x:c>
      <x:c r="I389"/>
      <x:c r="J389"/>
      <x:c r="K389"/>
    </x:row>
    <x:row r="390">
      <x:c r="A390" t="inlineStr">
        <x:is>
          <x:t xml:space="preserve">C</x:t>
        </x:is>
      </x:c>
      <x:c r="B390" t="inlineStr">
        <x:is>
          <x:t xml:space="preserve">Miller L.</x:t>
        </x:is>
      </x:c>
      <x:c r="C390" t="inlineStr">
        <x:is>
          <x:t xml:space="preserve">Udinese</x:t>
        </x:is>
      </x:c>
      <x:c r="D390" t="inlineStr">
        <x:is>
          <x:t xml:space="preserve">M;C</x:t>
        </x:is>
      </x:c>
      <x:c r="E390" t="inlineStr">
        <x:is>
          <x:t xml:space="preserve">Ballottaggio</x:t>
        </x:is>
      </x:c>
      <x:c r="F390" t="n">
        <x:v>3</x:v>
      </x:c>
      <x:c r="G390" t="n">
        <x:v>12</x:v>
      </x:c>
      <x:c r="H390" t="n">
        <x:f>ROUND(G390*504/1000,0)</x:f>
        <x:v>6</x:v>
      </x:c>
      <x:c r="I390"/>
      <x:c r="J390"/>
      <x:c r="K390"/>
    </x:row>
    <x:row r="391">
      <x:c r="A391" t="inlineStr">
        <x:is>
          <x:t xml:space="preserve">C</x:t>
        </x:is>
      </x:c>
      <x:c r="B391" t="inlineStr">
        <x:is>
          <x:t xml:space="preserve">Helgason</x:t>
        </x:is>
      </x:c>
      <x:c r="C391" t="inlineStr">
        <x:is>
          <x:t xml:space="preserve">Venezia</x:t>
        </x:is>
      </x:c>
      <x:c r="D391" t="inlineStr">
        <x:is>
          <x:t xml:space="preserve">C;T</x:t>
        </x:is>
      </x:c>
      <x:c r="E391" t="inlineStr">
        <x:is>
          <x:t xml:space="preserve">Riserva / rotazione</x:t>
        </x:is>
      </x:c>
      <x:c r="F391" t="n">
        <x:v>3</x:v>
      </x:c>
      <x:c r="G391" t="n">
        <x:v>7</x:v>
      </x:c>
      <x:c r="H391" t="n">
        <x:f>ROUND(G391*504/1000,0)</x:f>
        <x:v>4</x:v>
      </x:c>
      <x:c r="I391"/>
      <x:c r="J391"/>
      <x:c r="K391"/>
    </x:row>
    <x:row r="392">
      <x:c r="A392" t="inlineStr">
        <x:is>
          <x:t xml:space="preserve">C</x:t>
        </x:is>
      </x:c>
      <x:c r="B392" t="inlineStr">
        <x:is>
          <x:t xml:space="preserve">El Azzouzi O.</x:t>
        </x:is>
      </x:c>
      <x:c r="C392" t="inlineStr">
        <x:is>
          <x:t xml:space="preserve">Bologna</x:t>
        </x:is>
      </x:c>
      <x:c r="D392" t="inlineStr">
        <x:is>
          <x:t xml:space="preserve">M;C</x:t>
        </x:is>
      </x:c>
      <x:c r="E392" t="inlineStr">
        <x:is>
          <x:t xml:space="preserve">Riserva / rotazione</x:t>
        </x:is>
      </x:c>
      <x:c r="F392" t="n">
        <x:v>2</x:v>
      </x:c>
      <x:c r="G392" t="n">
        <x:v>4</x:v>
      </x:c>
      <x:c r="H392" t="n">
        <x:f>ROUND(G392*504/1000,0)</x:f>
        <x:v>2</x:v>
      </x:c>
      <x:c r="I392"/>
      <x:c r="J392"/>
      <x:c r="K392"/>
    </x:row>
    <x:row r="393">
      <x:c r="A393" t="inlineStr">
        <x:is>
          <x:t xml:space="preserve">C</x:t>
        </x:is>
      </x:c>
      <x:c r="B393" t="inlineStr">
        <x:is>
          <x:t xml:space="preserve">Fadera</x:t>
        </x:is>
      </x:c>
      <x:c r="C393" t="inlineStr">
        <x:is>
          <x:t xml:space="preserve">Como</x:t>
        </x:is>
      </x:c>
      <x:c r="D393" t="inlineStr">
        <x:is>
          <x:t xml:space="preserve">W</x:t>
        </x:is>
      </x:c>
      <x:c r="E393" t="inlineStr">
        <x:is>
          <x:t xml:space="preserve">Riserva / rotazione</x:t>
        </x:is>
      </x:c>
      <x:c r="F393" t="n">
        <x:v>2</x:v>
      </x:c>
      <x:c r="G393" t="n">
        <x:v>3</x:v>
      </x:c>
      <x:c r="H393" t="n">
        <x:f>ROUND(G393*504/1000,0)</x:f>
        <x:v>2</x:v>
      </x:c>
      <x:c r="I393"/>
      <x:c r="J393"/>
      <x:c r="K393"/>
    </x:row>
    <x:row r="394">
      <x:c r="A394" t="inlineStr">
        <x:is>
          <x:t xml:space="preserve">C</x:t>
        </x:is>
      </x:c>
      <x:c r="B394" t="inlineStr">
        <x:is>
          <x:t xml:space="preserve">Hasa</x:t>
        </x:is>
      </x:c>
      <x:c r="C394" t="inlineStr">
        <x:is>
          <x:t xml:space="preserve">Frosinone</x:t>
        </x:is>
      </x:c>
      <x:c r="D394" t="inlineStr">
        <x:is>
          <x:t xml:space="preserve">C;T</x:t>
        </x:is>
      </x:c>
      <x:c r="E394" t="inlineStr">
        <x:is>
          <x:t xml:space="preserve">Riserva / rotazione</x:t>
        </x:is>
      </x:c>
      <x:c r="F394" t="n">
        <x:v>2</x:v>
      </x:c>
      <x:c r="G394" t="n">
        <x:v>5</x:v>
      </x:c>
      <x:c r="H394" t="n">
        <x:f>ROUND(G394*504/1000,0)</x:f>
        <x:v>3</x:v>
      </x:c>
      <x:c r="I394"/>
      <x:c r="J394"/>
      <x:c r="K394"/>
    </x:row>
    <x:row r="395">
      <x:c r="A395" t="inlineStr">
        <x:is>
          <x:t xml:space="preserve">C</x:t>
        </x:is>
      </x:c>
      <x:c r="B395" t="inlineStr">
        <x:is>
          <x:t xml:space="preserve">Masini</x:t>
        </x:is>
      </x:c>
      <x:c r="C395" t="inlineStr">
        <x:is>
          <x:t xml:space="preserve">Genoa</x:t>
        </x:is>
      </x:c>
      <x:c r="D395" t="inlineStr">
        <x:is>
          <x:t xml:space="preserve">M;C</x:t>
        </x:is>
      </x:c>
      <x:c r="E395" t="inlineStr">
        <x:is>
          <x:t xml:space="preserve">Riserva / rotazione</x:t>
        </x:is>
      </x:c>
      <x:c r="F395" t="n">
        <x:v>2</x:v>
      </x:c>
      <x:c r="G395" t="n">
        <x:v>4</x:v>
      </x:c>
      <x:c r="H395" t="n">
        <x:f>ROUND(G395*504/1000,0)</x:f>
        <x:v>2</x:v>
      </x:c>
      <x:c r="I395"/>
      <x:c r="J395"/>
      <x:c r="K395"/>
    </x:row>
    <x:row r="396">
      <x:c r="A396" t="inlineStr">
        <x:is>
          <x:t xml:space="preserve">C</x:t>
        </x:is>
      </x:c>
      <x:c r="B396" t="inlineStr">
        <x:is>
          <x:t xml:space="preserve">Venturino</x:t>
        </x:is>
      </x:c>
      <x:c r="C396" t="inlineStr">
        <x:is>
          <x:t xml:space="preserve">Genoa</x:t>
        </x:is>
      </x:c>
      <x:c r="D396" t="inlineStr">
        <x:is>
          <x:t xml:space="preserve">W</x:t>
        </x:is>
      </x:c>
      <x:c r="E396" t="inlineStr">
        <x:is>
          <x:t xml:space="preserve">Riserva / rotazione</x:t>
        </x:is>
      </x:c>
      <x:c r="F396" t="n">
        <x:v>2</x:v>
      </x:c>
      <x:c r="G396" t="n">
        <x:v>6</x:v>
      </x:c>
      <x:c r="H396" t="n">
        <x:f>ROUND(G396*504/1000,0)</x:f>
        <x:v>3</x:v>
      </x:c>
      <x:c r="I396"/>
      <x:c r="J396"/>
      <x:c r="K396"/>
    </x:row>
    <x:row r="397">
      <x:c r="A397" t="inlineStr">
        <x:is>
          <x:t xml:space="preserve">C</x:t>
        </x:is>
      </x:c>
      <x:c r="B397" t="inlineStr">
        <x:is>
          <x:t xml:space="preserve">Maleh</x:t>
        </x:is>
      </x:c>
      <x:c r="C397" t="inlineStr">
        <x:is>
          <x:t xml:space="preserve">Lecce</x:t>
        </x:is>
      </x:c>
      <x:c r="D397" t="inlineStr">
        <x:is>
          <x:t xml:space="preserve">M;C</x:t>
        </x:is>
      </x:c>
      <x:c r="E397" t="inlineStr">
        <x:is>
          <x:t xml:space="preserve">Riserva / rotazione</x:t>
        </x:is>
      </x:c>
      <x:c r="F397" t="n">
        <x:v>2</x:v>
      </x:c>
      <x:c r="G397" t="n">
        <x:v>5</x:v>
      </x:c>
      <x:c r="H397" t="n">
        <x:f>ROUND(G397*504/1000,0)</x:f>
        <x:v>3</x:v>
      </x:c>
      <x:c r="I397"/>
      <x:c r="J397"/>
      <x:c r="K397"/>
    </x:row>
    <x:row r="398">
      <x:c r="A398" t="inlineStr">
        <x:is>
          <x:t xml:space="preserve">C</x:t>
        </x:is>
      </x:c>
      <x:c r="B398" t="inlineStr">
        <x:is>
          <x:t xml:space="preserve">Musah</x:t>
        </x:is>
      </x:c>
      <x:c r="C398" t="inlineStr">
        <x:is>
          <x:t xml:space="preserve">Milan</x:t>
        </x:is>
      </x:c>
      <x:c r="D398" t="inlineStr">
        <x:is>
          <x:t xml:space="preserve">C;W</x:t>
        </x:is>
      </x:c>
      <x:c r="E398" t="inlineStr">
        <x:is>
          <x:t xml:space="preserve">Titolare / ballottaggio</x:t>
        </x:is>
      </x:c>
      <x:c r="F398" t="n">
        <x:v>2</x:v>
      </x:c>
      <x:c r="G398" t="n">
        <x:v>6</x:v>
      </x:c>
      <x:c r="H398" t="n">
        <x:f>ROUND(G398*504/1000,0)</x:f>
        <x:v>3</x:v>
      </x:c>
      <x:c r="I398"/>
      <x:c r="J398"/>
      <x:c r="K398"/>
    </x:row>
    <x:row r="399">
      <x:c r="A399" t="inlineStr">
        <x:is>
          <x:t xml:space="preserve">C</x:t>
        </x:is>
      </x:c>
      <x:c r="B399" t="inlineStr">
        <x:is>
          <x:t xml:space="preserve">Ciurria</x:t>
        </x:is>
      </x:c>
      <x:c r="C399" t="inlineStr">
        <x:is>
          <x:t xml:space="preserve">Monza</x:t>
        </x:is>
      </x:c>
      <x:c r="D399" t="inlineStr">
        <x:is>
          <x:t xml:space="preserve">E;W</x:t>
        </x:is>
      </x:c>
      <x:c r="E399" t="inlineStr">
        <x:is>
          <x:t xml:space="preserve">Riserva / rotazione</x:t>
        </x:is>
      </x:c>
      <x:c r="F399" t="n">
        <x:v>2</x:v>
      </x:c>
      <x:c r="G399" t="n">
        <x:v>6</x:v>
      </x:c>
      <x:c r="H399" t="n">
        <x:f>ROUND(G399*504/1000,0)</x:f>
        <x:v>3</x:v>
      </x:c>
      <x:c r="I399"/>
      <x:c r="J399"/>
      <x:c r="K399"/>
    </x:row>
    <x:row r="400">
      <x:c r="A400" t="inlineStr">
        <x:is>
          <x:t xml:space="preserve">C</x:t>
        </x:is>
      </x:c>
      <x:c r="B400" t="inlineStr">
        <x:is>
          <x:t xml:space="preserve">Ordonez C.</x:t>
        </x:is>
      </x:c>
      <x:c r="C400" t="inlineStr">
        <x:is>
          <x:t xml:space="preserve">Parma</x:t>
        </x:is>
      </x:c>
      <x:c r="D400" t="inlineStr">
        <x:is>
          <x:t xml:space="preserve">M;C</x:t>
        </x:is>
      </x:c>
      <x:c r="E400" t="inlineStr">
        <x:is>
          <x:t xml:space="preserve">Titolare</x:t>
        </x:is>
      </x:c>
      <x:c r="F400" t="n">
        <x:v>2</x:v>
      </x:c>
      <x:c r="G400" t="n">
        <x:v>5</x:v>
      </x:c>
      <x:c r="H400" t="n">
        <x:f>ROUND(G400*504/1000,0)</x:f>
        <x:v>3</x:v>
      </x:c>
      <x:c r="I400"/>
      <x:c r="J400"/>
      <x:c r="K400"/>
    </x:row>
    <x:row r="401">
      <x:c r="A401" t="inlineStr">
        <x:is>
          <x:t xml:space="preserve">C</x:t>
        </x:is>
      </x:c>
      <x:c r="B401" t="inlineStr">
        <x:is>
          <x:t xml:space="preserve">Boloca</x:t>
        </x:is>
      </x:c>
      <x:c r="C401" t="inlineStr">
        <x:is>
          <x:t xml:space="preserve">Sassuolo</x:t>
        </x:is>
      </x:c>
      <x:c r="D401" t="inlineStr">
        <x:is>
          <x:t xml:space="preserve">M;C</x:t>
        </x:is>
      </x:c>
      <x:c r="E401" t="inlineStr">
        <x:is>
          <x:t xml:space="preserve">Riserva / rotazione</x:t>
        </x:is>
      </x:c>
      <x:c r="F401" t="n">
        <x:v>2</x:v>
      </x:c>
      <x:c r="G401" t="n">
        <x:v>5</x:v>
      </x:c>
      <x:c r="H401" t="n">
        <x:f>ROUND(G401*504/1000,0)</x:f>
        <x:v>3</x:v>
      </x:c>
      <x:c r="I401"/>
      <x:c r="J401"/>
      <x:c r="K401"/>
    </x:row>
    <x:row r="402">
      <x:c r="A402" t="inlineStr">
        <x:is>
          <x:t xml:space="preserve">C</x:t>
        </x:is>
      </x:c>
      <x:c r="B402" t="inlineStr">
        <x:is>
          <x:t xml:space="preserve">Lipani</x:t>
        </x:is>
      </x:c>
      <x:c r="C402" t="inlineStr">
        <x:is>
          <x:t xml:space="preserve">Sassuolo</x:t>
        </x:is>
      </x:c>
      <x:c r="D402" t="inlineStr">
        <x:is>
          <x:t xml:space="preserve">M;C</x:t>
        </x:is>
      </x:c>
      <x:c r="E402" t="inlineStr">
        <x:is>
          <x:t xml:space="preserve">Riserva / rotazione</x:t>
        </x:is>
      </x:c>
      <x:c r="F402" t="n">
        <x:v>2</x:v>
      </x:c>
      <x:c r="G402" t="n">
        <x:v>5</x:v>
      </x:c>
      <x:c r="H402" t="n">
        <x:f>ROUND(G402*504/1000,0)</x:f>
        <x:v>3</x:v>
      </x:c>
      <x:c r="I402"/>
      <x:c r="J402"/>
      <x:c r="K402"/>
    </x:row>
    <x:row r="403">
      <x:c r="A403" t="inlineStr">
        <x:is>
          <x:t xml:space="preserve">C</x:t>
        </x:is>
      </x:c>
      <x:c r="B403" t="inlineStr">
        <x:is>
          <x:t xml:space="preserve">Chakvetadze</x:t>
        </x:is>
      </x:c>
      <x:c r="C403" t="inlineStr">
        <x:is>
          <x:t xml:space="preserve">Udinese</x:t>
        </x:is>
      </x:c>
      <x:c r="D403" t="inlineStr">
        <x:is>
          <x:t xml:space="preserve">W;T</x:t>
        </x:is>
      </x:c>
      <x:c r="E403" t="inlineStr">
        <x:is>
          <x:t xml:space="preserve">Riserva / rotazione</x:t>
        </x:is>
      </x:c>
      <x:c r="F403" t="n">
        <x:v>2</x:v>
      </x:c>
      <x:c r="G403" t="n">
        <x:v>6</x:v>
      </x:c>
      <x:c r="H403" t="n">
        <x:f>ROUND(G403*504/1000,0)</x:f>
        <x:v>3</x:v>
      </x:c>
      <x:c r="I403"/>
      <x:c r="J403"/>
      <x:c r="K403"/>
    </x:row>
    <x:row r="404">
      <x:c r="A404" t="inlineStr">
        <x:is>
          <x:t xml:space="preserve">C</x:t>
        </x:is>
      </x:c>
      <x:c r="B404" t="inlineStr">
        <x:is>
          <x:t xml:space="preserve">Duncan</x:t>
        </x:is>
      </x:c>
      <x:c r="C404" t="inlineStr">
        <x:is>
          <x:t xml:space="preserve">Venezia</x:t>
        </x:is>
      </x:c>
      <x:c r="D404" t="inlineStr">
        <x:is>
          <x:t xml:space="preserve">C</x:t>
        </x:is>
      </x:c>
      <x:c r="E404" t="inlineStr">
        <x:is>
          <x:t xml:space="preserve">Riserva / rotazione</x:t>
        </x:is>
      </x:c>
      <x:c r="F404" t="n">
        <x:v>2</x:v>
      </x:c>
      <x:c r="G404" t="n">
        <x:v>4</x:v>
      </x:c>
      <x:c r="H404" t="n">
        <x:f>ROUND(G404*504/1000,0)</x:f>
        <x:v>2</x:v>
      </x:c>
      <x:c r="I404"/>
      <x:c r="J404"/>
      <x:c r="K404"/>
    </x:row>
    <x:row r="405">
      <x:c r="A405" t="inlineStr">
        <x:is>
          <x:t xml:space="preserve">C</x:t>
        </x:is>
      </x:c>
      <x:c r="B405" t="inlineStr">
        <x:is>
          <x:t xml:space="preserve">Liteta</x:t>
        </x:is>
      </x:c>
      <x:c r="C405" t="inlineStr">
        <x:is>
          <x:t xml:space="preserve">Cagliari</x:t>
        </x:is>
      </x:c>
      <x:c r="D405" t="inlineStr">
        <x:is>
          <x:t xml:space="preserve">M;C</x:t>
        </x:is>
      </x:c>
      <x:c r="E405" t="inlineStr">
        <x:is>
          <x:t xml:space="preserve">Riserva / rotazione</x:t>
        </x:is>
      </x:c>
      <x:c r="F405" t="n">
        <x:v>1</x:v>
      </x:c>
      <x:c r="G405" t="n">
        <x:v>1</x:v>
      </x:c>
      <x:c r="H405" t="n">
        <x:f>ROUND(G405*504/1000,0)</x:f>
        <x:v>1</x:v>
      </x:c>
      <x:c r="I405"/>
      <x:c r="J405"/>
      <x:c r="K405"/>
    </x:row>
    <x:row r="406">
      <x:c r="A406" t="inlineStr">
        <x:is>
          <x:t xml:space="preserve">C</x:t>
        </x:is>
      </x:c>
      <x:c r="B406" t="inlineStr">
        <x:is>
          <x:t xml:space="preserve">Lahdo</x:t>
        </x:is>
      </x:c>
      <x:c r="C406" t="inlineStr">
        <x:is>
          <x:t xml:space="preserve">Como</x:t>
        </x:is>
      </x:c>
      <x:c r="D406" t="inlineStr">
        <x:is>
          <x:t xml:space="preserve">C;T</x:t>
        </x:is>
      </x:c>
      <x:c r="E406" t="inlineStr">
        <x:is>
          <x:t xml:space="preserve">Riserva / rotazione</x:t>
        </x:is>
      </x:c>
      <x:c r="F406" t="n">
        <x:v>1</x:v>
      </x:c>
      <x:c r="G406" t="n">
        <x:v>1</x:v>
      </x:c>
      <x:c r="H406" t="n">
        <x:f>ROUND(G406*504/1000,0)</x:f>
        <x:v>1</x:v>
      </x:c>
      <x:c r="I406"/>
      <x:c r="J406"/>
      <x:c r="K406"/>
    </x:row>
    <x:row r="407">
      <x:c r="A407" t="inlineStr">
        <x:is>
          <x:t xml:space="preserve">C</x:t>
        </x:is>
      </x:c>
      <x:c r="B407" t="inlineStr">
        <x:is>
          <x:t xml:space="preserve">El Azzouzi A.</x:t>
        </x:is>
      </x:c>
      <x:c r="C407" t="inlineStr">
        <x:is>
          <x:t xml:space="preserve">Frosinone</x:t>
        </x:is>
      </x:c>
      <x:c r="D407" t="inlineStr">
        <x:is>
          <x:t xml:space="preserve">M;C</x:t>
        </x:is>
      </x:c>
      <x:c r="E407" t="inlineStr">
        <x:is>
          <x:t xml:space="preserve">Riserva / rotazione</x:t>
        </x:is>
      </x:c>
      <x:c r="F407" t="n">
        <x:v>1</x:v>
      </x:c>
      <x:c r="G407" t="n">
        <x:v>3</x:v>
      </x:c>
      <x:c r="H407" t="n">
        <x:f>ROUND(G407*504/1000,0)</x:f>
        <x:v>2</x:v>
      </x:c>
      <x:c r="I407"/>
      <x:c r="J407"/>
      <x:c r="K407"/>
    </x:row>
    <x:row r="408">
      <x:c r="A408" t="inlineStr">
        <x:is>
          <x:t xml:space="preserve">C</x:t>
        </x:is>
      </x:c>
      <x:c r="B408" t="inlineStr">
        <x:is>
          <x:t xml:space="preserve">Kone B.</x:t>
        </x:is>
      </x:c>
      <x:c r="C408" t="inlineStr">
        <x:is>
          <x:t xml:space="preserve">Frosinone</x:t>
        </x:is>
      </x:c>
      <x:c r="D408" t="inlineStr">
        <x:is>
          <x:t xml:space="preserve">C</x:t>
        </x:is>
      </x:c>
      <x:c r="E408" t="inlineStr">
        <x:is>
          <x:t xml:space="preserve">Riserva / rotazione</x:t>
        </x:is>
      </x:c>
      <x:c r="F408" t="n">
        <x:v>1</x:v>
      </x:c>
      <x:c r="G408" t="n">
        <x:v>3</x:v>
      </x:c>
      <x:c r="H408" t="n">
        <x:f>ROUND(G408*504/1000,0)</x:f>
        <x:v>2</x:v>
      </x:c>
      <x:c r="I408"/>
      <x:c r="J408"/>
      <x:c r="K408"/>
    </x:row>
    <x:row r="409">
      <x:c r="A409" t="inlineStr">
        <x:is>
          <x:t xml:space="preserve">C</x:t>
        </x:is>
      </x:c>
      <x:c r="B409" t="inlineStr">
        <x:is>
          <x:t xml:space="preserve">Belahyane</x:t>
        </x:is>
      </x:c>
      <x:c r="C409" t="inlineStr">
        <x:is>
          <x:t xml:space="preserve">Lazio</x:t>
        </x:is>
      </x:c>
      <x:c r="D409" t="inlineStr">
        <x:is>
          <x:t xml:space="preserve">M;C</x:t>
        </x:is>
      </x:c>
      <x:c r="E409" t="inlineStr">
        <x:is>
          <x:t xml:space="preserve">Riserva / rotazione</x:t>
        </x:is>
      </x:c>
      <x:c r="F409" t="n">
        <x:v>1</x:v>
      </x:c>
      <x:c r="G409" t="n">
        <x:v>5</x:v>
      </x:c>
      <x:c r="H409" t="n">
        <x:f>ROUND(G409*504/1000,0)</x:f>
        <x:v>3</x:v>
      </x:c>
      <x:c r="I409"/>
      <x:c r="J409"/>
      <x:c r="K409"/>
    </x:row>
    <x:row r="410">
      <x:c r="A410" t="inlineStr">
        <x:is>
          <x:t xml:space="preserve">C</x:t>
        </x:is>
      </x:c>
      <x:c r="B410" t="inlineStr">
        <x:is>
          <x:t xml:space="preserve">Przyborek</x:t>
        </x:is>
      </x:c>
      <x:c r="C410" t="inlineStr">
        <x:is>
          <x:t xml:space="preserve">Lazio</x:t>
        </x:is>
      </x:c>
      <x:c r="D410" t="inlineStr">
        <x:is>
          <x:t xml:space="preserve">W;T</x:t>
        </x:is>
      </x:c>
      <x:c r="E410" t="inlineStr">
        <x:is>
          <x:t xml:space="preserve">Riserva / rotazione</x:t>
        </x:is>
      </x:c>
      <x:c r="F410" t="n">
        <x:v>1</x:v>
      </x:c>
      <x:c r="G410" t="n">
        <x:v>5</x:v>
      </x:c>
      <x:c r="H410" t="n">
        <x:f>ROUND(G410*504/1000,0)</x:f>
        <x:v>3</x:v>
      </x:c>
      <x:c r="I410"/>
      <x:c r="J410"/>
      <x:c r="K410"/>
    </x:row>
    <x:row r="411">
      <x:c r="A411" t="inlineStr">
        <x:is>
          <x:t xml:space="preserve">C</x:t>
        </x:is>
      </x:c>
      <x:c r="B411" t="inlineStr">
        <x:is>
          <x:t xml:space="preserve">Fofana Sa.</x:t>
        </x:is>
      </x:c>
      <x:c r="C411" t="inlineStr">
        <x:is>
          <x:t xml:space="preserve">Lecce</x:t>
        </x:is>
      </x:c>
      <x:c r="D411" t="inlineStr">
        <x:is>
          <x:t xml:space="preserve">M;C</x:t>
        </x:is>
      </x:c>
      <x:c r="E411" t="inlineStr">
        <x:is>
          <x:t xml:space="preserve">Riserva / rotazione</x:t>
        </x:is>
      </x:c>
      <x:c r="F411" t="n">
        <x:v>1</x:v>
      </x:c>
      <x:c r="G411" t="n">
        <x:v>1</x:v>
      </x:c>
      <x:c r="H411" t="n">
        <x:f>ROUND(G411*504/1000,0)</x:f>
        <x:v>1</x:v>
      </x:c>
      <x:c r="I411"/>
      <x:c r="J411"/>
      <x:c r="K411"/>
    </x:row>
    <x:row r="412">
      <x:c r="A412" t="inlineStr">
        <x:is>
          <x:t xml:space="preserve">C</x:t>
        </x:is>
      </x:c>
      <x:c r="B412" t="inlineStr">
        <x:is>
          <x:t xml:space="preserve">Gorter</x:t>
        </x:is>
      </x:c>
      <x:c r="C412" t="inlineStr">
        <x:is>
          <x:t xml:space="preserve">Lecce</x:t>
        </x:is>
      </x:c>
      <x:c r="D412" t="inlineStr">
        <x:is>
          <x:t xml:space="preserve">M;C</x:t>
        </x:is>
      </x:c>
      <x:c r="E412" t="inlineStr">
        <x:is>
          <x:t xml:space="preserve">Riserva / rotazione</x:t>
        </x:is>
      </x:c>
      <x:c r="F412" t="n">
        <x:v>1</x:v>
      </x:c>
      <x:c r="G412" t="n">
        <x:v>3</x:v>
      </x:c>
      <x:c r="H412" t="n">
        <x:f>ROUND(G412*504/1000,0)</x:f>
        <x:v>2</x:v>
      </x:c>
      <x:c r="I412"/>
      <x:c r="J412"/>
      <x:c r="K412"/>
    </x:row>
    <x:row r="413">
      <x:c r="A413" t="inlineStr">
        <x:is>
          <x:t xml:space="preserve">C</x:t>
        </x:is>
      </x:c>
      <x:c r="B413" t="inlineStr">
        <x:is>
          <x:t xml:space="preserve">Kaba</x:t>
        </x:is>
      </x:c>
      <x:c r="C413" t="inlineStr">
        <x:is>
          <x:t xml:space="preserve">Lecce</x:t>
        </x:is>
      </x:c>
      <x:c r="D413" t="inlineStr">
        <x:is>
          <x:t xml:space="preserve">M;C</x:t>
        </x:is>
      </x:c>
      <x:c r="E413" t="inlineStr">
        <x:is>
          <x:t xml:space="preserve">Riserva / rotazione</x:t>
        </x:is>
      </x:c>
      <x:c r="F413" t="n">
        <x:v>1</x:v>
      </x:c>
      <x:c r="G413" t="n">
        <x:v>2</x:v>
      </x:c>
      <x:c r="H413" t="n">
        <x:f>ROUND(G413*504/1000,0)</x:f>
        <x:v>1</x:v>
      </x:c>
      <x:c r="I413"/>
      <x:c r="J413"/>
      <x:c r="K413"/>
    </x:row>
    <x:row r="414">
      <x:c r="A414" t="inlineStr">
        <x:is>
          <x:t xml:space="preserve">C</x:t>
        </x:is>
      </x:c>
      <x:c r="B414" t="inlineStr">
        <x:is>
          <x:t xml:space="preserve">Cremaschi</x:t>
        </x:is>
      </x:c>
      <x:c r="C414" t="inlineStr">
        <x:is>
          <x:t xml:space="preserve">Parma</x:t>
        </x:is>
      </x:c>
      <x:c r="D414" t="inlineStr">
        <x:is>
          <x:t xml:space="preserve">E;C</x:t>
        </x:is>
      </x:c>
      <x:c r="E414" t="inlineStr">
        <x:is>
          <x:t xml:space="preserve">Riserva / rotazione</x:t>
        </x:is>
      </x:c>
      <x:c r="F414" t="n">
        <x:v>1</x:v>
      </x:c>
      <x:c r="G414" t="n">
        <x:v>3</x:v>
      </x:c>
      <x:c r="H414" t="n">
        <x:f>ROUND(G414*504/1000,0)</x:f>
        <x:v>2</x:v>
      </x:c>
      <x:c r="I414"/>
      <x:c r="J414"/>
      <x:c r="K414"/>
    </x:row>
    <x:row r="415">
      <x:c r="A415" t="inlineStr">
        <x:is>
          <x:t xml:space="preserve">C</x:t>
        </x:is>
      </x:c>
      <x:c r="B415" t="inlineStr">
        <x:is>
          <x:t xml:space="preserve">Iannoni</x:t>
        </x:is>
      </x:c>
      <x:c r="C415" t="inlineStr">
        <x:is>
          <x:t xml:space="preserve">Sassuolo</x:t>
        </x:is>
      </x:c>
      <x:c r="D415" t="inlineStr">
        <x:is>
          <x:t xml:space="preserve">M;C</x:t>
        </x:is>
      </x:c>
      <x:c r="E415" t="inlineStr">
        <x:is>
          <x:t xml:space="preserve">Riserva / rotazione</x:t>
        </x:is>
      </x:c>
      <x:c r="F415" t="n">
        <x:v>1</x:v>
      </x:c>
      <x:c r="G415" t="n">
        <x:v>1</x:v>
      </x:c>
      <x:c r="H415" t="n">
        <x:f>ROUND(G415*504/1000,0)</x:f>
        <x:v>1</x:v>
      </x:c>
      <x:c r="I415"/>
      <x:c r="J415"/>
      <x:c r="K415"/>
    </x:row>
    <x:row r="416">
      <x:c r="A416" t="inlineStr">
        <x:is>
          <x:t xml:space="preserve">C</x:t>
        </x:is>
      </x:c>
      <x:c r="B416" t="inlineStr">
        <x:is>
          <x:t xml:space="preserve">Anjorin</x:t>
        </x:is>
      </x:c>
      <x:c r="C416" t="inlineStr">
        <x:is>
          <x:t xml:space="preserve">Torino</x:t>
        </x:is>
      </x:c>
      <x:c r="D416" t="inlineStr">
        <x:is>
          <x:t xml:space="preserve">C;T</x:t>
        </x:is>
      </x:c>
      <x:c r="E416" t="inlineStr">
        <x:is>
          <x:t xml:space="preserve">Riserva / rotazione</x:t>
        </x:is>
      </x:c>
      <x:c r="F416" t="n">
        <x:v>1</x:v>
      </x:c>
      <x:c r="G416" t="n">
        <x:v>4</x:v>
      </x:c>
      <x:c r="H416" t="n">
        <x:f>ROUND(G416*504/1000,0)</x:f>
        <x:v>2</x:v>
      </x:c>
      <x:c r="I416"/>
      <x:c r="J416"/>
      <x:c r="K416"/>
    </x:row>
    <x:row r="417">
      <x:c r="A417" t="inlineStr">
        <x:is>
          <x:t xml:space="preserve">C</x:t>
        </x:is>
      </x:c>
      <x:c r="B417" t="inlineStr">
        <x:is>
          <x:t xml:space="preserve">Ilic</x:t>
        </x:is>
      </x:c>
      <x:c r="C417" t="inlineStr">
        <x:is>
          <x:t xml:space="preserve">Torino</x:t>
        </x:is>
      </x:c>
      <x:c r="D417" t="inlineStr">
        <x:is>
          <x:t xml:space="preserve">C</x:t>
        </x:is>
      </x:c>
      <x:c r="E417" t="inlineStr">
        <x:is>
          <x:t xml:space="preserve">Riserva / rotazione</x:t>
        </x:is>
      </x:c>
      <x:c r="F417" t="n">
        <x:v>1</x:v>
      </x:c>
      <x:c r="G417" t="n">
        <x:v>4</x:v>
      </x:c>
      <x:c r="H417" t="n">
        <x:f>ROUND(G417*504/1000,0)</x:f>
        <x:v>2</x:v>
      </x:c>
      <x:c r="I417"/>
      <x:c r="J417"/>
      <x:c r="K417"/>
    </x:row>
    <x:row r="418">
      <x:c r="A418" t="inlineStr">
        <x:is>
          <x:t xml:space="preserve">C</x:t>
        </x:is>
      </x:c>
      <x:c r="B418" t="inlineStr">
        <x:is>
          <x:t xml:space="preserve">Camara A.</x:t>
        </x:is>
      </x:c>
      <x:c r="C418" t="inlineStr">
        <x:is>
          <x:t xml:space="preserve">Udinese</x:t>
        </x:is>
      </x:c>
      <x:c r="D418" t="inlineStr">
        <x:is>
          <x:t xml:space="preserve">M;C</x:t>
        </x:is>
      </x:c>
      <x:c r="E418" t="inlineStr">
        <x:is>
          <x:t xml:space="preserve">Riserva / rotazione</x:t>
        </x:is>
      </x:c>
      <x:c r="F418" t="n">
        <x:v>1</x:v>
      </x:c>
      <x:c r="G418" t="n">
        <x:v>3</x:v>
      </x:c>
      <x:c r="H418" t="n">
        <x:f>ROUND(G418*504/1000,0)</x:f>
        <x:v>2</x:v>
      </x:c>
      <x:c r="I418"/>
      <x:c r="J418"/>
      <x:c r="K418"/>
    </x:row>
    <x:row r="419">
      <x:c r="A419" t="inlineStr">
        <x:is>
          <x:t xml:space="preserve">C</x:t>
        </x:is>
      </x:c>
      <x:c r="B419" t="inlineStr">
        <x:is>
          <x:t xml:space="preserve">Zarraga</x:t>
        </x:is>
      </x:c>
      <x:c r="C419" t="inlineStr">
        <x:is>
          <x:t xml:space="preserve">Udinese</x:t>
        </x:is>
      </x:c>
      <x:c r="D419" t="inlineStr">
        <x:is>
          <x:t xml:space="preserve">M;C</x:t>
        </x:is>
      </x:c>
      <x:c r="E419" t="inlineStr">
        <x:is>
          <x:t xml:space="preserve">Riserva / rotazione</x:t>
        </x:is>
      </x:c>
      <x:c r="F419" t="n">
        <x:v>1</x:v>
      </x:c>
      <x:c r="G419" t="n">
        <x:v>4</x:v>
      </x:c>
      <x:c r="H419" t="n">
        <x:f>ROUND(G419*504/1000,0)</x:f>
        <x:v>2</x:v>
      </x:c>
      <x:c r="I419"/>
      <x:c r="J419"/>
      <x:c r="K419"/>
    </x:row>
    <x:row r="420">
      <x:c r="A420" t="inlineStr">
        <x:is>
          <x:t xml:space="preserve">C</x:t>
        </x:is>
      </x:c>
      <x:c r="B420" t="inlineStr">
        <x:is>
          <x:t xml:space="preserve">Bjarkason</x:t>
        </x:is>
      </x:c>
      <x:c r="C420" t="inlineStr">
        <x:is>
          <x:t xml:space="preserve">Venezia</x:t>
        </x:is>
      </x:c>
      <x:c r="D420" t="inlineStr">
        <x:is>
          <x:t xml:space="preserve">E;W</x:t>
        </x:is>
      </x:c>
      <x:c r="E420" t="inlineStr">
        <x:is>
          <x:t xml:space="preserve">Riserva / rotazione</x:t>
        </x:is>
      </x:c>
      <x:c r="F420" t="n">
        <x:v>1</x:v>
      </x:c>
      <x:c r="G420" t="n">
        <x:v>3</x:v>
      </x:c>
      <x:c r="H420" t="n">
        <x:f>ROUND(G420*504/1000,0)</x:f>
        <x:v>2</x:v>
      </x:c>
      <x:c r="I420"/>
      <x:c r="J420"/>
      <x:c r="K420"/>
    </x:row>
    <x:row r="421">
      <x:c r="A421" t="inlineStr">
        <x:is>
          <x:t xml:space="preserve">C</x:t>
        </x:is>
      </x:c>
      <x:c r="B421" t="inlineStr">
        <x:is>
          <x:t xml:space="preserve">Dagasso</x:t>
        </x:is>
      </x:c>
      <x:c r="C421" t="inlineStr">
        <x:is>
          <x:t xml:space="preserve">Venezia</x:t>
        </x:is>
      </x:c>
      <x:c r="D421" t="inlineStr">
        <x:is>
          <x:t xml:space="preserve">C</x:t>
        </x:is>
      </x:c>
      <x:c r="E421" t="inlineStr">
        <x:is>
          <x:t xml:space="preserve">Riserva / rotazione</x:t>
        </x:is>
      </x:c>
      <x:c r="F421" t="n">
        <x:v>1</x:v>
      </x:c>
      <x:c r="G421" t="n">
        <x:v>1</x:v>
      </x:c>
      <x:c r="H421" t="n">
        <x:f>ROUND(G421*504/1000,0)</x:f>
        <x:v>1</x:v>
      </x:c>
      <x:c r="I421"/>
      <x:c r="J421"/>
      <x:c r="K421"/>
    </x:row>
    <x:row r="422">
      <x:c r="A422"/>
      <x:c r="B422"/>
      <x:c r="C422"/>
      <x:c r="D422"/>
      <x:c r="E422"/>
      <x:c r="F422"/>
      <x:c r="G422"/>
      <x:c r="H422"/>
      <x:c r="I422"/>
      <x:c r="J422"/>
      <x:c r="K422"/>
    </x:row>
    <x:row r="423">
      <x:c r="A423" t="inlineStr">
        <x:is>
          <x:t xml:space="preserve">ATTACCANTI</x:t>
        </x:is>
      </x:c>
      <x:c r="B423"/>
      <x:c r="C423"/>
      <x:c r="D423"/>
      <x:c r="E423"/>
      <x:c r="F423"/>
      <x:c r="G423"/>
      <x:c r="H423"/>
      <x:c r="I423"/>
      <x:c r="J423"/>
      <x:c r="K423"/>
    </x:row>
    <x:row r="424">
      <x:c r="A424" t="inlineStr">
        <x:is>
          <x:t xml:space="preserve">Ruolo</x:t>
        </x:is>
      </x:c>
      <x:c r="B424" t="inlineStr">
        <x:is>
          <x:t xml:space="preserve">Calciatore</x:t>
        </x:is>
      </x:c>
      <x:c r="C424" t="inlineStr">
        <x:is>
          <x:t xml:space="preserve">Squadra</x:t>
        </x:is>
      </x:c>
      <x:c r="D424" t="inlineStr">
        <x:is>
          <x:t xml:space="preserve">Posizione specifica</x:t>
        </x:is>
      </x:c>
      <x:c r="E424" t="inlineStr">
        <x:is>
          <x:t xml:space="preserve">Status</x:t>
        </x:is>
      </x:c>
      <x:c r="F424" t="inlineStr">
        <x:is>
          <x:t xml:space="preserve">Quotazione</x:t>
        </x:is>
      </x:c>
      <x:c r="G424" t="inlineStr">
        <x:is>
          <x:t xml:space="preserve">FVM / 1000</x:t>
        </x:is>
      </x:c>
      <x:c r="H424" t="inlineStr">
        <x:is>
          <x:t xml:space="preserve">FVM su 504</x:t>
        </x:is>
      </x:c>
      <x:c r="I424" t="inlineStr">
        <x:is>
          <x:t xml:space="preserve">Specialità</x:t>
        </x:is>
      </x:c>
      <x:c r="J424" t="inlineStr">
        <x:is>
          <x:t xml:space="preserve">Acquistato da</x:t>
        </x:is>
      </x:c>
      <x:c r="K424" t="inlineStr">
        <x:is>
          <x:t xml:space="preserve">Prezzo asta</x:t>
        </x:is>
      </x:c>
    </x:row>
    <x:row r="425">
      <x:c r="A425" t="inlineStr">
        <x:is>
          <x:t xml:space="preserve">A</x:t>
        </x:is>
      </x:c>
      <x:c r="B425" t="inlineStr">
        <x:is>
          <x:t xml:space="preserve">Martinez L.</x:t>
        </x:is>
      </x:c>
      <x:c r="C425" t="inlineStr">
        <x:is>
          <x:t xml:space="preserve">Inter</x:t>
        </x:is>
      </x:c>
      <x:c r="D425" t="inlineStr">
        <x:is>
          <x:t xml:space="preserve">Pc</x:t>
        </x:is>
      </x:c>
      <x:c r="E425" t="inlineStr">
        <x:is>
          <x:t xml:space="preserve">Titolare</x:t>
        </x:is>
      </x:c>
      <x:c r="F425" t="n">
        <x:v>35</x:v>
      </x:c>
      <x:c r="G425" t="n">
        <x:v>370</x:v>
      </x:c>
      <x:c r="H425" t="n">
        <x:f>ROUND(G425*504/1000,0)</x:f>
        <x:v>186</x:v>
      </x:c>
      <x:c r="I425" t="inlineStr">
        <x:is>
          <x:t xml:space="preserve">Rigorista</x:t>
        </x:is>
      </x:c>
      <x:c r="J425"/>
      <x:c r="K425"/>
    </x:row>
    <x:row r="426">
      <x:c r="A426" t="inlineStr">
        <x:is>
          <x:t xml:space="preserve">A</x:t>
        </x:is>
      </x:c>
      <x:c r="B426" t="inlineStr">
        <x:is>
          <x:t xml:space="preserve">Malen</x:t>
        </x:is>
      </x:c>
      <x:c r="C426" t="inlineStr">
        <x:is>
          <x:t xml:space="preserve">Roma</x:t>
        </x:is>
      </x:c>
      <x:c r="D426" t="inlineStr">
        <x:is>
          <x:t xml:space="preserve">Pc</x:t>
        </x:is>
      </x:c>
      <x:c r="E426" t="inlineStr">
        <x:is>
          <x:t xml:space="preserve">Titolare</x:t>
        </x:is>
      </x:c>
      <x:c r="F426" t="n">
        <x:v>34</x:v>
      </x:c>
      <x:c r="G426" t="n">
        <x:v>365</x:v>
      </x:c>
      <x:c r="H426" t="n">
        <x:f>ROUND(G426*504/1000,0)</x:f>
        <x:v>184</x:v>
      </x:c>
      <x:c r="I426" t="inlineStr">
        <x:is>
          <x:t xml:space="preserve">Rigorista · Piazzati</x:t>
        </x:is>
      </x:c>
      <x:c r="J426"/>
      <x:c r="K426"/>
    </x:row>
    <x:row r="427">
      <x:c r="A427" t="inlineStr">
        <x:is>
          <x:t xml:space="preserve">A</x:t>
        </x:is>
      </x:c>
      <x:c r="B427" t="inlineStr">
        <x:is>
          <x:t xml:space="preserve">Thuram</x:t>
        </x:is>
      </x:c>
      <x:c r="C427" t="inlineStr">
        <x:is>
          <x:t xml:space="preserve">Inter</x:t>
        </x:is>
      </x:c>
      <x:c r="D427" t="inlineStr">
        <x:is>
          <x:t xml:space="preserve">Pc</x:t>
        </x:is>
      </x:c>
      <x:c r="E427" t="inlineStr">
        <x:is>
          <x:t xml:space="preserve">Titolare / ballottaggio</x:t>
        </x:is>
      </x:c>
      <x:c r="F427" t="n">
        <x:v>29</x:v>
      </x:c>
      <x:c r="G427" t="n">
        <x:v>280</x:v>
      </x:c>
      <x:c r="H427" t="n">
        <x:f>ROUND(G427*504/1000,0)</x:f>
        <x:v>141</x:v>
      </x:c>
      <x:c r="I427"/>
      <x:c r="J427"/>
      <x:c r="K427"/>
    </x:row>
    <x:row r="428">
      <x:c r="A428" t="inlineStr">
        <x:is>
          <x:t xml:space="preserve">A</x:t>
        </x:is>
      </x:c>
      <x:c r="B428" t="inlineStr">
        <x:is>
          <x:t xml:space="preserve">Hojlund</x:t>
        </x:is>
      </x:c>
      <x:c r="C428" t="inlineStr">
        <x:is>
          <x:t xml:space="preserve">Napoli</x:t>
        </x:is>
      </x:c>
      <x:c r="D428" t="inlineStr">
        <x:is>
          <x:t xml:space="preserve">Pc</x:t>
        </x:is>
      </x:c>
      <x:c r="E428" t="inlineStr">
        <x:is>
          <x:t xml:space="preserve">Titolare</x:t>
        </x:is>
      </x:c>
      <x:c r="F428" t="n">
        <x:v>28</x:v>
      </x:c>
      <x:c r="G428" t="n">
        <x:v>271</x:v>
      </x:c>
      <x:c r="H428" t="n">
        <x:f>ROUND(G428*504/1000,0)</x:f>
        <x:v>137</x:v>
      </x:c>
      <x:c r="I428" t="inlineStr">
        <x:is>
          <x:t xml:space="preserve">Rigorista</x:t>
        </x:is>
      </x:c>
      <x:c r="J428"/>
      <x:c r="K428"/>
    </x:row>
    <x:row r="429">
      <x:c r="A429" t="inlineStr">
        <x:is>
          <x:t xml:space="preserve">A</x:t>
        </x:is>
      </x:c>
      <x:c r="B429" t="inlineStr">
        <x:is>
          <x:t xml:space="preserve">Ramos G.</x:t>
        </x:is>
      </x:c>
      <x:c r="C429" t="inlineStr">
        <x:is>
          <x:t xml:space="preserve">Milan</x:t>
        </x:is>
      </x:c>
      <x:c r="D429" t="inlineStr">
        <x:is>
          <x:t xml:space="preserve">Pc</x:t>
        </x:is>
      </x:c>
      <x:c r="E429" t="inlineStr">
        <x:is>
          <x:t xml:space="preserve">Titolare</x:t>
        </x:is>
      </x:c>
      <x:c r="F429" t="n">
        <x:v>27</x:v>
      </x:c>
      <x:c r="G429" t="n">
        <x:v>240</x:v>
      </x:c>
      <x:c r="H429" t="n">
        <x:f>ROUND(G429*504/1000,0)</x:f>
        <x:v>121</x:v>
      </x:c>
      <x:c r="I429" t="inlineStr">
        <x:is>
          <x:t xml:space="preserve">Rigorista</x:t>
        </x:is>
      </x:c>
      <x:c r="J429"/>
      <x:c r="K429"/>
    </x:row>
    <x:row r="430">
      <x:c r="A430" t="inlineStr">
        <x:is>
          <x:t xml:space="preserve">A</x:t>
        </x:is>
      </x:c>
      <x:c r="B430" t="inlineStr">
        <x:is>
          <x:t xml:space="preserve">Kolo Muani</x:t>
        </x:is>
      </x:c>
      <x:c r="C430" t="inlineStr">
        <x:is>
          <x:t xml:space="preserve">Juventus</x:t>
        </x:is>
      </x:c>
      <x:c r="D430" t="inlineStr">
        <x:is>
          <x:t xml:space="preserve">Pc</x:t>
        </x:is>
      </x:c>
      <x:c r="E430" t="inlineStr">
        <x:is>
          <x:t xml:space="preserve">Titolare / ballottaggio</x:t>
        </x:is>
      </x:c>
      <x:c r="F430" t="n">
        <x:v>26</x:v>
      </x:c>
      <x:c r="G430" t="n">
        <x:v>225</x:v>
      </x:c>
      <x:c r="H430" t="n">
        <x:f>ROUND(G430*504/1000,0)</x:f>
        <x:v>113</x:v>
      </x:c>
      <x:c r="I430" t="inlineStr">
        <x:is>
          <x:t xml:space="preserve">Rigorista</x:t>
        </x:is>
      </x:c>
      <x:c r="J430"/>
      <x:c r="K430"/>
    </x:row>
    <x:row r="431">
      <x:c r="A431" t="inlineStr">
        <x:is>
          <x:t xml:space="preserve">A</x:t>
        </x:is>
      </x:c>
      <x:c r="B431" t="inlineStr">
        <x:is>
          <x:t xml:space="preserve">Kean</x:t>
        </x:is>
      </x:c>
      <x:c r="C431" t="inlineStr">
        <x:is>
          <x:t xml:space="preserve">Fiorentina</x:t>
        </x:is>
      </x:c>
      <x:c r="D431" t="inlineStr">
        <x:is>
          <x:t xml:space="preserve">Pc</x:t>
        </x:is>
      </x:c>
      <x:c r="E431" t="inlineStr">
        <x:is>
          <x:t xml:space="preserve">Riserva / rotazione</x:t>
        </x:is>
      </x:c>
      <x:c r="F431" t="n">
        <x:v>25</x:v>
      </x:c>
      <x:c r="G431" t="n">
        <x:v>212</x:v>
      </x:c>
      <x:c r="H431" t="n">
        <x:f>ROUND(G431*504/1000,0)</x:f>
        <x:v>107</x:v>
      </x:c>
      <x:c r="I431"/>
      <x:c r="J431"/>
      <x:c r="K431"/>
    </x:row>
    <x:row r="432">
      <x:c r="A432" t="inlineStr">
        <x:is>
          <x:t xml:space="preserve">A</x:t>
        </x:is>
      </x:c>
      <x:c r="B432" t="inlineStr">
        <x:is>
          <x:t xml:space="preserve">Yildiz</x:t>
        </x:is>
      </x:c>
      <x:c r="C432" t="inlineStr">
        <x:is>
          <x:t xml:space="preserve">Juventus</x:t>
        </x:is>
      </x:c>
      <x:c r="D432" t="inlineStr">
        <x:is>
          <x:t xml:space="preserve">A</x:t>
        </x:is>
      </x:c>
      <x:c r="E432" t="inlineStr">
        <x:is>
          <x:t xml:space="preserve">Riserva / rotazione</x:t>
        </x:is>
      </x:c>
      <x:c r="F432" t="n">
        <x:v>23</x:v>
      </x:c>
      <x:c r="G432" t="n">
        <x:v>200</x:v>
      </x:c>
      <x:c r="H432" t="n">
        <x:f>ROUND(G432*504/1000,0)</x:f>
        <x:v>101</x:v>
      </x:c>
      <x:c r="I432" t="inlineStr">
        <x:is>
          <x:t xml:space="preserve">Piazzati</x:t>
        </x:is>
      </x:c>
      <x:c r="J432"/>
      <x:c r="K432"/>
    </x:row>
    <x:row r="433">
      <x:c r="A433" t="inlineStr">
        <x:is>
          <x:t xml:space="preserve">A</x:t>
        </x:is>
      </x:c>
      <x:c r="B433" t="inlineStr">
        <x:is>
          <x:t xml:space="preserve">Douvikas</x:t>
        </x:is>
      </x:c>
      <x:c r="C433" t="inlineStr">
        <x:is>
          <x:t xml:space="preserve">Como</x:t>
        </x:is>
      </x:c>
      <x:c r="D433" t="inlineStr">
        <x:is>
          <x:t xml:space="preserve">Pc</x:t>
        </x:is>
      </x:c>
      <x:c r="E433" t="inlineStr">
        <x:is>
          <x:t xml:space="preserve">Ballottaggio</x:t>
        </x:is>
      </x:c>
      <x:c r="F433" t="n">
        <x:v>20</x:v>
      </x:c>
      <x:c r="G433" t="n">
        <x:v>157</x:v>
      </x:c>
      <x:c r="H433" t="n">
        <x:f>ROUND(G433*504/1000,0)</x:f>
        <x:v>79</x:v>
      </x:c>
      <x:c r="I433" t="inlineStr">
        <x:is>
          <x:t xml:space="preserve">Rigorista</x:t>
        </x:is>
      </x:c>
      <x:c r="J433"/>
      <x:c r="K433"/>
    </x:row>
    <x:row r="434">
      <x:c r="A434" t="inlineStr">
        <x:is>
          <x:t xml:space="preserve">A</x:t>
        </x:is>
      </x:c>
      <x:c r="B434" t="inlineStr">
        <x:is>
          <x:t xml:space="preserve">Scamacca</x:t>
        </x:is>
      </x:c>
      <x:c r="C434" t="inlineStr">
        <x:is>
          <x:t xml:space="preserve">Atalanta</x:t>
        </x:is>
      </x:c>
      <x:c r="D434" t="inlineStr">
        <x:is>
          <x:t xml:space="preserve">Pc</x:t>
        </x:is>
      </x:c>
      <x:c r="E434" t="inlineStr">
        <x:is>
          <x:t xml:space="preserve">Titolare / ballottaggio</x:t>
        </x:is>
      </x:c>
      <x:c r="F434" t="n">
        <x:v>19</x:v>
      </x:c>
      <x:c r="G434" t="n">
        <x:v>128</x:v>
      </x:c>
      <x:c r="H434" t="n">
        <x:f>ROUND(G434*504/1000,0)</x:f>
        <x:v>65</x:v>
      </x:c>
      <x:c r="I434" t="inlineStr">
        <x:is>
          <x:t xml:space="preserve">Rigorista</x:t>
        </x:is>
      </x:c>
      <x:c r="J434"/>
      <x:c r="K434"/>
    </x:row>
    <x:row r="435">
      <x:c r="A435" t="inlineStr">
        <x:is>
          <x:t xml:space="preserve">A</x:t>
        </x:is>
      </x:c>
      <x:c r="B435" t="inlineStr">
        <x:is>
          <x:t xml:space="preserve">Davis K.</x:t>
        </x:is>
      </x:c>
      <x:c r="C435" t="inlineStr">
        <x:is>
          <x:t xml:space="preserve">Udinese</x:t>
        </x:is>
      </x:c>
      <x:c r="D435" t="inlineStr">
        <x:is>
          <x:t xml:space="preserve">Pc</x:t>
        </x:is>
      </x:c>
      <x:c r="E435" t="inlineStr">
        <x:is>
          <x:t xml:space="preserve">Titolare</x:t>
        </x:is>
      </x:c>
      <x:c r="F435" t="n">
        <x:v>19</x:v>
      </x:c>
      <x:c r="G435" t="n">
        <x:v>121</x:v>
      </x:c>
      <x:c r="H435" t="n">
        <x:f>ROUND(G435*504/1000,0)</x:f>
        <x:v>61</x:v>
      </x:c>
      <x:c r="I435" t="inlineStr">
        <x:is>
          <x:t xml:space="preserve">Rigorista</x:t>
        </x:is>
      </x:c>
      <x:c r="J435"/>
      <x:c r="K435"/>
    </x:row>
    <x:row r="436">
      <x:c r="A436" t="inlineStr">
        <x:is>
          <x:t xml:space="preserve">A</x:t>
        </x:is>
      </x:c>
      <x:c r="B436" t="inlineStr">
        <x:is>
          <x:t xml:space="preserve">Krstovic</x:t>
        </x:is>
      </x:c>
      <x:c r="C436" t="inlineStr">
        <x:is>
          <x:t xml:space="preserve">Atalanta</x:t>
        </x:is>
      </x:c>
      <x:c r="D436" t="inlineStr">
        <x:is>
          <x:t xml:space="preserve">Pc</x:t>
        </x:is>
      </x:c>
      <x:c r="E436" t="inlineStr">
        <x:is>
          <x:t xml:space="preserve">Ballottaggio</x:t>
        </x:is>
      </x:c>
      <x:c r="F436" t="n">
        <x:v>18</x:v>
      </x:c>
      <x:c r="G436" t="n">
        <x:v>100</x:v>
      </x:c>
      <x:c r="H436" t="n">
        <x:f>ROUND(G436*504/1000,0)</x:f>
        <x:v>50</x:v>
      </x:c>
      <x:c r="I436" t="inlineStr">
        <x:is>
          <x:t xml:space="preserve">Rigorista</x:t>
        </x:is>
      </x:c>
      <x:c r="J436"/>
      <x:c r="K436"/>
    </x:row>
    <x:row r="437">
      <x:c r="A437" t="inlineStr">
        <x:is>
          <x:t xml:space="preserve">A</x:t>
        </x:is>
      </x:c>
      <x:c r="B437" t="inlineStr">
        <x:is>
          <x:t xml:space="preserve">Leao</x:t>
        </x:is>
      </x:c>
      <x:c r="C437" t="inlineStr">
        <x:is>
          <x:t xml:space="preserve">Milan</x:t>
        </x:is>
      </x:c>
      <x:c r="D437" t="inlineStr">
        <x:is>
          <x:t xml:space="preserve">A</x:t>
        </x:is>
      </x:c>
      <x:c r="E437" t="inlineStr">
        <x:is>
          <x:t xml:space="preserve">Riserva / rotazione</x:t>
        </x:is>
      </x:c>
      <x:c r="F437" t="n">
        <x:v>18</x:v>
      </x:c>
      <x:c r="G437" t="n">
        <x:v>120</x:v>
      </x:c>
      <x:c r="H437" t="n">
        <x:f>ROUND(G437*504/1000,0)</x:f>
        <x:v>60</x:v>
      </x:c>
      <x:c r="I437"/>
      <x:c r="J437"/>
      <x:c r="K437"/>
    </x:row>
    <x:row r="438">
      <x:c r="A438" t="inlineStr">
        <x:is>
          <x:t xml:space="preserve">A</x:t>
        </x:is>
      </x:c>
      <x:c r="B438" t="inlineStr">
        <x:is>
          <x:t xml:space="preserve">Berardi</x:t>
        </x:is>
      </x:c>
      <x:c r="C438" t="inlineStr">
        <x:is>
          <x:t xml:space="preserve">Sassuolo</x:t>
        </x:is>
      </x:c>
      <x:c r="D438" t="inlineStr">
        <x:is>
          <x:t xml:space="preserve">A</x:t>
        </x:is>
      </x:c>
      <x:c r="E438" t="inlineStr">
        <x:is>
          <x:t xml:space="preserve">Titolare</x:t>
        </x:is>
      </x:c>
      <x:c r="F438" t="n">
        <x:v>18</x:v>
      </x:c>
      <x:c r="G438" t="n">
        <x:v>115</x:v>
      </x:c>
      <x:c r="H438" t="n">
        <x:f>ROUND(G438*504/1000,0)</x:f>
        <x:v>58</x:v>
      </x:c>
      <x:c r="I438" t="inlineStr">
        <x:is>
          <x:t xml:space="preserve">Rigorista · Piazzati</x:t>
        </x:is>
      </x:c>
      <x:c r="J438"/>
      <x:c r="K438"/>
    </x:row>
    <x:row r="439">
      <x:c r="A439" t="inlineStr">
        <x:is>
          <x:t xml:space="preserve">A</x:t>
        </x:is>
      </x:c>
      <x:c r="B439" t="inlineStr">
        <x:is>
          <x:t xml:space="preserve">De Ketelaere</x:t>
        </x:is>
      </x:c>
      <x:c r="C439" t="inlineStr">
        <x:is>
          <x:t xml:space="preserve">Atalanta</x:t>
        </x:is>
      </x:c>
      <x:c r="D439" t="inlineStr">
        <x:is>
          <x:t xml:space="preserve">A</x:t>
        </x:is>
      </x:c>
      <x:c r="E439" t="inlineStr">
        <x:is>
          <x:t xml:space="preserve">Titolare</x:t>
        </x:is>
      </x:c>
      <x:c r="F439" t="n">
        <x:v>17</x:v>
      </x:c>
      <x:c r="G439" t="n">
        <x:v>106</x:v>
      </x:c>
      <x:c r="H439" t="n">
        <x:f>ROUND(G439*504/1000,0)</x:f>
        <x:v>53</x:v>
      </x:c>
      <x:c r="I439" t="inlineStr">
        <x:is>
          <x:t xml:space="preserve">Piazzati</x:t>
        </x:is>
      </x:c>
      <x:c r="J439"/>
      <x:c r="K439"/>
    </x:row>
    <x:row r="440">
      <x:c r="A440" t="inlineStr">
        <x:is>
          <x:t xml:space="preserve">A</x:t>
        </x:is>
      </x:c>
      <x:c r="B440" t="inlineStr">
        <x:is>
          <x:t xml:space="preserve">Dovbyk</x:t>
        </x:is>
      </x:c>
      <x:c r="C440" t="inlineStr">
        <x:is>
          <x:t xml:space="preserve">Bologna</x:t>
        </x:is>
      </x:c>
      <x:c r="D440" t="inlineStr">
        <x:is>
          <x:t xml:space="preserve">Pc</x:t>
        </x:is>
      </x:c>
      <x:c r="E440" t="inlineStr">
        <x:is>
          <x:t xml:space="preserve">Titolare / ballottaggio</x:t>
        </x:is>
      </x:c>
      <x:c r="F440" t="n">
        <x:v>16</x:v>
      </x:c>
      <x:c r="G440" t="n">
        <x:v>84</x:v>
      </x:c>
      <x:c r="H440" t="n">
        <x:f>ROUND(G440*504/1000,0)</x:f>
        <x:v>42</x:v>
      </x:c>
      <x:c r="I440" t="inlineStr">
        <x:is>
          <x:t xml:space="preserve">Rigorista</x:t>
        </x:is>
      </x:c>
      <x:c r="J440"/>
      <x:c r="K440"/>
    </x:row>
    <x:row r="441">
      <x:c r="A441" t="inlineStr">
        <x:is>
          <x:t xml:space="preserve">A</x:t>
        </x:is>
      </x:c>
      <x:c r="B441" t="inlineStr">
        <x:is>
          <x:t xml:space="preserve">Esposito F.P.</x:t>
        </x:is>
      </x:c>
      <x:c r="C441" t="inlineStr">
        <x:is>
          <x:t xml:space="preserve">Inter</x:t>
        </x:is>
      </x:c>
      <x:c r="D441" t="inlineStr">
        <x:is>
          <x:t xml:space="preserve">Pc</x:t>
        </x:is>
      </x:c>
      <x:c r="E441" t="inlineStr">
        <x:is>
          <x:t xml:space="preserve">Ballottaggio</x:t>
        </x:is>
      </x:c>
      <x:c r="F441" t="n">
        <x:v>16</x:v>
      </x:c>
      <x:c r="G441" t="n">
        <x:v>93</x:v>
      </x:c>
      <x:c r="H441" t="n">
        <x:f>ROUND(G441*504/1000,0)</x:f>
        <x:v>47</x:v>
      </x:c>
      <x:c r="I441"/>
      <x:c r="J441"/>
      <x:c r="K441"/>
    </x:row>
    <x:row r="442">
      <x:c r="A442" t="inlineStr">
        <x:is>
          <x:t xml:space="preserve">A</x:t>
        </x:is>
      </x:c>
      <x:c r="B442" t="inlineStr">
        <x:is>
          <x:t xml:space="preserve">Pellegrino M.</x:t>
        </x:is>
      </x:c>
      <x:c r="C442" t="inlineStr">
        <x:is>
          <x:t xml:space="preserve">Parma</x:t>
        </x:is>
      </x:c>
      <x:c r="D442" t="inlineStr">
        <x:is>
          <x:t xml:space="preserve">Pc</x:t>
        </x:is>
      </x:c>
      <x:c r="E442" t="inlineStr">
        <x:is>
          <x:t xml:space="preserve">Riserva / rotazione</x:t>
        </x:is>
      </x:c>
      <x:c r="F442" t="n">
        <x:v>15</x:v>
      </x:c>
      <x:c r="G442" t="n">
        <x:v>81</x:v>
      </x:c>
      <x:c r="H442" t="n">
        <x:f>ROUND(G442*504/1000,0)</x:f>
        <x:v>41</x:v>
      </x:c>
      <x:c r="I442"/>
      <x:c r="J442"/>
      <x:c r="K442"/>
    </x:row>
    <x:row r="443">
      <x:c r="A443" t="inlineStr">
        <x:is>
          <x:t xml:space="preserve">A</x:t>
        </x:is>
      </x:c>
      <x:c r="B443" t="inlineStr">
        <x:is>
          <x:t xml:space="preserve">Laurientè</x:t>
        </x:is>
      </x:c>
      <x:c r="C443" t="inlineStr">
        <x:is>
          <x:t xml:space="preserve">Sassuolo</x:t>
        </x:is>
      </x:c>
      <x:c r="D443" t="inlineStr">
        <x:is>
          <x:t xml:space="preserve">A</x:t>
        </x:is>
      </x:c>
      <x:c r="E443" t="inlineStr">
        <x:is>
          <x:t xml:space="preserve">Titolare</x:t>
        </x:is>
      </x:c>
      <x:c r="F443" t="n">
        <x:v>15</x:v>
      </x:c>
      <x:c r="G443" t="n">
        <x:v>88</x:v>
      </x:c>
      <x:c r="H443" t="n">
        <x:f>ROUND(G443*504/1000,0)</x:f>
        <x:v>44</x:v>
      </x:c>
      <x:c r="I443" t="inlineStr">
        <x:is>
          <x:t xml:space="preserve">Rigorista · Piazzati</x:t>
        </x:is>
      </x:c>
      <x:c r="J443"/>
      <x:c r="K443"/>
    </x:row>
    <x:row r="444">
      <x:c r="A444" t="inlineStr">
        <x:is>
          <x:t xml:space="preserve">A</x:t>
        </x:is>
      </x:c>
      <x:c r="B444" t="inlineStr">
        <x:is>
          <x:t xml:space="preserve">Simeone</x:t>
        </x:is>
      </x:c>
      <x:c r="C444" t="inlineStr">
        <x:is>
          <x:t xml:space="preserve">Torino</x:t>
        </x:is>
      </x:c>
      <x:c r="D444" t="inlineStr">
        <x:is>
          <x:t xml:space="preserve">Pc</x:t>
        </x:is>
      </x:c>
      <x:c r="E444" t="inlineStr">
        <x:is>
          <x:t xml:space="preserve">Titolare</x:t>
        </x:is>
      </x:c>
      <x:c r="F444" t="n">
        <x:v>15</x:v>
      </x:c>
      <x:c r="G444" t="n">
        <x:v>82</x:v>
      </x:c>
      <x:c r="H444" t="n">
        <x:f>ROUND(G444*504/1000,0)</x:f>
        <x:v>41</x:v>
      </x:c>
      <x:c r="I444" t="inlineStr">
        <x:is>
          <x:t xml:space="preserve">Rigorista</x:t>
        </x:is>
      </x:c>
      <x:c r="J444"/>
      <x:c r="K444"/>
    </x:row>
    <x:row r="445">
      <x:c r="A445" t="inlineStr">
        <x:is>
          <x:t xml:space="preserve">A</x:t>
        </x:is>
      </x:c>
      <x:c r="B445" t="inlineStr">
        <x:is>
          <x:t xml:space="preserve">Santos A.</x:t>
        </x:is>
      </x:c>
      <x:c r="C445" t="inlineStr">
        <x:is>
          <x:t xml:space="preserve">Napoli</x:t>
        </x:is>
      </x:c>
      <x:c r="D445" t="inlineStr">
        <x:is>
          <x:t xml:space="preserve">W;A</x:t>
        </x:is>
      </x:c>
      <x:c r="E445" t="inlineStr">
        <x:is>
          <x:t xml:space="preserve">Titolare</x:t>
        </x:is>
      </x:c>
      <x:c r="F445" t="n">
        <x:v>14</x:v>
      </x:c>
      <x:c r="G445" t="n">
        <x:v>60</x:v>
      </x:c>
      <x:c r="H445" t="n">
        <x:f>ROUND(G445*504/1000,0)</x:f>
        <x:v>30</x:v>
      </x:c>
      <x:c r="I445"/>
      <x:c r="J445"/>
      <x:c r="K445"/>
    </x:row>
    <x:row r="446">
      <x:c r="A446" t="inlineStr">
        <x:is>
          <x:t xml:space="preserve">A</x:t>
        </x:is>
      </x:c>
      <x:c r="B446" t="inlineStr">
        <x:is>
          <x:t xml:space="preserve">Castro S.</x:t>
        </x:is>
      </x:c>
      <x:c r="C446" t="inlineStr">
        <x:is>
          <x:t xml:space="preserve">Roma</x:t>
        </x:is>
      </x:c>
      <x:c r="D446" t="inlineStr">
        <x:is>
          <x:t xml:space="preserve">Pc</x:t>
        </x:is>
      </x:c>
      <x:c r="E446" t="inlineStr">
        <x:is>
          <x:t xml:space="preserve">Ballottaggio</x:t>
        </x:is>
      </x:c>
      <x:c r="F446" t="n">
        <x:v>14</x:v>
      </x:c>
      <x:c r="G446" t="n">
        <x:v>83</x:v>
      </x:c>
      <x:c r="H446" t="n">
        <x:f>ROUND(G446*504/1000,0)</x:f>
        <x:v>42</x:v>
      </x:c>
      <x:c r="I446" t="inlineStr">
        <x:is>
          <x:t xml:space="preserve">Rigorista</x:t>
        </x:is>
      </x:c>
      <x:c r="J446"/>
      <x:c r="K446"/>
    </x:row>
    <x:row r="447">
      <x:c r="A447" t="inlineStr">
        <x:is>
          <x:t xml:space="preserve">A</x:t>
        </x:is>
      </x:c>
      <x:c r="B447" t="inlineStr">
        <x:is>
          <x:t xml:space="preserve">Dybala</x:t>
        </x:is>
      </x:c>
      <x:c r="C447" t="inlineStr">
        <x:is>
          <x:t xml:space="preserve">Roma</x:t>
        </x:is>
      </x:c>
      <x:c r="D447" t="inlineStr">
        <x:is>
          <x:t xml:space="preserve">A</x:t>
        </x:is>
      </x:c>
      <x:c r="E447" t="inlineStr">
        <x:is>
          <x:t xml:space="preserve">Titolare / ballottaggio</x:t>
        </x:is>
      </x:c>
      <x:c r="F447" t="n">
        <x:v>14</x:v>
      </x:c>
      <x:c r="G447" t="n">
        <x:v>67</x:v>
      </x:c>
      <x:c r="H447" t="n">
        <x:f>ROUND(G447*504/1000,0)</x:f>
        <x:v>34</x:v>
      </x:c>
      <x:c r="I447" t="inlineStr">
        <x:is>
          <x:t xml:space="preserve">Rigorista · Piazzati</x:t>
        </x:is>
      </x:c>
      <x:c r="J447"/>
      <x:c r="K447"/>
    </x:row>
    <x:row r="448">
      <x:c r="A448" t="inlineStr">
        <x:is>
          <x:t xml:space="preserve">A</x:t>
        </x:is>
      </x:c>
      <x:c r="B448" t="inlineStr">
        <x:is>
          <x:t xml:space="preserve">Raspadori</x:t>
        </x:is>
      </x:c>
      <x:c r="C448" t="inlineStr">
        <x:is>
          <x:t xml:space="preserve">Atalanta</x:t>
        </x:is>
      </x:c>
      <x:c r="D448" t="inlineStr">
        <x:is>
          <x:t xml:space="preserve">A</x:t>
        </x:is>
      </x:c>
      <x:c r="E448" t="inlineStr">
        <x:is>
          <x:t xml:space="preserve">Ballottaggio</x:t>
        </x:is>
      </x:c>
      <x:c r="F448" t="n">
        <x:v>13</x:v>
      </x:c>
      <x:c r="G448" t="n">
        <x:v>62</x:v>
      </x:c>
      <x:c r="H448" t="n">
        <x:f>ROUND(G448*504/1000,0)</x:f>
        <x:v>31</x:v>
      </x:c>
      <x:c r="I448"/>
      <x:c r="J448"/>
      <x:c r="K448"/>
    </x:row>
    <x:row r="449">
      <x:c r="A449" t="inlineStr">
        <x:is>
          <x:t xml:space="preserve">A</x:t>
        </x:is>
      </x:c>
      <x:c r="B449" t="inlineStr">
        <x:is>
          <x:t xml:space="preserve">Esposito Se.</x:t>
        </x:is>
      </x:c>
      <x:c r="C449" t="inlineStr">
        <x:is>
          <x:t xml:space="preserve">Cagliari</x:t>
        </x:is>
      </x:c>
      <x:c r="D449" t="inlineStr">
        <x:is>
          <x:t xml:space="preserve">A</x:t>
        </x:is>
      </x:c>
      <x:c r="E449" t="inlineStr">
        <x:is>
          <x:t xml:space="preserve">Riserva / rotazione</x:t>
        </x:is>
      </x:c>
      <x:c r="F449" t="n">
        <x:v>13</x:v>
      </x:c>
      <x:c r="G449" t="n">
        <x:v>50</x:v>
      </x:c>
      <x:c r="H449" t="n">
        <x:f>ROUND(G449*504/1000,0)</x:f>
        <x:v>25</x:v>
      </x:c>
      <x:c r="I449"/>
      <x:c r="J449"/>
      <x:c r="K449"/>
    </x:row>
    <x:row r="450">
      <x:c r="A450" t="inlineStr">
        <x:is>
          <x:t xml:space="preserve">A</x:t>
        </x:is>
      </x:c>
      <x:c r="B450" t="inlineStr">
        <x:is>
          <x:t xml:space="preserve">Nkunku</x:t>
        </x:is>
      </x:c>
      <x:c r="C450" t="inlineStr">
        <x:is>
          <x:t xml:space="preserve">Milan</x:t>
        </x:is>
      </x:c>
      <x:c r="D450" t="inlineStr">
        <x:is>
          <x:t xml:space="preserve">A</x:t>
        </x:is>
      </x:c>
      <x:c r="E450" t="inlineStr">
        <x:is>
          <x:t xml:space="preserve">Riserva / rotazione</x:t>
        </x:is>
      </x:c>
      <x:c r="F450" t="n">
        <x:v>13</x:v>
      </x:c>
      <x:c r="G450" t="n">
        <x:v>52</x:v>
      </x:c>
      <x:c r="H450" t="n">
        <x:f>ROUND(G450*504/1000,0)</x:f>
        <x:v>26</x:v>
      </x:c>
      <x:c r="I450"/>
      <x:c r="J450"/>
      <x:c r="K450"/>
    </x:row>
    <x:row r="451">
      <x:c r="A451" t="inlineStr">
        <x:is>
          <x:t xml:space="preserve">A</x:t>
        </x:is>
      </x:c>
      <x:c r="B451" t="inlineStr">
        <x:is>
          <x:t xml:space="preserve">Pinamonti</x:t>
        </x:is>
      </x:c>
      <x:c r="C451" t="inlineStr">
        <x:is>
          <x:t xml:space="preserve">Sassuolo</x:t>
        </x:is>
      </x:c>
      <x:c r="D451" t="inlineStr">
        <x:is>
          <x:t xml:space="preserve">Pc</x:t>
        </x:is>
      </x:c>
      <x:c r="E451" t="inlineStr">
        <x:is>
          <x:t xml:space="preserve">Riserva / rotazione</x:t>
        </x:is>
      </x:c>
      <x:c r="F451" t="n">
        <x:v>13</x:v>
      </x:c>
      <x:c r="G451" t="n">
        <x:v>58</x:v>
      </x:c>
      <x:c r="H451" t="n">
        <x:f>ROUND(G451*504/1000,0)</x:f>
        <x:v>29</x:v>
      </x:c>
      <x:c r="I451"/>
      <x:c r="J451"/>
      <x:c r="K451"/>
    </x:row>
    <x:row r="452">
      <x:c r="A452" t="inlineStr">
        <x:is>
          <x:t xml:space="preserve">A</x:t>
        </x:is>
      </x:c>
      <x:c r="B452" t="inlineStr">
        <x:is>
          <x:t xml:space="preserve">Soulè</x:t>
        </x:is>
      </x:c>
      <x:c r="C452" t="inlineStr">
        <x:is>
          <x:t xml:space="preserve">Roma</x:t>
        </x:is>
      </x:c>
      <x:c r="D452" t="inlineStr">
        <x:is>
          <x:t xml:space="preserve">A</x:t>
        </x:is>
      </x:c>
      <x:c r="E452" t="inlineStr">
        <x:is>
          <x:t xml:space="preserve">Ballottaggio</x:t>
        </x:is>
      </x:c>
      <x:c r="F452" t="n">
        <x:v>12</x:v>
      </x:c>
      <x:c r="G452" t="n">
        <x:v>55</x:v>
      </x:c>
      <x:c r="H452" t="n">
        <x:f>ROUND(G452*504/1000,0)</x:f>
        <x:v>28</x:v>
      </x:c>
      <x:c r="I452"/>
      <x:c r="J452"/>
      <x:c r="K452"/>
    </x:row>
    <x:row r="453">
      <x:c r="A453" t="inlineStr">
        <x:is>
          <x:t xml:space="preserve">A</x:t>
        </x:is>
      </x:c>
      <x:c r="B453" t="inlineStr">
        <x:is>
          <x:t xml:space="preserve">Adams A.</x:t>
        </x:is>
      </x:c>
      <x:c r="C453" t="inlineStr">
        <x:is>
          <x:t xml:space="preserve">Venezia</x:t>
        </x:is>
      </x:c>
      <x:c r="D453" t="inlineStr">
        <x:is>
          <x:t xml:space="preserve">Pc</x:t>
        </x:is>
      </x:c>
      <x:c r="E453" t="inlineStr">
        <x:is>
          <x:t xml:space="preserve">Titolare / ballottaggio</x:t>
        </x:is>
      </x:c>
      <x:c r="F453" t="n">
        <x:v>12</x:v>
      </x:c>
      <x:c r="G453" t="n">
        <x:v>52</x:v>
      </x:c>
      <x:c r="H453" t="n">
        <x:f>ROUND(G453*504/1000,0)</x:f>
        <x:v>26</x:v>
      </x:c>
      <x:c r="I453" t="inlineStr">
        <x:is>
          <x:t xml:space="preserve">Rigorista</x:t>
        </x:is>
      </x:c>
      <x:c r="J453"/>
      <x:c r="K453"/>
    </x:row>
    <x:row r="454">
      <x:c r="A454" t="inlineStr">
        <x:is>
          <x:t xml:space="preserve">A</x:t>
        </x:is>
      </x:c>
      <x:c r="B454" t="inlineStr">
        <x:is>
          <x:t xml:space="preserve">Diao</x:t>
        </x:is>
      </x:c>
      <x:c r="C454" t="inlineStr">
        <x:is>
          <x:t xml:space="preserve">Como</x:t>
        </x:is>
      </x:c>
      <x:c r="D454" t="inlineStr">
        <x:is>
          <x:t xml:space="preserve">W;A</x:t>
        </x:is>
      </x:c>
      <x:c r="E454" t="inlineStr">
        <x:is>
          <x:t xml:space="preserve">Titolare / ballottaggio</x:t>
        </x:is>
      </x:c>
      <x:c r="F454" t="n">
        <x:v>11</x:v>
      </x:c>
      <x:c r="G454" t="n">
        <x:v>50</x:v>
      </x:c>
      <x:c r="H454" t="n">
        <x:f>ROUND(G454*504/1000,0)</x:f>
        <x:v>25</x:v>
      </x:c>
      <x:c r="I454"/>
      <x:c r="J454"/>
      <x:c r="K454"/>
    </x:row>
    <x:row r="455">
      <x:c r="A455" t="inlineStr">
        <x:is>
          <x:t xml:space="preserve">A</x:t>
        </x:is>
      </x:c>
      <x:c r="B455" t="inlineStr">
        <x:is>
          <x:t xml:space="preserve">Colombo</x:t>
        </x:is>
      </x:c>
      <x:c r="C455" t="inlineStr">
        <x:is>
          <x:t xml:space="preserve">Genoa</x:t>
        </x:is>
      </x:c>
      <x:c r="D455" t="inlineStr">
        <x:is>
          <x:t xml:space="preserve">Pc</x:t>
        </x:is>
      </x:c>
      <x:c r="E455" t="inlineStr">
        <x:is>
          <x:t xml:space="preserve">Titolare / ballottaggio</x:t>
        </x:is>
      </x:c>
      <x:c r="F455" t="n">
        <x:v>11</x:v>
      </x:c>
      <x:c r="G455" t="n">
        <x:v>63</x:v>
      </x:c>
      <x:c r="H455" t="n">
        <x:f>ROUND(G455*504/1000,0)</x:f>
        <x:v>32</x:v>
      </x:c>
      <x:c r="I455" t="inlineStr">
        <x:is>
          <x:t xml:space="preserve">Rigorista</x:t>
        </x:is>
      </x:c>
      <x:c r="J455"/>
      <x:c r="K455"/>
    </x:row>
    <x:row r="456">
      <x:c r="A456" t="inlineStr">
        <x:is>
          <x:t xml:space="preserve">A</x:t>
        </x:is>
      </x:c>
      <x:c r="B456" t="inlineStr">
        <x:is>
          <x:t xml:space="preserve">Dia</x:t>
        </x:is>
      </x:c>
      <x:c r="C456" t="inlineStr">
        <x:is>
          <x:t xml:space="preserve">Lazio</x:t>
        </x:is>
      </x:c>
      <x:c r="D456" t="inlineStr">
        <x:is>
          <x:t xml:space="preserve">A</x:t>
        </x:is>
      </x:c>
      <x:c r="E456" t="inlineStr">
        <x:is>
          <x:t xml:space="preserve">Riserva / rotazione</x:t>
        </x:is>
      </x:c>
      <x:c r="F456" t="n">
        <x:v>10</x:v>
      </x:c>
      <x:c r="G456" t="n">
        <x:v>31</x:v>
      </x:c>
      <x:c r="H456" t="n">
        <x:f>ROUND(G456*504/1000,0)</x:f>
        <x:v>16</x:v>
      </x:c>
      <x:c r="I456"/>
      <x:c r="J456"/>
      <x:c r="K456"/>
    </x:row>
    <x:row r="457">
      <x:c r="A457" t="inlineStr">
        <x:is>
          <x:t xml:space="preserve">A</x:t>
        </x:is>
      </x:c>
      <x:c r="B457" t="inlineStr">
        <x:is>
          <x:t xml:space="preserve">Ratkov</x:t>
        </x:is>
      </x:c>
      <x:c r="C457" t="inlineStr">
        <x:is>
          <x:t xml:space="preserve">Lazio</x:t>
        </x:is>
      </x:c>
      <x:c r="D457" t="inlineStr">
        <x:is>
          <x:t xml:space="preserve">Pc</x:t>
        </x:is>
      </x:c>
      <x:c r="E457" t="inlineStr">
        <x:is>
          <x:t xml:space="preserve">Riserva / rotazione</x:t>
        </x:is>
      </x:c>
      <x:c r="F457" t="n">
        <x:v>10</x:v>
      </x:c>
      <x:c r="G457" t="n">
        <x:v>32</x:v>
      </x:c>
      <x:c r="H457" t="n">
        <x:f>ROUND(G457*504/1000,0)</x:f>
        <x:v>16</x:v>
      </x:c>
      <x:c r="I457"/>
      <x:c r="J457"/>
      <x:c r="K457"/>
    </x:row>
    <x:row r="458">
      <x:c r="A458" t="inlineStr">
        <x:is>
          <x:t xml:space="preserve">A</x:t>
        </x:is>
      </x:c>
      <x:c r="B458" t="inlineStr">
        <x:is>
          <x:t xml:space="preserve">Lukaku</x:t>
        </x:is>
      </x:c>
      <x:c r="C458" t="inlineStr">
        <x:is>
          <x:t xml:space="preserve">Napoli</x:t>
        </x:is>
      </x:c>
      <x:c r="D458" t="inlineStr">
        <x:is>
          <x:t xml:space="preserve">Pc</x:t>
        </x:is>
      </x:c>
      <x:c r="E458" t="inlineStr">
        <x:is>
          <x:t xml:space="preserve">Riserva / rotazione</x:t>
        </x:is>
      </x:c>
      <x:c r="F458" t="n">
        <x:v>10</x:v>
      </x:c>
      <x:c r="G458" t="n">
        <x:v>45</x:v>
      </x:c>
      <x:c r="H458" t="n">
        <x:f>ROUND(G458*504/1000,0)</x:f>
        <x:v>23</x:v>
      </x:c>
      <x:c r="I458"/>
      <x:c r="J458"/>
      <x:c r="K458"/>
    </x:row>
    <x:row r="459">
      <x:c r="A459" t="inlineStr">
        <x:is>
          <x:t xml:space="preserve">A</x:t>
        </x:is>
      </x:c>
      <x:c r="B459" t="inlineStr">
        <x:is>
          <x:t xml:space="preserve">Bowie</x:t>
        </x:is>
      </x:c>
      <x:c r="C459" t="inlineStr">
        <x:is>
          <x:t xml:space="preserve">Sassuolo</x:t>
        </x:is>
      </x:c>
      <x:c r="D459" t="inlineStr">
        <x:is>
          <x:t xml:space="preserve">Pc</x:t>
        </x:is>
      </x:c>
      <x:c r="E459" t="inlineStr">
        <x:is>
          <x:t xml:space="preserve">Ballottaggio</x:t>
        </x:is>
      </x:c>
      <x:c r="F459" t="n">
        <x:v>10</x:v>
      </x:c>
      <x:c r="G459" t="n">
        <x:v>39</x:v>
      </x:c>
      <x:c r="H459" t="n">
        <x:f>ROUND(G459*504/1000,0)</x:f>
        <x:v>20</x:v>
      </x:c>
      <x:c r="I459"/>
      <x:c r="J459"/>
      <x:c r="K459"/>
    </x:row>
    <x:row r="460">
      <x:c r="A460" t="inlineStr">
        <x:is>
          <x:t xml:space="preserve">A</x:t>
        </x:is>
      </x:c>
      <x:c r="B460" t="inlineStr">
        <x:is>
          <x:t xml:space="preserve">Ghedjemis</x:t>
        </x:is>
      </x:c>
      <x:c r="C460" t="inlineStr">
        <x:is>
          <x:t xml:space="preserve">Frosinone</x:t>
        </x:is>
      </x:c>
      <x:c r="D460" t="inlineStr">
        <x:is>
          <x:t xml:space="preserve">W;A</x:t>
        </x:is>
      </x:c>
      <x:c r="E460" t="inlineStr">
        <x:is>
          <x:t xml:space="preserve">Titolare / ballottaggio</x:t>
        </x:is>
      </x:c>
      <x:c r="F460" t="n">
        <x:v>9</x:v>
      </x:c>
      <x:c r="G460" t="n">
        <x:v>30</x:v>
      </x:c>
      <x:c r="H460" t="n">
        <x:f>ROUND(G460*504/1000,0)</x:f>
        <x:v>15</x:v>
      </x:c>
      <x:c r="I460" t="inlineStr">
        <x:is>
          <x:t xml:space="preserve">Piazzati</x:t>
        </x:is>
      </x:c>
      <x:c r="J460"/>
      <x:c r="K460"/>
    </x:row>
    <x:row r="461">
      <x:c r="A461" t="inlineStr">
        <x:is>
          <x:t xml:space="preserve">A</x:t>
        </x:is>
      </x:c>
      <x:c r="B461" t="inlineStr">
        <x:is>
          <x:t xml:space="preserve">David</x:t>
        </x:is>
      </x:c>
      <x:c r="C461" t="inlineStr">
        <x:is>
          <x:t xml:space="preserve">Juventus</x:t>
        </x:is>
      </x:c>
      <x:c r="D461" t="inlineStr">
        <x:is>
          <x:t xml:space="preserve">Pc</x:t>
        </x:is>
      </x:c>
      <x:c r="E461" t="inlineStr">
        <x:is>
          <x:t xml:space="preserve">Riserva / rotazione</x:t>
        </x:is>
      </x:c>
      <x:c r="F461" t="n">
        <x:v>9</x:v>
      </x:c>
      <x:c r="G461" t="n">
        <x:v>40</x:v>
      </x:c>
      <x:c r="H461" t="n">
        <x:f>ROUND(G461*504/1000,0)</x:f>
        <x:v>20</x:v>
      </x:c>
      <x:c r="I461"/>
      <x:c r="J461"/>
      <x:c r="K461"/>
    </x:row>
    <x:row r="462">
      <x:c r="A462" t="inlineStr">
        <x:is>
          <x:t xml:space="preserve">A</x:t>
        </x:is>
      </x:c>
      <x:c r="B462" t="inlineStr">
        <x:is>
          <x:t xml:space="preserve">Geubbels</x:t>
        </x:is>
      </x:c>
      <x:c r="C462" t="inlineStr">
        <x:is>
          <x:t xml:space="preserve">Lecce</x:t>
        </x:is>
      </x:c>
      <x:c r="D462" t="inlineStr">
        <x:is>
          <x:t xml:space="preserve">Pc</x:t>
        </x:is>
      </x:c>
      <x:c r="E462" t="inlineStr">
        <x:is>
          <x:t xml:space="preserve">Titolare / ballottaggio</x:t>
        </x:is>
      </x:c>
      <x:c r="F462" t="n">
        <x:v>9</x:v>
      </x:c>
      <x:c r="G462" t="n">
        <x:v>25</x:v>
      </x:c>
      <x:c r="H462" t="n">
        <x:f>ROUND(G462*504/1000,0)</x:f>
        <x:v>13</x:v>
      </x:c>
      <x:c r="I462" t="inlineStr">
        <x:is>
          <x:t xml:space="preserve">Rigorista</x:t>
        </x:is>
      </x:c>
      <x:c r="J462"/>
      <x:c r="K462"/>
    </x:row>
    <x:row r="463">
      <x:c r="A463" t="inlineStr">
        <x:is>
          <x:t xml:space="preserve">A</x:t>
        </x:is>
      </x:c>
      <x:c r="B463" t="inlineStr">
        <x:is>
          <x:t xml:space="preserve">Cutrone</x:t>
        </x:is>
      </x:c>
      <x:c r="C463" t="inlineStr">
        <x:is>
          <x:t xml:space="preserve">Monza</x:t>
        </x:is>
      </x:c>
      <x:c r="D463" t="inlineStr">
        <x:is>
          <x:t xml:space="preserve">Pc</x:t>
        </x:is>
      </x:c>
      <x:c r="E463" t="inlineStr">
        <x:is>
          <x:t xml:space="preserve">Ballottaggio</x:t>
        </x:is>
      </x:c>
      <x:c r="F463" t="n">
        <x:v>9</x:v>
      </x:c>
      <x:c r="G463" t="n">
        <x:v>33</x:v>
      </x:c>
      <x:c r="H463" t="n">
        <x:f>ROUND(G463*504/1000,0)</x:f>
        <x:v>17</x:v>
      </x:c>
      <x:c r="I463" t="inlineStr">
        <x:is>
          <x:t xml:space="preserve">Rigorista</x:t>
        </x:is>
      </x:c>
      <x:c r="J463"/>
      <x:c r="K463"/>
    </x:row>
    <x:row r="464">
      <x:c r="A464" t="inlineStr">
        <x:is>
          <x:t xml:space="preserve">A</x:t>
        </x:is>
      </x:c>
      <x:c r="B464" t="inlineStr">
        <x:is>
          <x:t xml:space="preserve">Adams C.</x:t>
        </x:is>
      </x:c>
      <x:c r="C464" t="inlineStr">
        <x:is>
          <x:t xml:space="preserve">Torino</x:t>
        </x:is>
      </x:c>
      <x:c r="D464" t="inlineStr">
        <x:is>
          <x:t xml:space="preserve">A</x:t>
        </x:is>
      </x:c>
      <x:c r="E464" t="inlineStr">
        <x:is>
          <x:t xml:space="preserve">Ballottaggio</x:t>
        </x:is>
      </x:c>
      <x:c r="F464" t="n">
        <x:v>9</x:v>
      </x:c>
      <x:c r="G464" t="n">
        <x:v>32</x:v>
      </x:c>
      <x:c r="H464" t="n">
        <x:f>ROUND(G464*504/1000,0)</x:f>
        <x:v>16</x:v>
      </x:c>
      <x:c r="I464"/>
      <x:c r="J464"/>
      <x:c r="K464"/>
    </x:row>
    <x:row r="465">
      <x:c r="A465" t="inlineStr">
        <x:is>
          <x:t xml:space="preserve">A</x:t>
        </x:is>
      </x:c>
      <x:c r="B465" t="inlineStr">
        <x:is>
          <x:t xml:space="preserve">Dallinga</x:t>
        </x:is>
      </x:c>
      <x:c r="C465" t="inlineStr">
        <x:is>
          <x:t xml:space="preserve">Bologna</x:t>
        </x:is>
      </x:c>
      <x:c r="D465" t="inlineStr">
        <x:is>
          <x:t xml:space="preserve">Pc</x:t>
        </x:is>
      </x:c>
      <x:c r="E465" t="inlineStr">
        <x:is>
          <x:t xml:space="preserve">Riserva / rotazione</x:t>
        </x:is>
      </x:c>
      <x:c r="F465" t="n">
        <x:v>8</x:v>
      </x:c>
      <x:c r="G465" t="n">
        <x:v>23</x:v>
      </x:c>
      <x:c r="H465" t="n">
        <x:f>ROUND(G465*504/1000,0)</x:f>
        <x:v>12</x:v>
      </x:c>
      <x:c r="I465"/>
      <x:c r="J465"/>
      <x:c r="K465"/>
    </x:row>
    <x:row r="466">
      <x:c r="A466" t="inlineStr">
        <x:is>
          <x:t xml:space="preserve">A</x:t>
        </x:is>
      </x:c>
      <x:c r="B466" t="inlineStr">
        <x:is>
          <x:t xml:space="preserve">Piccoli</x:t>
        </x:is>
      </x:c>
      <x:c r="C466" t="inlineStr">
        <x:is>
          <x:t xml:space="preserve">Fiorentina</x:t>
        </x:is>
      </x:c>
      <x:c r="D466" t="inlineStr">
        <x:is>
          <x:t xml:space="preserve">Pc</x:t>
        </x:is>
      </x:c>
      <x:c r="E466" t="inlineStr">
        <x:is>
          <x:t xml:space="preserve">Riserva / rotazione</x:t>
        </x:is>
      </x:c>
      <x:c r="F466" t="n">
        <x:v>8</x:v>
      </x:c>
      <x:c r="G466" t="n">
        <x:v>24</x:v>
      </x:c>
      <x:c r="H466" t="n">
        <x:f>ROUND(G466*504/1000,0)</x:f>
        <x:v>12</x:v>
      </x:c>
      <x:c r="I466"/>
      <x:c r="J466"/>
      <x:c r="K466"/>
    </x:row>
    <x:row r="467">
      <x:c r="A467" t="inlineStr">
        <x:is>
          <x:t xml:space="preserve">A</x:t>
        </x:is>
      </x:c>
      <x:c r="B467" t="inlineStr">
        <x:is>
          <x:t xml:space="preserve">Vitinha O.</x:t>
        </x:is>
      </x:c>
      <x:c r="C467" t="inlineStr">
        <x:is>
          <x:t xml:space="preserve">Genoa</x:t>
        </x:is>
      </x:c>
      <x:c r="D467" t="inlineStr">
        <x:is>
          <x:t xml:space="preserve">A</x:t>
        </x:is>
      </x:c>
      <x:c r="E467" t="inlineStr">
        <x:is>
          <x:t xml:space="preserve">Titolare / ballottaggio</x:t>
        </x:is>
      </x:c>
      <x:c r="F467" t="n">
        <x:v>8</x:v>
      </x:c>
      <x:c r="G467" t="n">
        <x:v>20</x:v>
      </x:c>
      <x:c r="H467" t="n">
        <x:f>ROUND(G467*504/1000,0)</x:f>
        <x:v>10</x:v>
      </x:c>
      <x:c r="I467" t="inlineStr">
        <x:is>
          <x:t xml:space="preserve">Rigorista · Piazzati</x:t>
        </x:is>
      </x:c>
      <x:c r="J467"/>
      <x:c r="K467"/>
    </x:row>
    <x:row r="468">
      <x:c r="A468" t="inlineStr">
        <x:is>
          <x:t xml:space="preserve">A</x:t>
        </x:is>
      </x:c>
      <x:c r="B468" t="inlineStr">
        <x:is>
          <x:t xml:space="preserve">Rrahmani Al.</x:t>
        </x:is>
      </x:c>
      <x:c r="C468" t="inlineStr">
        <x:is>
          <x:t xml:space="preserve">Venezia</x:t>
        </x:is>
      </x:c>
      <x:c r="D468" t="inlineStr">
        <x:is>
          <x:t xml:space="preserve">Pc</x:t>
        </x:is>
      </x:c>
      <x:c r="E468" t="inlineStr">
        <x:is>
          <x:t xml:space="preserve">Ballottaggio</x:t>
        </x:is>
      </x:c>
      <x:c r="F468" t="n">
        <x:v>8</x:v>
      </x:c>
      <x:c r="G468" t="n">
        <x:v>20</x:v>
      </x:c>
      <x:c r="H468" t="n">
        <x:f>ROUND(G468*504/1000,0)</x:f>
        <x:v>10</x:v>
      </x:c>
      <x:c r="I468"/>
      <x:c r="J468"/>
      <x:c r="K468"/>
    </x:row>
    <x:row r="469">
      <x:c r="A469" t="inlineStr">
        <x:is>
          <x:t xml:space="preserve">A</x:t>
        </x:is>
      </x:c>
      <x:c r="B469" t="inlineStr">
        <x:is>
          <x:t xml:space="preserve">Yeboah J.</x:t>
        </x:is>
      </x:c>
      <x:c r="C469" t="inlineStr">
        <x:is>
          <x:t xml:space="preserve">Venezia</x:t>
        </x:is>
      </x:c>
      <x:c r="D469" t="inlineStr">
        <x:is>
          <x:t xml:space="preserve">A</x:t>
        </x:is>
      </x:c>
      <x:c r="E469" t="inlineStr">
        <x:is>
          <x:t xml:space="preserve">Titolare</x:t>
        </x:is>
      </x:c>
      <x:c r="F469" t="n">
        <x:v>8</x:v>
      </x:c>
      <x:c r="G469" t="n">
        <x:v>28</x:v>
      </x:c>
      <x:c r="H469" t="n">
        <x:f>ROUND(G469*504/1000,0)</x:f>
        <x:v>14</x:v>
      </x:c>
      <x:c r="I469" t="inlineStr">
        <x:is>
          <x:t xml:space="preserve">Piazzati</x:t>
        </x:is>
      </x:c>
      <x:c r="J469"/>
      <x:c r="K469"/>
    </x:row>
    <x:row r="470">
      <x:c r="A470" t="inlineStr">
        <x:is>
          <x:t xml:space="preserve">A</x:t>
        </x:is>
      </x:c>
      <x:c r="B470" t="inlineStr">
        <x:is>
          <x:t xml:space="preserve">Raimondo</x:t>
        </x:is>
      </x:c>
      <x:c r="C470" t="inlineStr">
        <x:is>
          <x:t xml:space="preserve">Frosinone</x:t>
        </x:is>
      </x:c>
      <x:c r="D470" t="inlineStr">
        <x:is>
          <x:t xml:space="preserve">Pc</x:t>
        </x:is>
      </x:c>
      <x:c r="E470" t="inlineStr">
        <x:is>
          <x:t xml:space="preserve">Titolare / ballottaggio</x:t>
        </x:is>
      </x:c>
      <x:c r="F470" t="n">
        <x:v>7</x:v>
      </x:c>
      <x:c r="G470" t="n">
        <x:v>24</x:v>
      </x:c>
      <x:c r="H470" t="n">
        <x:f>ROUND(G470*504/1000,0)</x:f>
        <x:v>12</x:v>
      </x:c>
      <x:c r="I470"/>
      <x:c r="J470"/>
      <x:c r="K470"/>
    </x:row>
    <x:row r="471">
      <x:c r="A471" t="inlineStr">
        <x:is>
          <x:t xml:space="preserve">A</x:t>
        </x:is>
      </x:c>
      <x:c r="B471" t="inlineStr">
        <x:is>
          <x:t xml:space="preserve">Bonny</x:t>
        </x:is>
      </x:c>
      <x:c r="C471" t="inlineStr">
        <x:is>
          <x:t xml:space="preserve">Inter</x:t>
        </x:is>
      </x:c>
      <x:c r="D471" t="inlineStr">
        <x:is>
          <x:t xml:space="preserve">Pc</x:t>
        </x:is>
      </x:c>
      <x:c r="E471" t="inlineStr">
        <x:is>
          <x:t xml:space="preserve">Riserva / rotazione</x:t>
        </x:is>
      </x:c>
      <x:c r="F471" t="n">
        <x:v>7</x:v>
      </x:c>
      <x:c r="G471" t="n">
        <x:v>21</x:v>
      </x:c>
      <x:c r="H471" t="n">
        <x:f>ROUND(G471*504/1000,0)</x:f>
        <x:v>11</x:v>
      </x:c>
      <x:c r="I471"/>
      <x:c r="J471"/>
      <x:c r="K471"/>
    </x:row>
    <x:row r="472">
      <x:c r="A472" t="inlineStr">
        <x:is>
          <x:t xml:space="preserve">A</x:t>
        </x:is>
      </x:c>
      <x:c r="B472" t="inlineStr">
        <x:is>
          <x:t xml:space="preserve">Stulic</x:t>
        </x:is>
      </x:c>
      <x:c r="C472" t="inlineStr">
        <x:is>
          <x:t xml:space="preserve">Lecce</x:t>
        </x:is>
      </x:c>
      <x:c r="D472" t="inlineStr">
        <x:is>
          <x:t xml:space="preserve">Pc</x:t>
        </x:is>
      </x:c>
      <x:c r="E472" t="inlineStr">
        <x:is>
          <x:t xml:space="preserve">Ballottaggio</x:t>
        </x:is>
      </x:c>
      <x:c r="F472" t="n">
        <x:v>7</x:v>
      </x:c>
      <x:c r="G472" t="n">
        <x:v>18</x:v>
      </x:c>
      <x:c r="H472" t="n">
        <x:f>ROUND(G472*504/1000,0)</x:f>
        <x:v>9</x:v>
      </x:c>
      <x:c r="I472" t="inlineStr">
        <x:is>
          <x:t xml:space="preserve">Rigorista</x:t>
        </x:is>
      </x:c>
      <x:c r="J472"/>
      <x:c r="K472"/>
    </x:row>
    <x:row r="473">
      <x:c r="A473" t="inlineStr">
        <x:is>
          <x:t xml:space="preserve">A</x:t>
        </x:is>
      </x:c>
      <x:c r="B473" t="inlineStr">
        <x:is>
          <x:t xml:space="preserve">Zapata D.</x:t>
        </x:is>
      </x:c>
      <x:c r="C473" t="inlineStr">
        <x:is>
          <x:t xml:space="preserve">Torino</x:t>
        </x:is>
      </x:c>
      <x:c r="D473" t="inlineStr">
        <x:is>
          <x:t xml:space="preserve">Pc</x:t>
        </x:is>
      </x:c>
      <x:c r="E473" t="inlineStr">
        <x:is>
          <x:t xml:space="preserve">Riserva / rotazione</x:t>
        </x:is>
      </x:c>
      <x:c r="F473" t="n">
        <x:v>7</x:v>
      </x:c>
      <x:c r="G473" t="n">
        <x:v>18</x:v>
      </x:c>
      <x:c r="H473" t="n">
        <x:f>ROUND(G473*504/1000,0)</x:f>
        <x:v>9</x:v>
      </x:c>
      <x:c r="I473"/>
      <x:c r="J473"/>
      <x:c r="K473"/>
    </x:row>
    <x:row r="474">
      <x:c r="A474" t="inlineStr">
        <x:is>
          <x:t xml:space="preserve">A</x:t>
        </x:is>
      </x:c>
      <x:c r="B474" t="inlineStr">
        <x:is>
          <x:t xml:space="preserve">Sulemana K.</x:t>
        </x:is>
      </x:c>
      <x:c r="C474" t="inlineStr">
        <x:is>
          <x:t xml:space="preserve">Atalanta</x:t>
        </x:is>
      </x:c>
      <x:c r="D474" t="inlineStr">
        <x:is>
          <x:t xml:space="preserve">A</x:t>
        </x:is>
      </x:c>
      <x:c r="E474" t="inlineStr">
        <x:is>
          <x:t xml:space="preserve">Riserva / rotazione</x:t>
        </x:is>
      </x:c>
      <x:c r="F474" t="n">
        <x:v>6</x:v>
      </x:c>
      <x:c r="G474" t="n">
        <x:v>16</x:v>
      </x:c>
      <x:c r="H474" t="n">
        <x:f>ROUND(G474*504/1000,0)</x:f>
        <x:v>8</x:v>
      </x:c>
      <x:c r="I474"/>
      <x:c r="J474"/>
      <x:c r="K474"/>
    </x:row>
    <x:row r="475">
      <x:c r="A475" t="inlineStr">
        <x:is>
          <x:t xml:space="preserve">A</x:t>
        </x:is>
      </x:c>
      <x:c r="B475" t="inlineStr">
        <x:is>
          <x:t xml:space="preserve">Mutandwa</x:t>
        </x:is>
      </x:c>
      <x:c r="C475" t="inlineStr">
        <x:is>
          <x:t xml:space="preserve">Cagliari</x:t>
        </x:is>
      </x:c>
      <x:c r="D475" t="inlineStr">
        <x:is>
          <x:t xml:space="preserve">Pc</x:t>
        </x:is>
      </x:c>
      <x:c r="E475" t="inlineStr">
        <x:is>
          <x:t xml:space="preserve">Riserva / rotazione</x:t>
        </x:is>
      </x:c>
      <x:c r="F475" t="n">
        <x:v>6</x:v>
      </x:c>
      <x:c r="G475" t="n">
        <x:v>19</x:v>
      </x:c>
      <x:c r="H475" t="n">
        <x:f>ROUND(G475*504/1000,0)</x:f>
        <x:v>10</x:v>
      </x:c>
      <x:c r="I475"/>
      <x:c r="J475"/>
      <x:c r="K475"/>
    </x:row>
    <x:row r="476">
      <x:c r="A476" t="inlineStr">
        <x:is>
          <x:t xml:space="preserve">A</x:t>
        </x:is>
      </x:c>
      <x:c r="B476" t="inlineStr">
        <x:is>
          <x:t xml:space="preserve">Boga</x:t>
        </x:is>
      </x:c>
      <x:c r="C476" t="inlineStr">
        <x:is>
          <x:t xml:space="preserve">Juventus</x:t>
        </x:is>
      </x:c>
      <x:c r="D476" t="inlineStr">
        <x:is>
          <x:t xml:space="preserve">W;A</x:t>
        </x:is>
      </x:c>
      <x:c r="E476" t="inlineStr">
        <x:is>
          <x:t xml:space="preserve">Riserva / rotazione</x:t>
        </x:is>
      </x:c>
      <x:c r="F476" t="n">
        <x:v>6</x:v>
      </x:c>
      <x:c r="G476" t="n">
        <x:v>25</x:v>
      </x:c>
      <x:c r="H476" t="n">
        <x:f>ROUND(G476*504/1000,0)</x:f>
        <x:v>13</x:v>
      </x:c>
      <x:c r="I476"/>
      <x:c r="J476"/>
      <x:c r="K476"/>
    </x:row>
    <x:row r="477">
      <x:c r="A477" t="inlineStr">
        <x:is>
          <x:t xml:space="preserve">A</x:t>
        </x:is>
      </x:c>
      <x:c r="B477" t="inlineStr">
        <x:is>
          <x:t xml:space="preserve">Noslin</x:t>
        </x:is>
      </x:c>
      <x:c r="C477" t="inlineStr">
        <x:is>
          <x:t xml:space="preserve">Lazio</x:t>
        </x:is>
      </x:c>
      <x:c r="D477" t="inlineStr">
        <x:is>
          <x:t xml:space="preserve">A</x:t>
        </x:is>
      </x:c>
      <x:c r="E477" t="inlineStr">
        <x:is>
          <x:t xml:space="preserve">Riserva / rotazione</x:t>
        </x:is>
      </x:c>
      <x:c r="F477" t="n">
        <x:v>6</x:v>
      </x:c>
      <x:c r="G477" t="n">
        <x:v>17</x:v>
      </x:c>
      <x:c r="H477" t="n">
        <x:f>ROUND(G477*504/1000,0)</x:f>
        <x:v>9</x:v>
      </x:c>
      <x:c r="I477"/>
      <x:c r="J477"/>
      <x:c r="K477"/>
    </x:row>
    <x:row r="478">
      <x:c r="A478" t="inlineStr">
        <x:is>
          <x:t xml:space="preserve">A</x:t>
        </x:is>
      </x:c>
      <x:c r="B478" t="inlineStr">
        <x:is>
          <x:t xml:space="preserve">Gimenez</x:t>
        </x:is>
      </x:c>
      <x:c r="C478" t="inlineStr">
        <x:is>
          <x:t xml:space="preserve">Milan</x:t>
        </x:is>
      </x:c>
      <x:c r="D478" t="inlineStr">
        <x:is>
          <x:t xml:space="preserve">Pc</x:t>
        </x:is>
      </x:c>
      <x:c r="E478" t="inlineStr">
        <x:is>
          <x:t xml:space="preserve">Riserva / rotazione</x:t>
        </x:is>
      </x:c>
      <x:c r="F478" t="n">
        <x:v>6</x:v>
      </x:c>
      <x:c r="G478" t="n">
        <x:v>14</x:v>
      </x:c>
      <x:c r="H478" t="n">
        <x:f>ROUND(G478*504/1000,0)</x:f>
        <x:v>7</x:v>
      </x:c>
      <x:c r="I478"/>
      <x:c r="J478"/>
      <x:c r="K478"/>
    </x:row>
    <x:row r="479">
      <x:c r="A479" t="inlineStr">
        <x:is>
          <x:t xml:space="preserve">A</x:t>
        </x:is>
      </x:c>
      <x:c r="B479" t="inlineStr">
        <x:is>
          <x:t xml:space="preserve">Neres</x:t>
        </x:is>
      </x:c>
      <x:c r="C479" t="inlineStr">
        <x:is>
          <x:t xml:space="preserve">Napoli</x:t>
        </x:is>
      </x:c>
      <x:c r="D479" t="inlineStr">
        <x:is>
          <x:t xml:space="preserve">W;A</x:t>
        </x:is>
      </x:c>
      <x:c r="E479" t="inlineStr">
        <x:is>
          <x:t xml:space="preserve">Ballottaggio</x:t>
        </x:is>
      </x:c>
      <x:c r="F479" t="n">
        <x:v>6</x:v>
      </x:c>
      <x:c r="G479" t="n">
        <x:v>22</x:v>
      </x:c>
      <x:c r="H479" t="n">
        <x:f>ROUND(G479*504/1000,0)</x:f>
        <x:v>11</x:v>
      </x:c>
      <x:c r="I479" t="inlineStr">
        <x:is>
          <x:t xml:space="preserve">Piazzati</x:t>
        </x:is>
      </x:c>
      <x:c r="J479"/>
      <x:c r="K479"/>
    </x:row>
    <x:row r="480">
      <x:c r="A480" t="inlineStr">
        <x:is>
          <x:t xml:space="preserve">A</x:t>
        </x:is>
      </x:c>
      <x:c r="B480" t="inlineStr">
        <x:is>
          <x:t xml:space="preserve">Maldini</x:t>
        </x:is>
      </x:c>
      <x:c r="C480" t="inlineStr">
        <x:is>
          <x:t xml:space="preserve">Atalanta</x:t>
        </x:is>
      </x:c>
      <x:c r="D480" t="inlineStr">
        <x:is>
          <x:t xml:space="preserve">T;A</x:t>
        </x:is>
      </x:c>
      <x:c r="E480" t="inlineStr">
        <x:is>
          <x:t xml:space="preserve">Riserva / rotazione</x:t>
        </x:is>
      </x:c>
      <x:c r="F480" t="n">
        <x:v>5</x:v>
      </x:c>
      <x:c r="G480" t="n">
        <x:v>14</x:v>
      </x:c>
      <x:c r="H480" t="n">
        <x:f>ROUND(G480*504/1000,0)</x:f>
        <x:v>7</x:v>
      </x:c>
      <x:c r="I480"/>
      <x:c r="J480"/>
      <x:c r="K480"/>
    </x:row>
    <x:row r="481">
      <x:c r="A481" t="inlineStr">
        <x:is>
          <x:t xml:space="preserve">A</x:t>
        </x:is>
      </x:c>
      <x:c r="B481" t="inlineStr">
        <x:is>
          <x:t xml:space="preserve">Camarda</x:t>
        </x:is>
      </x:c>
      <x:c r="C481" t="inlineStr">
        <x:is>
          <x:t xml:space="preserve">Milan</x:t>
        </x:is>
      </x:c>
      <x:c r="D481" t="inlineStr">
        <x:is>
          <x:t xml:space="preserve">Pc</x:t>
        </x:is>
      </x:c>
      <x:c r="E481" t="inlineStr">
        <x:is>
          <x:t xml:space="preserve">Riserva / rotazione</x:t>
        </x:is>
      </x:c>
      <x:c r="F481" t="n">
        <x:v>5</x:v>
      </x:c>
      <x:c r="G481" t="n">
        <x:v>18</x:v>
      </x:c>
      <x:c r="H481" t="n">
        <x:f>ROUND(G481*504/1000,0)</x:f>
        <x:v>9</x:v>
      </x:c>
      <x:c r="I481"/>
      <x:c r="J481"/>
      <x:c r="K481"/>
    </x:row>
    <x:row r="482">
      <x:c r="A482" t="inlineStr">
        <x:is>
          <x:t xml:space="preserve">A</x:t>
        </x:is>
      </x:c>
      <x:c r="B482" t="inlineStr">
        <x:is>
          <x:t xml:space="preserve">Mota</x:t>
        </x:is>
      </x:c>
      <x:c r="C482" t="inlineStr">
        <x:is>
          <x:t xml:space="preserve">Monza</x:t>
        </x:is>
      </x:c>
      <x:c r="D482" t="inlineStr">
        <x:is>
          <x:t xml:space="preserve">A</x:t>
        </x:is>
      </x:c>
      <x:c r="E482" t="inlineStr">
        <x:is>
          <x:t xml:space="preserve">Riserva / rotazione</x:t>
        </x:is>
      </x:c>
      <x:c r="F482" t="n">
        <x:v>5</x:v>
      </x:c>
      <x:c r="G482" t="n">
        <x:v>18</x:v>
      </x:c>
      <x:c r="H482" t="n">
        <x:f>ROUND(G482*504/1000,0)</x:f>
        <x:v>9</x:v>
      </x:c>
      <x:c r="I482"/>
      <x:c r="J482"/>
      <x:c r="K482"/>
    </x:row>
    <x:row r="483">
      <x:c r="A483" t="inlineStr">
        <x:is>
          <x:t xml:space="preserve">A</x:t>
        </x:is>
      </x:c>
      <x:c r="B483" t="inlineStr">
        <x:is>
          <x:t xml:space="preserve">Frigan</x:t>
        </x:is>
      </x:c>
      <x:c r="C483" t="inlineStr">
        <x:is>
          <x:t xml:space="preserve">Parma</x:t>
        </x:is>
      </x:c>
      <x:c r="D483" t="inlineStr">
        <x:is>
          <x:t xml:space="preserve">A</x:t>
        </x:is>
      </x:c>
      <x:c r="E483" t="inlineStr">
        <x:is>
          <x:t xml:space="preserve">Riserva / rotazione</x:t>
        </x:is>
      </x:c>
      <x:c r="F483" t="n">
        <x:v>5</x:v>
      </x:c>
      <x:c r="G483" t="n">
        <x:v>13</x:v>
      </x:c>
      <x:c r="H483" t="n">
        <x:f>ROUND(G483*504/1000,0)</x:f>
        <x:v>7</x:v>
      </x:c>
      <x:c r="I483"/>
      <x:c r="J483"/>
      <x:c r="K483"/>
    </x:row>
    <x:row r="484">
      <x:c r="A484" t="inlineStr">
        <x:is>
          <x:t xml:space="preserve">A</x:t>
        </x:is>
      </x:c>
      <x:c r="B484" t="inlineStr">
        <x:is>
          <x:t xml:space="preserve">Adorante</x:t>
        </x:is>
      </x:c>
      <x:c r="C484" t="inlineStr">
        <x:is>
          <x:t xml:space="preserve">Venezia</x:t>
        </x:is>
      </x:c>
      <x:c r="D484" t="inlineStr">
        <x:is>
          <x:t xml:space="preserve">Pc</x:t>
        </x:is>
      </x:c>
      <x:c r="E484" t="inlineStr">
        <x:is>
          <x:t xml:space="preserve">Riserva / rotazione</x:t>
        </x:is>
      </x:c>
      <x:c r="F484" t="n">
        <x:v>5</x:v>
      </x:c>
      <x:c r="G484" t="n">
        <x:v>14</x:v>
      </x:c>
      <x:c r="H484" t="n">
        <x:f>ROUND(G484*504/1000,0)</x:f>
        <x:v>7</x:v>
      </x:c>
      <x:c r="I484" t="inlineStr">
        <x:is>
          <x:t xml:space="preserve">Rigorista</x:t>
        </x:is>
      </x:c>
      <x:c r="J484"/>
      <x:c r="K484"/>
    </x:row>
    <x:row r="485">
      <x:c r="A485" t="inlineStr">
        <x:is>
          <x:t xml:space="preserve">A</x:t>
        </x:is>
      </x:c>
      <x:c r="B485" t="inlineStr">
        <x:is>
          <x:t xml:space="preserve">Borrelli</x:t>
        </x:is>
      </x:c>
      <x:c r="C485" t="inlineStr">
        <x:is>
          <x:t xml:space="preserve">Cagliari</x:t>
        </x:is>
      </x:c>
      <x:c r="D485" t="inlineStr">
        <x:is>
          <x:t xml:space="preserve">Pc</x:t>
        </x:is>
      </x:c>
      <x:c r="E485" t="inlineStr">
        <x:is>
          <x:t xml:space="preserve">Riserva / rotazione</x:t>
        </x:is>
      </x:c>
      <x:c r="F485" t="n">
        <x:v>4</x:v>
      </x:c>
      <x:c r="G485" t="n">
        <x:v>9</x:v>
      </x:c>
      <x:c r="H485" t="n">
        <x:f>ROUND(G485*504/1000,0)</x:f>
        <x:v>5</x:v>
      </x:c>
      <x:c r="I485"/>
      <x:c r="J485"/>
      <x:c r="K485"/>
    </x:row>
    <x:row r="486">
      <x:c r="A486" t="inlineStr">
        <x:is>
          <x:t xml:space="preserve">A</x:t>
        </x:is>
      </x:c>
      <x:c r="B486" t="inlineStr">
        <x:is>
          <x:t xml:space="preserve">Mendy P.</x:t>
        </x:is>
      </x:c>
      <x:c r="C486" t="inlineStr">
        <x:is>
          <x:t xml:space="preserve">Cagliari</x:t>
        </x:is>
      </x:c>
      <x:c r="D486" t="inlineStr">
        <x:is>
          <x:t xml:space="preserve">Pc</x:t>
        </x:is>
      </x:c>
      <x:c r="E486" t="inlineStr">
        <x:is>
          <x:t xml:space="preserve">Riserva / rotazione</x:t>
        </x:is>
      </x:c>
      <x:c r="F486" t="n">
        <x:v>4</x:v>
      </x:c>
      <x:c r="G486" t="n">
        <x:v>9</x:v>
      </x:c>
      <x:c r="H486" t="n">
        <x:f>ROUND(G486*504/1000,0)</x:f>
        <x:v>5</x:v>
      </x:c>
      <x:c r="I486"/>
      <x:c r="J486"/>
      <x:c r="K486"/>
    </x:row>
    <x:row r="487">
      <x:c r="A487" t="inlineStr">
        <x:is>
          <x:t xml:space="preserve">A</x:t>
        </x:is>
      </x:c>
      <x:c r="B487" t="inlineStr">
        <x:is>
          <x:t xml:space="preserve">Morata</x:t>
        </x:is>
      </x:c>
      <x:c r="C487" t="inlineStr">
        <x:is>
          <x:t xml:space="preserve">Como</x:t>
        </x:is>
      </x:c>
      <x:c r="D487" t="inlineStr">
        <x:is>
          <x:t xml:space="preserve">Pc</x:t>
        </x:is>
      </x:c>
      <x:c r="E487" t="inlineStr">
        <x:is>
          <x:t xml:space="preserve">Riserva / rotazione</x:t>
        </x:is>
      </x:c>
      <x:c r="F487" t="n">
        <x:v>4</x:v>
      </x:c>
      <x:c r="G487" t="n">
        <x:v>10</x:v>
      </x:c>
      <x:c r="H487" t="n">
        <x:f>ROUND(G487*504/1000,0)</x:f>
        <x:v>5</x:v>
      </x:c>
      <x:c r="I487"/>
      <x:c r="J487"/>
      <x:c r="K487"/>
    </x:row>
    <x:row r="488">
      <x:c r="A488" t="inlineStr">
        <x:is>
          <x:t xml:space="preserve">A</x:t>
        </x:is>
      </x:c>
      <x:c r="B488" t="inlineStr">
        <x:is>
          <x:t xml:space="preserve">Kvernadze</x:t>
        </x:is>
      </x:c>
      <x:c r="C488" t="inlineStr">
        <x:is>
          <x:t xml:space="preserve">Frosinone</x:t>
        </x:is>
      </x:c>
      <x:c r="D488" t="inlineStr">
        <x:is>
          <x:t xml:space="preserve">W;A</x:t>
        </x:is>
      </x:c>
      <x:c r="E488" t="inlineStr">
        <x:is>
          <x:t xml:space="preserve">Titolare</x:t>
        </x:is>
      </x:c>
      <x:c r="F488" t="n">
        <x:v>4</x:v>
      </x:c>
      <x:c r="G488" t="n">
        <x:v>15</x:v>
      </x:c>
      <x:c r="H488" t="n">
        <x:f>ROUND(G488*504/1000,0)</x:f>
        <x:v>8</x:v>
      </x:c>
      <x:c r="I488"/>
      <x:c r="J488"/>
      <x:c r="K488"/>
    </x:row>
    <x:row r="489">
      <x:c r="A489" t="inlineStr">
        <x:is>
          <x:t xml:space="preserve">A</x:t>
        </x:is>
      </x:c>
      <x:c r="B489" t="inlineStr">
        <x:is>
          <x:t xml:space="preserve">Havel</x:t>
        </x:is>
      </x:c>
      <x:c r="C489" t="inlineStr">
        <x:is>
          <x:t xml:space="preserve">Genoa</x:t>
        </x:is>
      </x:c>
      <x:c r="D489" t="inlineStr">
        <x:is>
          <x:t xml:space="preserve">Pc</x:t>
        </x:is>
      </x:c>
      <x:c r="E489" t="inlineStr">
        <x:is>
          <x:t xml:space="preserve">Riserva / rotazione</x:t>
        </x:is>
      </x:c>
      <x:c r="F489" t="n">
        <x:v>4</x:v>
      </x:c>
      <x:c r="G489" t="n">
        <x:v>9</x:v>
      </x:c>
      <x:c r="H489" t="n">
        <x:f>ROUND(G489*504/1000,0)</x:f>
        <x:v>5</x:v>
      </x:c>
      <x:c r="I489"/>
      <x:c r="J489"/>
      <x:c r="K489"/>
    </x:row>
    <x:row r="490">
      <x:c r="A490" t="inlineStr">
        <x:is>
          <x:t xml:space="preserve">A</x:t>
        </x:is>
      </x:c>
      <x:c r="B490" t="inlineStr">
        <x:is>
          <x:t xml:space="preserve">Giovane</x:t>
        </x:is>
      </x:c>
      <x:c r="C490" t="inlineStr">
        <x:is>
          <x:t xml:space="preserve">Napoli</x:t>
        </x:is>
      </x:c>
      <x:c r="D490" t="inlineStr">
        <x:is>
          <x:t xml:space="preserve">A</x:t>
        </x:is>
      </x:c>
      <x:c r="E490" t="inlineStr">
        <x:is>
          <x:t xml:space="preserve">Riserva / rotazione</x:t>
        </x:is>
      </x:c>
      <x:c r="F490" t="n">
        <x:v>4</x:v>
      </x:c>
      <x:c r="G490" t="n">
        <x:v>10</x:v>
      </x:c>
      <x:c r="H490" t="n">
        <x:f>ROUND(G490*504/1000,0)</x:f>
        <x:v>5</x:v>
      </x:c>
      <x:c r="I490"/>
      <x:c r="J490"/>
      <x:c r="K490"/>
    </x:row>
    <x:row r="491">
      <x:c r="A491" t="inlineStr">
        <x:is>
          <x:t xml:space="preserve">A</x:t>
        </x:is>
      </x:c>
      <x:c r="B491" t="inlineStr">
        <x:is>
          <x:t xml:space="preserve">Kulenovic</x:t>
        </x:is>
      </x:c>
      <x:c r="C491" t="inlineStr">
        <x:is>
          <x:t xml:space="preserve">Torino</x:t>
        </x:is>
      </x:c>
      <x:c r="D491" t="inlineStr">
        <x:is>
          <x:t xml:space="preserve">Pc</x:t>
        </x:is>
      </x:c>
      <x:c r="E491" t="inlineStr">
        <x:is>
          <x:t xml:space="preserve">Riserva / rotazione</x:t>
        </x:is>
      </x:c>
      <x:c r="F491" t="n">
        <x:v>4</x:v>
      </x:c>
      <x:c r="G491" t="n">
        <x:v>9</x:v>
      </x:c>
      <x:c r="H491" t="n">
        <x:f>ROUND(G491*504/1000,0)</x:f>
        <x:v>5</x:v>
      </x:c>
      <x:c r="I491"/>
      <x:c r="J491"/>
      <x:c r="K491"/>
    </x:row>
    <x:row r="492">
      <x:c r="A492" t="inlineStr">
        <x:is>
          <x:t xml:space="preserve">A</x:t>
        </x:is>
      </x:c>
      <x:c r="B492" t="inlineStr">
        <x:is>
          <x:t xml:space="preserve">Gueye</x:t>
        </x:is>
      </x:c>
      <x:c r="C492" t="inlineStr">
        <x:is>
          <x:t xml:space="preserve">Udinese</x:t>
        </x:is>
      </x:c>
      <x:c r="D492" t="inlineStr">
        <x:is>
          <x:t xml:space="preserve">Pc</x:t>
        </x:is>
      </x:c>
      <x:c r="E492" t="inlineStr">
        <x:is>
          <x:t xml:space="preserve">Riserva / rotazione</x:t>
        </x:is>
      </x:c>
      <x:c r="F492" t="n">
        <x:v>4</x:v>
      </x:c>
      <x:c r="G492" t="n">
        <x:v>7</x:v>
      </x:c>
      <x:c r="H492" t="n">
        <x:f>ROUND(G492*504/1000,0)</x:f>
        <x:v>4</x:v>
      </x:c>
      <x:c r="I492"/>
      <x:c r="J492"/>
      <x:c r="K492"/>
    </x:row>
    <x:row r="493">
      <x:c r="A493" t="inlineStr">
        <x:is>
          <x:t xml:space="preserve">A</x:t>
        </x:is>
      </x:c>
      <x:c r="B493" t="inlineStr">
        <x:is>
          <x:t xml:space="preserve">Kuhn</x:t>
        </x:is>
      </x:c>
      <x:c r="C493" t="inlineStr">
        <x:is>
          <x:t xml:space="preserve">Como</x:t>
        </x:is>
      </x:c>
      <x:c r="D493" t="inlineStr">
        <x:is>
          <x:t xml:space="preserve">W;A</x:t>
        </x:is>
      </x:c>
      <x:c r="E493" t="inlineStr">
        <x:is>
          <x:t xml:space="preserve">Riserva / rotazione</x:t>
        </x:is>
      </x:c>
      <x:c r="F493" t="n">
        <x:v>3</x:v>
      </x:c>
      <x:c r="G493" t="n">
        <x:v>5</x:v>
      </x:c>
      <x:c r="H493" t="n">
        <x:f>ROUND(G493*504/1000,0)</x:f>
        <x:v>3</x:v>
      </x:c>
      <x:c r="I493"/>
      <x:c r="J493"/>
      <x:c r="K493"/>
    </x:row>
    <x:row r="494">
      <x:c r="A494" t="inlineStr">
        <x:is>
          <x:t xml:space="preserve">A</x:t>
        </x:is>
      </x:c>
      <x:c r="B494" t="inlineStr">
        <x:is>
          <x:t xml:space="preserve">Ekhator</x:t>
        </x:is>
      </x:c>
      <x:c r="C494" t="inlineStr">
        <x:is>
          <x:t xml:space="preserve">Juventus</x:t>
        </x:is>
      </x:c>
      <x:c r="D494" t="inlineStr">
        <x:is>
          <x:t xml:space="preserve">A</x:t>
        </x:is>
      </x:c>
      <x:c r="E494" t="inlineStr">
        <x:is>
          <x:t xml:space="preserve">Riserva / rotazione</x:t>
        </x:is>
      </x:c>
      <x:c r="F494" t="n">
        <x:v>3</x:v>
      </x:c>
      <x:c r="G494" t="n">
        <x:v>10</x:v>
      </x:c>
      <x:c r="H494" t="n">
        <x:f>ROUND(G494*504/1000,0)</x:f>
        <x:v>5</x:v>
      </x:c>
      <x:c r="I494"/>
      <x:c r="J494"/>
      <x:c r="K494"/>
    </x:row>
    <x:row r="495">
      <x:c r="A495" t="inlineStr">
        <x:is>
          <x:t xml:space="preserve">A</x:t>
        </x:is>
      </x:c>
      <x:c r="B495" t="inlineStr">
        <x:is>
          <x:t xml:space="preserve">N'Dri</x:t>
        </x:is>
      </x:c>
      <x:c r="C495" t="inlineStr">
        <x:is>
          <x:t xml:space="preserve">Lecce</x:t>
        </x:is>
      </x:c>
      <x:c r="D495" t="inlineStr">
        <x:is>
          <x:t xml:space="preserve">W;A</x:t>
        </x:is>
      </x:c>
      <x:c r="E495" t="inlineStr">
        <x:is>
          <x:t xml:space="preserve">Riserva / rotazione</x:t>
        </x:is>
      </x:c>
      <x:c r="F495" t="n">
        <x:v>3</x:v>
      </x:c>
      <x:c r="G495" t="n">
        <x:v>9</x:v>
      </x:c>
      <x:c r="H495" t="n">
        <x:f>ROUND(G495*504/1000,0)</x:f>
        <x:v>5</x:v>
      </x:c>
      <x:c r="I495"/>
      <x:c r="J495"/>
      <x:c r="K495"/>
    </x:row>
    <x:row r="496">
      <x:c r="A496" t="inlineStr">
        <x:is>
          <x:t xml:space="preserve">A</x:t>
        </x:is>
      </x:c>
      <x:c r="B496" t="inlineStr">
        <x:is>
          <x:t xml:space="preserve">Varela G.</x:t>
        </x:is>
      </x:c>
      <x:c r="C496" t="inlineStr">
        <x:is>
          <x:t xml:space="preserve">Monza</x:t>
        </x:is>
      </x:c>
      <x:c r="D496" t="inlineStr">
        <x:is>
          <x:t xml:space="preserve">Pc</x:t>
        </x:is>
      </x:c>
      <x:c r="E496" t="inlineStr">
        <x:is>
          <x:t xml:space="preserve">Titolare / ballottaggio</x:t>
        </x:is>
      </x:c>
      <x:c r="F496" t="n">
        <x:v>3</x:v>
      </x:c>
      <x:c r="G496" t="n">
        <x:v>7</x:v>
      </x:c>
      <x:c r="H496" t="n">
        <x:f>ROUND(G496*504/1000,0)</x:f>
        <x:v>4</x:v>
      </x:c>
      <x:c r="I496" t="inlineStr">
        <x:is>
          <x:t xml:space="preserve">Rigorista</x:t>
        </x:is>
      </x:c>
      <x:c r="J496"/>
      <x:c r="K496"/>
    </x:row>
    <x:row r="497">
      <x:c r="A497" t="inlineStr">
        <x:is>
          <x:t xml:space="preserve">A</x:t>
        </x:is>
      </x:c>
      <x:c r="B497" t="inlineStr">
        <x:is>
          <x:t xml:space="preserve">Lang</x:t>
        </x:is>
      </x:c>
      <x:c r="C497" t="inlineStr">
        <x:is>
          <x:t xml:space="preserve">Napoli</x:t>
        </x:is>
      </x:c>
      <x:c r="D497" t="inlineStr">
        <x:is>
          <x:t xml:space="preserve">A</x:t>
        </x:is>
      </x:c>
      <x:c r="E497" t="inlineStr">
        <x:is>
          <x:t xml:space="preserve">Riserva / rotazione</x:t>
        </x:is>
      </x:c>
      <x:c r="F497" t="n">
        <x:v>3</x:v>
      </x:c>
      <x:c r="G497" t="n">
        <x:v>10</x:v>
      </x:c>
      <x:c r="H497" t="n">
        <x:f>ROUND(G497*504/1000,0)</x:f>
        <x:v>5</x:v>
      </x:c>
      <x:c r="I497"/>
      <x:c r="J497"/>
      <x:c r="K497"/>
    </x:row>
    <x:row r="498">
      <x:c r="A498" t="inlineStr">
        <x:is>
          <x:t xml:space="preserve">A</x:t>
        </x:is>
      </x:c>
      <x:c r="B498" t="inlineStr">
        <x:is>
          <x:t xml:space="preserve">Lucca</x:t>
        </x:is>
      </x:c>
      <x:c r="C498" t="inlineStr">
        <x:is>
          <x:t xml:space="preserve">Napoli</x:t>
        </x:is>
      </x:c>
      <x:c r="D498" t="inlineStr">
        <x:is>
          <x:t xml:space="preserve">Pc</x:t>
        </x:is>
      </x:c>
      <x:c r="E498" t="inlineStr">
        <x:is>
          <x:t xml:space="preserve">Riserva / rotazione</x:t>
        </x:is>
      </x:c>
      <x:c r="F498" t="n">
        <x:v>3</x:v>
      </x:c>
      <x:c r="G498" t="n">
        <x:v>10</x:v>
      </x:c>
      <x:c r="H498" t="n">
        <x:f>ROUND(G498*504/1000,0)</x:f>
        <x:v>5</x:v>
      </x:c>
      <x:c r="I498"/>
      <x:c r="J498"/>
      <x:c r="K498"/>
    </x:row>
    <x:row r="499">
      <x:c r="A499" t="inlineStr">
        <x:is>
          <x:t xml:space="preserve">A</x:t>
        </x:is>
      </x:c>
      <x:c r="B499" t="inlineStr">
        <x:is>
          <x:t xml:space="preserve">Elphege</x:t>
        </x:is>
      </x:c>
      <x:c r="C499" t="inlineStr">
        <x:is>
          <x:t xml:space="preserve">Parma</x:t>
        </x:is>
      </x:c>
      <x:c r="D499" t="inlineStr">
        <x:is>
          <x:t xml:space="preserve">Pc</x:t>
        </x:is>
      </x:c>
      <x:c r="E499" t="inlineStr">
        <x:is>
          <x:t xml:space="preserve">Ballottaggio</x:t>
        </x:is>
      </x:c>
      <x:c r="F499" t="n">
        <x:v>3</x:v>
      </x:c>
      <x:c r="G499" t="n">
        <x:v>11</x:v>
      </x:c>
      <x:c r="H499" t="n">
        <x:f>ROUND(G499*504/1000,0)</x:f>
        <x:v>6</x:v>
      </x:c>
      <x:c r="I499"/>
      <x:c r="J499"/>
      <x:c r="K499"/>
    </x:row>
    <x:row r="500">
      <x:c r="A500" t="inlineStr">
        <x:is>
          <x:t xml:space="preserve">A</x:t>
        </x:is>
      </x:c>
      <x:c r="B500" t="inlineStr">
        <x:is>
          <x:t xml:space="preserve">Petagna</x:t>
        </x:is>
      </x:c>
      <x:c r="C500" t="inlineStr">
        <x:is>
          <x:t xml:space="preserve">Monza</x:t>
        </x:is>
      </x:c>
      <x:c r="D500" t="inlineStr">
        <x:is>
          <x:t xml:space="preserve">Pc</x:t>
        </x:is>
      </x:c>
      <x:c r="E500" t="inlineStr">
        <x:is>
          <x:t xml:space="preserve">Riserva / rotazione</x:t>
        </x:is>
      </x:c>
      <x:c r="F500" t="n">
        <x:v>2</x:v>
      </x:c>
      <x:c r="G500" t="n">
        <x:v>5</x:v>
      </x:c>
      <x:c r="H500" t="n">
        <x:f>ROUND(G500*504/1000,0)</x:f>
        <x:v>3</x:v>
      </x:c>
      <x:c r="I500"/>
      <x:c r="J500"/>
      <x:c r="K500"/>
    </x:row>
    <x:row r="501">
      <x:c r="A501" t="inlineStr">
        <x:is>
          <x:t xml:space="preserve">A</x:t>
        </x:is>
      </x:c>
      <x:c r="B501" t="inlineStr">
        <x:is>
          <x:t xml:space="preserve">Buksa</x:t>
        </x:is>
      </x:c>
      <x:c r="C501" t="inlineStr">
        <x:is>
          <x:t xml:space="preserve">Udinese</x:t>
        </x:is>
      </x:c>
      <x:c r="D501" t="inlineStr">
        <x:is>
          <x:t xml:space="preserve">Pc</x:t>
        </x:is>
      </x:c>
      <x:c r="E501" t="inlineStr">
        <x:is>
          <x:t xml:space="preserve">Riserva / rotazione</x:t>
        </x:is>
      </x:c>
      <x:c r="F501" t="n">
        <x:v>2</x:v>
      </x:c>
      <x:c r="G501" t="n">
        <x:v>4</x:v>
      </x:c>
      <x:c r="H501" t="n">
        <x:f>ROUND(G501*504/1000,0)</x:f>
        <x:v>2</x:v>
      </x:c>
      <x:c r="I501"/>
      <x:c r="J501"/>
      <x:c r="K501"/>
    </x:row>
    <x:row r="502">
      <x:c r="A502" t="inlineStr">
        <x:is>
          <x:t xml:space="preserve">A</x:t>
        </x:is>
      </x:c>
      <x:c r="B502" t="inlineStr">
        <x:is>
          <x:t xml:space="preserve">Albarracin</x:t>
        </x:is>
      </x:c>
      <x:c r="C502" t="inlineStr">
        <x:is>
          <x:t xml:space="preserve">Cagliari</x:t>
        </x:is>
      </x:c>
      <x:c r="D502" t="inlineStr">
        <x:is>
          <x:t xml:space="preserve">A</x:t>
        </x:is>
      </x:c>
      <x:c r="E502" t="inlineStr">
        <x:is>
          <x:t xml:space="preserve">Riserva / rotazione</x:t>
        </x:is>
      </x:c>
      <x:c r="F502" t="n">
        <x:v>1</x:v>
      </x:c>
      <x:c r="G502" t="n">
        <x:v>1</x:v>
      </x:c>
      <x:c r="H502" t="n">
        <x:f>ROUND(G502*504/1000,0)</x:f>
        <x:v>1</x:v>
      </x:c>
      <x:c r="I502"/>
      <x:c r="J502"/>
      <x:c r="K502"/>
    </x:row>
    <x:row r="503">
      <x:c r="A503" t="inlineStr">
        <x:is>
          <x:t xml:space="preserve">A</x:t>
        </x:is>
      </x:c>
      <x:c r="B503" t="inlineStr">
        <x:is>
          <x:t xml:space="preserve">Trepy</x:t>
        </x:is>
      </x:c>
      <x:c r="C503" t="inlineStr">
        <x:is>
          <x:t xml:space="preserve">Cagliari</x:t>
        </x:is>
      </x:c>
      <x:c r="D503" t="inlineStr">
        <x:is>
          <x:t xml:space="preserve">Pc</x:t>
        </x:is>
      </x:c>
      <x:c r="E503" t="inlineStr">
        <x:is>
          <x:t xml:space="preserve">Riserva / rotazione</x:t>
        </x:is>
      </x:c>
      <x:c r="F503" t="n">
        <x:v>1</x:v>
      </x:c>
      <x:c r="G503" t="n">
        <x:v>2</x:v>
      </x:c>
      <x:c r="H503" t="n">
        <x:f>ROUND(G503*504/1000,0)</x:f>
        <x:v>1</x:v>
      </x:c>
      <x:c r="I503"/>
      <x:c r="J503"/>
      <x:c r="K503"/>
    </x:row>
    <x:row r="504">
      <x:c r="A504" t="inlineStr">
        <x:is>
          <x:t xml:space="preserve">A</x:t>
        </x:is>
      </x:c>
      <x:c r="B504" t="inlineStr">
        <x:is>
          <x:t xml:space="preserve">Azon</x:t>
        </x:is>
      </x:c>
      <x:c r="C504" t="inlineStr">
        <x:is>
          <x:t xml:space="preserve">Como</x:t>
        </x:is>
      </x:c>
      <x:c r="D504" t="inlineStr">
        <x:is>
          <x:t xml:space="preserve">Pc</x:t>
        </x:is>
      </x:c>
      <x:c r="E504" t="inlineStr">
        <x:is>
          <x:t xml:space="preserve">Riserva / rotazione</x:t>
        </x:is>
      </x:c>
      <x:c r="F504" t="n">
        <x:v>1</x:v>
      </x:c>
      <x:c r="G504" t="n">
        <x:v>1</x:v>
      </x:c>
      <x:c r="H504" t="n">
        <x:f>ROUND(G504*504/1000,0)</x:f>
        <x:v>1</x:v>
      </x:c>
      <x:c r="I504"/>
      <x:c r="J504"/>
      <x:c r="K504"/>
    </x:row>
    <x:row r="505">
      <x:c r="A505" t="inlineStr">
        <x:is>
          <x:t xml:space="preserve">A</x:t>
        </x:is>
      </x:c>
      <x:c r="B505" t="inlineStr">
        <x:is>
          <x:t xml:space="preserve">Vaz</x:t>
        </x:is>
      </x:c>
      <x:c r="C505" t="inlineStr">
        <x:is>
          <x:t xml:space="preserve">Roma</x:t>
        </x:is>
      </x:c>
      <x:c r="D505" t="inlineStr">
        <x:is>
          <x:t xml:space="preserve">Pc</x:t>
        </x:is>
      </x:c>
      <x:c r="E505" t="inlineStr">
        <x:is>
          <x:t xml:space="preserve">Riserva / rotazione</x:t>
        </x:is>
      </x:c>
      <x:c r="F505" t="n">
        <x:v>1</x:v>
      </x:c>
      <x:c r="G505" t="n">
        <x:v>4</x:v>
      </x:c>
      <x:c r="H505" t="n">
        <x:f>ROUND(G505*504/1000,0)</x:f>
        <x:v>2</x:v>
      </x:c>
      <x:c r="I505"/>
      <x:c r="J505"/>
      <x:c r="K505"/>
    </x:row>
    <x:row r="506">
      <x:c r="A506" t="inlineStr">
        <x:is>
          <x:t xml:space="preserve">A</x:t>
        </x:is>
      </x:c>
      <x:c r="B506" t="inlineStr">
        <x:is>
          <x:t xml:space="preserve">Moro L.</x:t>
        </x:is>
      </x:c>
      <x:c r="C506" t="inlineStr">
        <x:is>
          <x:t xml:space="preserve">Sassuolo</x:t>
        </x:is>
      </x:c>
      <x:c r="D506" t="inlineStr">
        <x:is>
          <x:t xml:space="preserve">Pc</x:t>
        </x:is>
      </x:c>
      <x:c r="E506" t="inlineStr">
        <x:is>
          <x:t xml:space="preserve">Riserva / rotazione</x:t>
        </x:is>
      </x:c>
      <x:c r="F506" t="n">
        <x:v>1</x:v>
      </x:c>
      <x:c r="G506" t="n">
        <x:v>1</x:v>
      </x:c>
      <x:c r="H506" t="n">
        <x:f>ROUND(G506*504/1000,0)</x:f>
        <x:v>1</x:v>
      </x:c>
      <x:c r="I506"/>
      <x:c r="J506"/>
      <x:c r="K506"/>
    </x:row>
    <x:row r="507">
      <x:c r="A507" t="inlineStr">
        <x:is>
          <x:t xml:space="preserve">A</x:t>
        </x:is>
      </x:c>
      <x:c r="B507" t="inlineStr">
        <x:is>
          <x:t xml:space="preserve">Bayo V.</x:t>
        </x:is>
      </x:c>
      <x:c r="C507" t="inlineStr">
        <x:is>
          <x:t xml:space="preserve">Udinese</x:t>
        </x:is>
      </x:c>
      <x:c r="D507" t="inlineStr">
        <x:is>
          <x:t xml:space="preserve">Pc</x:t>
        </x:is>
      </x:c>
      <x:c r="E507" t="inlineStr">
        <x:is>
          <x:t xml:space="preserve">Riserva / rotazione</x:t>
        </x:is>
      </x:c>
      <x:c r="F507" t="n">
        <x:v>1</x:v>
      </x:c>
      <x:c r="G507" t="n">
        <x:v>3</x:v>
      </x:c>
      <x:c r="H507" t="n">
        <x:f>ROUND(G507*504/1000,0)</x:f>
        <x:v>2</x:v>
      </x:c>
      <x:c r="I507"/>
      <x:c r="J507"/>
      <x:c r="K507"/>
    </x:row>
    <x:row r="508">
      <x:c r="A508" t="inlineStr">
        <x:is>
          <x:t xml:space="preserve">A</x:t>
        </x:is>
      </x:c>
      <x:c r="B508" t="inlineStr">
        <x:is>
          <x:t xml:space="preserve">Lauberbach</x:t>
        </x:is>
      </x:c>
      <x:c r="C508" t="inlineStr">
        <x:is>
          <x:t xml:space="preserve">Venezia</x:t>
        </x:is>
      </x:c>
      <x:c r="D508" t="inlineStr">
        <x:is>
          <x:t xml:space="preserve">Pc</x:t>
        </x:is>
      </x:c>
      <x:c r="E508" t="inlineStr">
        <x:is>
          <x:t xml:space="preserve">Riserva / rotazione</x:t>
        </x:is>
      </x:c>
      <x:c r="F508" t="n">
        <x:v>1</x:v>
      </x:c>
      <x:c r="G508" t="n">
        <x:v>1</x:v>
      </x:c>
      <x:c r="H508" t="n">
        <x:f>ROUND(G508*504/1000,0)</x:f>
        <x:v>1</x:v>
      </x:c>
      <x:c r="I508"/>
      <x:c r="J508"/>
      <x:c r="K508"/>
    </x:row>
    <x:row r="509">
      <x:c r="A509" t="inlineStr">
        <x:is>
          <x:t xml:space="preserve">A</x:t>
        </x:is>
      </x:c>
      <x:c r="B509" t="inlineStr">
        <x:is>
          <x:t xml:space="preserve">Lisman</x:t>
        </x:is>
      </x:c>
      <x:c r="C509" t="inlineStr">
        <x:is>
          <x:t xml:space="preserve">Venezia</x:t>
        </x:is>
      </x:c>
      <x:c r="D509" t="inlineStr">
        <x:is>
          <x:t xml:space="preserve">W;A</x:t>
        </x:is>
      </x:c>
      <x:c r="E509" t="inlineStr">
        <x:is>
          <x:t xml:space="preserve">Riserva / rotazione</x:t>
        </x:is>
      </x:c>
      <x:c r="F509" t="n">
        <x:v>1</x:v>
      </x:c>
      <x:c r="G509" t="n">
        <x:v>1</x:v>
      </x:c>
      <x:c r="H509" t="n">
        <x:f>ROUND(G509*504/1000,0)</x:f>
        <x:v>1</x:v>
      </x:c>
      <x:c r="I509"/>
      <x:c r="J509"/>
      <x:c r="K509"/>
    </x:row>
    <x:row r="510">
      <x:c r="A510"/>
      <x:c r="B510"/>
      <x:c r="C510"/>
      <x:c r="D510"/>
      <x:c r="E510"/>
      <x:c r="F510"/>
      <x:c r="G510"/>
      <x:c r="H510"/>
      <x:c r="I510"/>
      <x:c r="J510"/>
      <x:c r="K510"/>
    </x:row>
    <x:row r="511">
      <x:c r="A511"/>
      <x:c r="B511"/>
      <x:c r="C511"/>
      <x:c r="D511"/>
      <x:c r="E511"/>
      <x:c r="F511"/>
      <x:c r="G511"/>
      <x:c r="H511"/>
      <x:c r="I511"/>
      <x:c r="J511"/>
      <x:c r="K511"/>
    </x:row>
    <x:row r="512">
      <x:c r="A512" t="inlineStr">
        <x:is>
          <x:t xml:space="preserve">Fonti: https://tg24.sky.it/sport/2026/08/05/listone-fantacalcio-2026-2027-ruoli-quotazioni-novita · https://www.fantacalcio.it/news/calcio-italia/06_08_2026/asta-fantacalcio-le-probabili-formazioni-della-serie-a-enilive-2026-27-495558</x:t>
        </x:is>
      </x:c>
      <x:c r="B512"/>
      <x:c r="C512"/>
      <x:c r="D512"/>
      <x:c r="E512"/>
      <x:c r="F512"/>
      <x:c r="G512"/>
      <x:c r="H512"/>
      <x:c r="I512"/>
      <x:c r="J512"/>
      <x:c r="K512"/>
    </x:row>
  </x:sheetData>
  <x:pageMargins left="0.7" right="0.7" top="0.75" bottom="0.75" header="0.3" footer="0.3"/>
</x:worksheet>
</file>